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omments1.xml" ContentType="application/vnd.openxmlformats-officedocument.spreadsheetml.comments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date1904="1" codeName="EstaPasta_de_trabalho" defaultThemeVersion="153222"/>
  <mc:AlternateContent xmlns:mc="http://schemas.openxmlformats.org/markup-compatibility/2006">
    <mc:Choice Requires="x15">
      <x15ac:absPath xmlns:x15ac="http://schemas.microsoft.com/office/spreadsheetml/2010/11/ac" url="C:\src\ExcelGuru-ControlePonto\"/>
    </mc:Choice>
  </mc:AlternateContent>
  <bookViews>
    <workbookView xWindow="0" yWindow="0" windowWidth="3795" windowHeight="2760" tabRatio="742" activeTab="3"/>
  </bookViews>
  <sheets>
    <sheet name="Tabelas" sheetId="2" r:id="rId1"/>
    <sheet name="Config" sheetId="3" r:id="rId2"/>
    <sheet name="Relatório" sheetId="16" r:id="rId3"/>
    <sheet name="Janeiro" sheetId="1" r:id="rId4"/>
    <sheet name="Fevereiro" sheetId="5" r:id="rId5"/>
    <sheet name="Março" sheetId="6" r:id="rId6"/>
    <sheet name="Abril" sheetId="7" r:id="rId7"/>
    <sheet name="Maio" sheetId="8" r:id="rId8"/>
    <sheet name="Junho" sheetId="9" r:id="rId9"/>
    <sheet name="Julho" sheetId="10" r:id="rId10"/>
    <sheet name="Agosto" sheetId="11" r:id="rId11"/>
    <sheet name="Setembro" sheetId="12" r:id="rId12"/>
    <sheet name="Outubro" sheetId="13" r:id="rId13"/>
    <sheet name="Novembro" sheetId="14" r:id="rId14"/>
    <sheet name="Dezembro" sheetId="15" r:id="rId15"/>
    <sheet name="Sobre" sheetId="4" r:id="rId16"/>
  </sheets>
  <functionGroups builtInGroupCount="18"/>
  <definedNames>
    <definedName name="CARENCIA">Config!$D$5</definedName>
    <definedName name="JORNADA">Config!$D$7</definedName>
    <definedName name="JORNADA_PERIODO_1">Config!$D$22</definedName>
    <definedName name="JORNADA_PERIODO_2">Config!$D$23</definedName>
    <definedName name="LIMITE">Config!$D$3</definedName>
    <definedName name="lst_Mes">tbl_Mes[Mês]</definedName>
    <definedName name="lstEvento">tblEvento[Evento]</definedName>
    <definedName name="lstLimiteHora">tblLimiteHora[Limite de horas]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9" i="15" l="1"/>
  <c r="N10" i="15"/>
  <c r="N11" i="15"/>
  <c r="N12" i="15"/>
  <c r="N13" i="15"/>
  <c r="N14" i="15"/>
  <c r="N15" i="15"/>
  <c r="N16" i="15"/>
  <c r="N17" i="15"/>
  <c r="N18" i="15"/>
  <c r="N19" i="15"/>
  <c r="N20" i="15"/>
  <c r="N21" i="15"/>
  <c r="N22" i="15"/>
  <c r="N23" i="15"/>
  <c r="N24" i="15"/>
  <c r="N25" i="15"/>
  <c r="N26" i="15"/>
  <c r="N27" i="15"/>
  <c r="N28" i="15"/>
  <c r="N29" i="15"/>
  <c r="N30" i="15"/>
  <c r="N31" i="15"/>
  <c r="N32" i="15"/>
  <c r="N33" i="15"/>
  <c r="N34" i="15"/>
  <c r="N35" i="15"/>
  <c r="N36" i="15"/>
  <c r="N37" i="15"/>
  <c r="N38" i="15"/>
  <c r="N39" i="15"/>
  <c r="N9" i="14"/>
  <c r="N10" i="14"/>
  <c r="N11" i="14"/>
  <c r="N12" i="14"/>
  <c r="N13" i="14"/>
  <c r="N14" i="14"/>
  <c r="N15" i="14"/>
  <c r="N16" i="14"/>
  <c r="N17" i="14"/>
  <c r="N18" i="14"/>
  <c r="N19" i="14"/>
  <c r="N20" i="14"/>
  <c r="N21" i="14"/>
  <c r="N22" i="14"/>
  <c r="N23" i="14"/>
  <c r="N24" i="14"/>
  <c r="N25" i="14"/>
  <c r="N26" i="14"/>
  <c r="N27" i="14"/>
  <c r="N28" i="14"/>
  <c r="N29" i="14"/>
  <c r="N30" i="14"/>
  <c r="N31" i="14"/>
  <c r="N32" i="14"/>
  <c r="N33" i="14"/>
  <c r="N34" i="14"/>
  <c r="N35" i="14"/>
  <c r="N36" i="14"/>
  <c r="N37" i="14"/>
  <c r="N38" i="14"/>
  <c r="N39" i="14"/>
  <c r="N9" i="13"/>
  <c r="N10" i="13"/>
  <c r="N11" i="13"/>
  <c r="N12" i="13"/>
  <c r="N13" i="13"/>
  <c r="N14" i="13"/>
  <c r="N15" i="13"/>
  <c r="N16" i="13"/>
  <c r="N17" i="13"/>
  <c r="N18" i="13"/>
  <c r="N19" i="13"/>
  <c r="N20" i="13"/>
  <c r="N21" i="13"/>
  <c r="N22" i="13"/>
  <c r="N23" i="13"/>
  <c r="N24" i="13"/>
  <c r="N25" i="13"/>
  <c r="N26" i="13"/>
  <c r="N27" i="13"/>
  <c r="N28" i="13"/>
  <c r="N29" i="13"/>
  <c r="N30" i="13"/>
  <c r="N31" i="13"/>
  <c r="N32" i="13"/>
  <c r="N33" i="13"/>
  <c r="N34" i="13"/>
  <c r="N35" i="13"/>
  <c r="N36" i="13"/>
  <c r="N37" i="13"/>
  <c r="N38" i="13"/>
  <c r="N39" i="13"/>
  <c r="N9" i="12"/>
  <c r="N10" i="12"/>
  <c r="N11" i="12"/>
  <c r="N12" i="12"/>
  <c r="N13" i="12"/>
  <c r="N14" i="12"/>
  <c r="N15" i="12"/>
  <c r="N16" i="12"/>
  <c r="N17" i="12"/>
  <c r="N18" i="12"/>
  <c r="N19" i="12"/>
  <c r="N20" i="12"/>
  <c r="N21" i="12"/>
  <c r="N22" i="12"/>
  <c r="N23" i="12"/>
  <c r="N24" i="12"/>
  <c r="N25" i="12"/>
  <c r="N26" i="12"/>
  <c r="N27" i="12"/>
  <c r="N28" i="12"/>
  <c r="N29" i="12"/>
  <c r="N30" i="12"/>
  <c r="N31" i="12"/>
  <c r="N32" i="12"/>
  <c r="N33" i="12"/>
  <c r="N34" i="12"/>
  <c r="N35" i="12"/>
  <c r="N36" i="12"/>
  <c r="N37" i="12"/>
  <c r="N38" i="12"/>
  <c r="N39" i="12"/>
  <c r="N9" i="11"/>
  <c r="N10" i="11"/>
  <c r="N11" i="11"/>
  <c r="N12" i="11"/>
  <c r="N13" i="11"/>
  <c r="N14" i="11"/>
  <c r="N15" i="11"/>
  <c r="N16" i="11"/>
  <c r="N17" i="11"/>
  <c r="N18" i="11"/>
  <c r="N19" i="11"/>
  <c r="N20" i="11"/>
  <c r="N21" i="11"/>
  <c r="N22" i="11"/>
  <c r="N23" i="11"/>
  <c r="N24" i="11"/>
  <c r="N25" i="11"/>
  <c r="N26" i="11"/>
  <c r="N27" i="11"/>
  <c r="N28" i="11"/>
  <c r="N29" i="11"/>
  <c r="N30" i="11"/>
  <c r="N31" i="11"/>
  <c r="N32" i="11"/>
  <c r="N33" i="11"/>
  <c r="N34" i="11"/>
  <c r="N35" i="11"/>
  <c r="N36" i="11"/>
  <c r="N37" i="11"/>
  <c r="N38" i="11"/>
  <c r="N39" i="11"/>
  <c r="N9" i="10"/>
  <c r="N10" i="10"/>
  <c r="N11" i="10"/>
  <c r="N12" i="10"/>
  <c r="N13" i="10"/>
  <c r="N14" i="10"/>
  <c r="N15" i="10"/>
  <c r="N16" i="10"/>
  <c r="N17" i="10"/>
  <c r="N18" i="10"/>
  <c r="N19" i="10"/>
  <c r="N20" i="10"/>
  <c r="N21" i="10"/>
  <c r="N22" i="10"/>
  <c r="N23" i="10"/>
  <c r="N24" i="10"/>
  <c r="N25" i="10"/>
  <c r="N26" i="10"/>
  <c r="N27" i="10"/>
  <c r="N28" i="10"/>
  <c r="N29" i="10"/>
  <c r="N30" i="10"/>
  <c r="N31" i="10"/>
  <c r="N32" i="10"/>
  <c r="N33" i="10"/>
  <c r="N34" i="10"/>
  <c r="N35" i="10"/>
  <c r="N36" i="10"/>
  <c r="N37" i="10"/>
  <c r="N38" i="10"/>
  <c r="N39" i="10"/>
  <c r="N9" i="9"/>
  <c r="N10" i="9"/>
  <c r="N11" i="9"/>
  <c r="N12" i="9"/>
  <c r="N13" i="9"/>
  <c r="N14" i="9"/>
  <c r="N15" i="9"/>
  <c r="N16" i="9"/>
  <c r="N17" i="9"/>
  <c r="N18" i="9"/>
  <c r="N19" i="9"/>
  <c r="N20" i="9"/>
  <c r="N21" i="9"/>
  <c r="N22" i="9"/>
  <c r="N23" i="9"/>
  <c r="N24" i="9"/>
  <c r="N25" i="9"/>
  <c r="N26" i="9"/>
  <c r="N27" i="9"/>
  <c r="N28" i="9"/>
  <c r="N29" i="9"/>
  <c r="N30" i="9"/>
  <c r="N31" i="9"/>
  <c r="N32" i="9"/>
  <c r="N33" i="9"/>
  <c r="N34" i="9"/>
  <c r="N35" i="9"/>
  <c r="N36" i="9"/>
  <c r="N37" i="9"/>
  <c r="N38" i="9"/>
  <c r="N39" i="9"/>
  <c r="N9" i="8"/>
  <c r="N10" i="8"/>
  <c r="N11" i="8"/>
  <c r="N12" i="8"/>
  <c r="N13" i="8"/>
  <c r="N14" i="8"/>
  <c r="N15" i="8"/>
  <c r="N16" i="8"/>
  <c r="N17" i="8"/>
  <c r="N18" i="8"/>
  <c r="N19" i="8"/>
  <c r="N20" i="8"/>
  <c r="N21" i="8"/>
  <c r="N22" i="8"/>
  <c r="N23" i="8"/>
  <c r="N24" i="8"/>
  <c r="N25" i="8"/>
  <c r="N26" i="8"/>
  <c r="N27" i="8"/>
  <c r="N28" i="8"/>
  <c r="N29" i="8"/>
  <c r="N30" i="8"/>
  <c r="N31" i="8"/>
  <c r="N32" i="8"/>
  <c r="N33" i="8"/>
  <c r="N34" i="8"/>
  <c r="N35" i="8"/>
  <c r="N36" i="8"/>
  <c r="N37" i="8"/>
  <c r="N38" i="8"/>
  <c r="N39" i="8"/>
  <c r="N9" i="7"/>
  <c r="N10" i="7"/>
  <c r="N11" i="7"/>
  <c r="N12" i="7"/>
  <c r="N13" i="7"/>
  <c r="N14" i="7"/>
  <c r="N15" i="7"/>
  <c r="N16" i="7"/>
  <c r="N17" i="7"/>
  <c r="N18" i="7"/>
  <c r="N19" i="7"/>
  <c r="N20" i="7"/>
  <c r="N21" i="7"/>
  <c r="N22" i="7"/>
  <c r="N23" i="7"/>
  <c r="N24" i="7"/>
  <c r="N25" i="7"/>
  <c r="N26" i="7"/>
  <c r="N27" i="7"/>
  <c r="N28" i="7"/>
  <c r="N29" i="7"/>
  <c r="N30" i="7"/>
  <c r="N31" i="7"/>
  <c r="N32" i="7"/>
  <c r="N33" i="7"/>
  <c r="N34" i="7"/>
  <c r="N35" i="7"/>
  <c r="N36" i="7"/>
  <c r="N37" i="7"/>
  <c r="N38" i="7"/>
  <c r="N39" i="7"/>
  <c r="N9" i="6"/>
  <c r="N10" i="6"/>
  <c r="N11" i="6"/>
  <c r="N12" i="6"/>
  <c r="N13" i="6"/>
  <c r="N14" i="6"/>
  <c r="N15" i="6"/>
  <c r="N16" i="6"/>
  <c r="N17" i="6"/>
  <c r="N18" i="6"/>
  <c r="N19" i="6"/>
  <c r="N20" i="6"/>
  <c r="N21" i="6"/>
  <c r="N22" i="6"/>
  <c r="N23" i="6"/>
  <c r="N24" i="6"/>
  <c r="N25" i="6"/>
  <c r="N26" i="6"/>
  <c r="N27" i="6"/>
  <c r="N28" i="6"/>
  <c r="N29" i="6"/>
  <c r="N30" i="6"/>
  <c r="N31" i="6"/>
  <c r="N32" i="6"/>
  <c r="N33" i="6"/>
  <c r="N34" i="6"/>
  <c r="N35" i="6"/>
  <c r="N36" i="6"/>
  <c r="N37" i="6"/>
  <c r="N38" i="6"/>
  <c r="N39" i="6"/>
  <c r="N9" i="5"/>
  <c r="N10" i="5"/>
  <c r="N11" i="5"/>
  <c r="N12" i="5"/>
  <c r="N13" i="5"/>
  <c r="N14" i="5"/>
  <c r="N15" i="5"/>
  <c r="N16" i="5"/>
  <c r="N17" i="5"/>
  <c r="N18" i="5"/>
  <c r="N19" i="5"/>
  <c r="N20" i="5"/>
  <c r="N21" i="5"/>
  <c r="N22" i="5"/>
  <c r="N23" i="5"/>
  <c r="N24" i="5"/>
  <c r="N25" i="5"/>
  <c r="N26" i="5"/>
  <c r="N27" i="5"/>
  <c r="N28" i="5"/>
  <c r="N29" i="5"/>
  <c r="N30" i="5"/>
  <c r="N31" i="5"/>
  <c r="N32" i="5"/>
  <c r="N33" i="5"/>
  <c r="N34" i="5"/>
  <c r="N35" i="5"/>
  <c r="N36" i="5"/>
  <c r="N37" i="5"/>
  <c r="N38" i="5"/>
  <c r="N39" i="5"/>
  <c r="N9" i="1"/>
  <c r="N10" i="1"/>
  <c r="N11" i="1"/>
  <c r="N12" i="1"/>
  <c r="N13" i="1"/>
  <c r="N14" i="1"/>
  <c r="N15" i="1"/>
  <c r="N16" i="1"/>
  <c r="N17" i="1"/>
  <c r="N18" i="1"/>
  <c r="N19" i="1"/>
  <c r="N20" i="1"/>
  <c r="N21" i="1"/>
  <c r="N22" i="1"/>
  <c r="N23" i="1"/>
  <c r="N24" i="1"/>
  <c r="N25" i="1"/>
  <c r="N26" i="1"/>
  <c r="N27" i="1"/>
  <c r="N28" i="1"/>
  <c r="N29" i="1"/>
  <c r="N30" i="1"/>
  <c r="N31" i="1"/>
  <c r="N32" i="1"/>
  <c r="N33" i="1"/>
  <c r="N34" i="1"/>
  <c r="N35" i="1"/>
  <c r="N36" i="1"/>
  <c r="N37" i="1"/>
  <c r="N38" i="1"/>
  <c r="N39" i="1"/>
  <c r="K9" i="15" l="1"/>
  <c r="K10" i="15"/>
  <c r="K11" i="15"/>
  <c r="K12" i="15"/>
  <c r="K13" i="15"/>
  <c r="K14" i="15"/>
  <c r="K15" i="15"/>
  <c r="K16" i="15"/>
  <c r="K17" i="15"/>
  <c r="K18" i="15"/>
  <c r="K19" i="15"/>
  <c r="K20" i="15"/>
  <c r="K21" i="15"/>
  <c r="K22" i="15"/>
  <c r="K23" i="15"/>
  <c r="K24" i="15"/>
  <c r="K25" i="15"/>
  <c r="K26" i="15"/>
  <c r="K27" i="15"/>
  <c r="K28" i="15"/>
  <c r="K29" i="15"/>
  <c r="K30" i="15"/>
  <c r="K31" i="15"/>
  <c r="K32" i="15"/>
  <c r="K33" i="15"/>
  <c r="K34" i="15"/>
  <c r="K35" i="15"/>
  <c r="K36" i="15"/>
  <c r="K37" i="15"/>
  <c r="K38" i="15"/>
  <c r="K39" i="15"/>
  <c r="K9" i="14"/>
  <c r="K10" i="14"/>
  <c r="K11" i="14"/>
  <c r="K12" i="14"/>
  <c r="K13" i="14"/>
  <c r="K14" i="14"/>
  <c r="K15" i="14"/>
  <c r="K16" i="14"/>
  <c r="K17" i="14"/>
  <c r="K18" i="14"/>
  <c r="K19" i="14"/>
  <c r="K20" i="14"/>
  <c r="K21" i="14"/>
  <c r="K22" i="14"/>
  <c r="K23" i="14"/>
  <c r="K24" i="14"/>
  <c r="K25" i="14"/>
  <c r="K26" i="14"/>
  <c r="K27" i="14"/>
  <c r="K28" i="14"/>
  <c r="K29" i="14"/>
  <c r="K30" i="14"/>
  <c r="K31" i="14"/>
  <c r="K32" i="14"/>
  <c r="K33" i="14"/>
  <c r="K34" i="14"/>
  <c r="K35" i="14"/>
  <c r="K36" i="14"/>
  <c r="K37" i="14"/>
  <c r="K38" i="14"/>
  <c r="K39" i="14"/>
  <c r="K9" i="13"/>
  <c r="K10" i="13"/>
  <c r="K11" i="13"/>
  <c r="K12" i="13"/>
  <c r="K13" i="13"/>
  <c r="K14" i="13"/>
  <c r="K15" i="13"/>
  <c r="K16" i="13"/>
  <c r="K17" i="13"/>
  <c r="K18" i="13"/>
  <c r="K19" i="13"/>
  <c r="K20" i="13"/>
  <c r="K21" i="13"/>
  <c r="K22" i="13"/>
  <c r="K23" i="13"/>
  <c r="K24" i="13"/>
  <c r="K25" i="13"/>
  <c r="K26" i="13"/>
  <c r="K27" i="13"/>
  <c r="K28" i="13"/>
  <c r="K29" i="13"/>
  <c r="K30" i="13"/>
  <c r="K31" i="13"/>
  <c r="K32" i="13"/>
  <c r="K33" i="13"/>
  <c r="K34" i="13"/>
  <c r="K35" i="13"/>
  <c r="K36" i="13"/>
  <c r="K37" i="13"/>
  <c r="K38" i="13"/>
  <c r="K39" i="13"/>
  <c r="K9" i="12"/>
  <c r="K10" i="12"/>
  <c r="K11" i="12"/>
  <c r="K12" i="12"/>
  <c r="K13" i="12"/>
  <c r="K14" i="12"/>
  <c r="K15" i="12"/>
  <c r="K16" i="12"/>
  <c r="K17" i="12"/>
  <c r="K18" i="12"/>
  <c r="K19" i="12"/>
  <c r="K20" i="12"/>
  <c r="K21" i="12"/>
  <c r="K22" i="12"/>
  <c r="K23" i="12"/>
  <c r="K24" i="12"/>
  <c r="K25" i="12"/>
  <c r="K26" i="12"/>
  <c r="K27" i="12"/>
  <c r="K28" i="12"/>
  <c r="K29" i="12"/>
  <c r="K30" i="12"/>
  <c r="K31" i="12"/>
  <c r="K32" i="12"/>
  <c r="K33" i="12"/>
  <c r="K34" i="12"/>
  <c r="K35" i="12"/>
  <c r="K36" i="12"/>
  <c r="K37" i="12"/>
  <c r="K38" i="12"/>
  <c r="K39" i="12"/>
  <c r="K9" i="11"/>
  <c r="K10" i="11"/>
  <c r="K11" i="11"/>
  <c r="K12" i="11"/>
  <c r="K13" i="11"/>
  <c r="K14" i="11"/>
  <c r="K15" i="11"/>
  <c r="K16" i="11"/>
  <c r="K17" i="11"/>
  <c r="K18" i="11"/>
  <c r="K19" i="11"/>
  <c r="K20" i="11"/>
  <c r="K21" i="11"/>
  <c r="K22" i="11"/>
  <c r="K23" i="11"/>
  <c r="K24" i="11"/>
  <c r="K25" i="11"/>
  <c r="K26" i="11"/>
  <c r="K27" i="11"/>
  <c r="K28" i="11"/>
  <c r="K29" i="11"/>
  <c r="K30" i="11"/>
  <c r="K31" i="11"/>
  <c r="K32" i="11"/>
  <c r="K33" i="11"/>
  <c r="K34" i="11"/>
  <c r="K35" i="11"/>
  <c r="K36" i="11"/>
  <c r="K37" i="11"/>
  <c r="K38" i="11"/>
  <c r="K39" i="11"/>
  <c r="K9" i="10"/>
  <c r="K10" i="10"/>
  <c r="K11" i="10"/>
  <c r="K12" i="10"/>
  <c r="K13" i="10"/>
  <c r="K14" i="10"/>
  <c r="K15" i="10"/>
  <c r="K16" i="10"/>
  <c r="K17" i="10"/>
  <c r="K18" i="10"/>
  <c r="K19" i="10"/>
  <c r="K20" i="10"/>
  <c r="K21" i="10"/>
  <c r="K22" i="10"/>
  <c r="K23" i="10"/>
  <c r="K24" i="10"/>
  <c r="K25" i="10"/>
  <c r="K26" i="10"/>
  <c r="K27" i="10"/>
  <c r="K28" i="10"/>
  <c r="K29" i="10"/>
  <c r="K30" i="10"/>
  <c r="K31" i="10"/>
  <c r="K32" i="10"/>
  <c r="K33" i="10"/>
  <c r="K34" i="10"/>
  <c r="K35" i="10"/>
  <c r="K36" i="10"/>
  <c r="K37" i="10"/>
  <c r="K38" i="10"/>
  <c r="K39" i="10"/>
  <c r="K9" i="9"/>
  <c r="K10" i="9"/>
  <c r="K11" i="9"/>
  <c r="K12" i="9"/>
  <c r="K13" i="9"/>
  <c r="K14" i="9"/>
  <c r="K15" i="9"/>
  <c r="K16" i="9"/>
  <c r="K17" i="9"/>
  <c r="K18" i="9"/>
  <c r="K19" i="9"/>
  <c r="K20" i="9"/>
  <c r="K21" i="9"/>
  <c r="K22" i="9"/>
  <c r="K23" i="9"/>
  <c r="K24" i="9"/>
  <c r="K25" i="9"/>
  <c r="K26" i="9"/>
  <c r="K27" i="9"/>
  <c r="K28" i="9"/>
  <c r="K29" i="9"/>
  <c r="K30" i="9"/>
  <c r="K31" i="9"/>
  <c r="K32" i="9"/>
  <c r="K33" i="9"/>
  <c r="K34" i="9"/>
  <c r="K35" i="9"/>
  <c r="K36" i="9"/>
  <c r="K37" i="9"/>
  <c r="K38" i="9"/>
  <c r="K39" i="9"/>
  <c r="K9" i="8"/>
  <c r="K10" i="8"/>
  <c r="K11" i="8"/>
  <c r="K12" i="8"/>
  <c r="K13" i="8"/>
  <c r="K14" i="8"/>
  <c r="K15" i="8"/>
  <c r="K16" i="8"/>
  <c r="K17" i="8"/>
  <c r="K18" i="8"/>
  <c r="K19" i="8"/>
  <c r="K20" i="8"/>
  <c r="K21" i="8"/>
  <c r="K22" i="8"/>
  <c r="K23" i="8"/>
  <c r="K24" i="8"/>
  <c r="K25" i="8"/>
  <c r="K26" i="8"/>
  <c r="K27" i="8"/>
  <c r="K28" i="8"/>
  <c r="K29" i="8"/>
  <c r="K30" i="8"/>
  <c r="K31" i="8"/>
  <c r="K32" i="8"/>
  <c r="K33" i="8"/>
  <c r="K34" i="8"/>
  <c r="K35" i="8"/>
  <c r="K36" i="8"/>
  <c r="K37" i="8"/>
  <c r="K38" i="8"/>
  <c r="K39" i="8"/>
  <c r="K9" i="7"/>
  <c r="K10" i="7"/>
  <c r="K11" i="7"/>
  <c r="K12" i="7"/>
  <c r="K13" i="7"/>
  <c r="K14" i="7"/>
  <c r="K15" i="7"/>
  <c r="K16" i="7"/>
  <c r="K17" i="7"/>
  <c r="K18" i="7"/>
  <c r="K19" i="7"/>
  <c r="K20" i="7"/>
  <c r="K21" i="7"/>
  <c r="K22" i="7"/>
  <c r="K23" i="7"/>
  <c r="K24" i="7"/>
  <c r="K25" i="7"/>
  <c r="K26" i="7"/>
  <c r="K27" i="7"/>
  <c r="K28" i="7"/>
  <c r="K29" i="7"/>
  <c r="K30" i="7"/>
  <c r="K31" i="7"/>
  <c r="K32" i="7"/>
  <c r="K33" i="7"/>
  <c r="K34" i="7"/>
  <c r="K35" i="7"/>
  <c r="K36" i="7"/>
  <c r="K37" i="7"/>
  <c r="K38" i="7"/>
  <c r="K39" i="7"/>
  <c r="K9" i="6"/>
  <c r="K10" i="6"/>
  <c r="K11" i="6"/>
  <c r="K12" i="6"/>
  <c r="K13" i="6"/>
  <c r="K14" i="6"/>
  <c r="K15" i="6"/>
  <c r="K16" i="6"/>
  <c r="K17" i="6"/>
  <c r="K18" i="6"/>
  <c r="K19" i="6"/>
  <c r="K20" i="6"/>
  <c r="K21" i="6"/>
  <c r="K22" i="6"/>
  <c r="K23" i="6"/>
  <c r="K24" i="6"/>
  <c r="K25" i="6"/>
  <c r="K26" i="6"/>
  <c r="K27" i="6"/>
  <c r="K28" i="6"/>
  <c r="K29" i="6"/>
  <c r="K30" i="6"/>
  <c r="K31" i="6"/>
  <c r="K32" i="6"/>
  <c r="K33" i="6"/>
  <c r="K34" i="6"/>
  <c r="K35" i="6"/>
  <c r="K36" i="6"/>
  <c r="K37" i="6"/>
  <c r="K38" i="6"/>
  <c r="K39" i="6"/>
  <c r="K9" i="5"/>
  <c r="K10" i="5"/>
  <c r="K11" i="5"/>
  <c r="K12" i="5"/>
  <c r="K13" i="5"/>
  <c r="K14" i="5"/>
  <c r="K15" i="5"/>
  <c r="K16" i="5"/>
  <c r="K17" i="5"/>
  <c r="K18" i="5"/>
  <c r="K19" i="5"/>
  <c r="K20" i="5"/>
  <c r="K21" i="5"/>
  <c r="K22" i="5"/>
  <c r="K23" i="5"/>
  <c r="K24" i="5"/>
  <c r="K25" i="5"/>
  <c r="K26" i="5"/>
  <c r="K27" i="5"/>
  <c r="K28" i="5"/>
  <c r="K29" i="5"/>
  <c r="K30" i="5"/>
  <c r="K31" i="5"/>
  <c r="K32" i="5"/>
  <c r="K33" i="5"/>
  <c r="K34" i="5"/>
  <c r="K35" i="5"/>
  <c r="K36" i="5"/>
  <c r="K37" i="5"/>
  <c r="K38" i="5"/>
  <c r="K39" i="5"/>
  <c r="J9" i="15"/>
  <c r="J10" i="15"/>
  <c r="J11" i="15"/>
  <c r="J12" i="15"/>
  <c r="J13" i="15"/>
  <c r="J14" i="15"/>
  <c r="J15" i="15"/>
  <c r="J16" i="15"/>
  <c r="J17" i="15"/>
  <c r="J18" i="15"/>
  <c r="J19" i="15"/>
  <c r="J20" i="15"/>
  <c r="J21" i="15"/>
  <c r="J22" i="15"/>
  <c r="J23" i="15"/>
  <c r="J24" i="15"/>
  <c r="J25" i="15"/>
  <c r="J26" i="15"/>
  <c r="J27" i="15"/>
  <c r="J28" i="15"/>
  <c r="J29" i="15"/>
  <c r="J30" i="15"/>
  <c r="J31" i="15"/>
  <c r="J32" i="15"/>
  <c r="J33" i="15"/>
  <c r="J34" i="15"/>
  <c r="J35" i="15"/>
  <c r="J36" i="15"/>
  <c r="J37" i="15"/>
  <c r="J38" i="15"/>
  <c r="J39" i="15"/>
  <c r="J9" i="14"/>
  <c r="J10" i="14"/>
  <c r="J11" i="14"/>
  <c r="J12" i="14"/>
  <c r="J13" i="14"/>
  <c r="J14" i="14"/>
  <c r="J15" i="14"/>
  <c r="J16" i="14"/>
  <c r="J17" i="14"/>
  <c r="J18" i="14"/>
  <c r="J19" i="14"/>
  <c r="J20" i="14"/>
  <c r="J21" i="14"/>
  <c r="J22" i="14"/>
  <c r="J23" i="14"/>
  <c r="J24" i="14"/>
  <c r="J25" i="14"/>
  <c r="J26" i="14"/>
  <c r="J27" i="14"/>
  <c r="J28" i="14"/>
  <c r="J29" i="14"/>
  <c r="J30" i="14"/>
  <c r="J31" i="14"/>
  <c r="J32" i="14"/>
  <c r="J33" i="14"/>
  <c r="J34" i="14"/>
  <c r="J35" i="14"/>
  <c r="J36" i="14"/>
  <c r="J37" i="14"/>
  <c r="J38" i="14"/>
  <c r="J39" i="14"/>
  <c r="J9" i="13"/>
  <c r="J10" i="13"/>
  <c r="J11" i="13"/>
  <c r="J12" i="13"/>
  <c r="J13" i="13"/>
  <c r="J14" i="13"/>
  <c r="J15" i="13"/>
  <c r="J16" i="13"/>
  <c r="J17" i="13"/>
  <c r="J18" i="13"/>
  <c r="J19" i="13"/>
  <c r="J20" i="13"/>
  <c r="J21" i="13"/>
  <c r="J22" i="13"/>
  <c r="J23" i="13"/>
  <c r="J24" i="13"/>
  <c r="J25" i="13"/>
  <c r="J26" i="13"/>
  <c r="J27" i="13"/>
  <c r="J28" i="13"/>
  <c r="J29" i="13"/>
  <c r="J30" i="13"/>
  <c r="J31" i="13"/>
  <c r="J32" i="13"/>
  <c r="J33" i="13"/>
  <c r="J34" i="13"/>
  <c r="J35" i="13"/>
  <c r="J36" i="13"/>
  <c r="J37" i="13"/>
  <c r="J38" i="13"/>
  <c r="J39" i="13"/>
  <c r="J9" i="12"/>
  <c r="J10" i="12"/>
  <c r="J11" i="12"/>
  <c r="J12" i="12"/>
  <c r="J13" i="12"/>
  <c r="J14" i="12"/>
  <c r="J15" i="12"/>
  <c r="J16" i="12"/>
  <c r="J17" i="12"/>
  <c r="J18" i="12"/>
  <c r="J19" i="12"/>
  <c r="J20" i="12"/>
  <c r="J21" i="12"/>
  <c r="J22" i="12"/>
  <c r="J23" i="12"/>
  <c r="J24" i="12"/>
  <c r="J25" i="12"/>
  <c r="J26" i="12"/>
  <c r="J27" i="12"/>
  <c r="J28" i="12"/>
  <c r="J29" i="12"/>
  <c r="J30" i="12"/>
  <c r="J31" i="12"/>
  <c r="J32" i="12"/>
  <c r="J33" i="12"/>
  <c r="J34" i="12"/>
  <c r="J35" i="12"/>
  <c r="J36" i="12"/>
  <c r="J37" i="12"/>
  <c r="J38" i="12"/>
  <c r="J39" i="12"/>
  <c r="J9" i="11"/>
  <c r="J10" i="11"/>
  <c r="J11" i="11"/>
  <c r="J12" i="11"/>
  <c r="J13" i="11"/>
  <c r="J14" i="11"/>
  <c r="J15" i="11"/>
  <c r="J16" i="11"/>
  <c r="J17" i="11"/>
  <c r="J18" i="11"/>
  <c r="J19" i="11"/>
  <c r="J20" i="11"/>
  <c r="J21" i="11"/>
  <c r="J22" i="11"/>
  <c r="J23" i="11"/>
  <c r="J24" i="11"/>
  <c r="J25" i="11"/>
  <c r="J26" i="11"/>
  <c r="J27" i="11"/>
  <c r="J28" i="11"/>
  <c r="J29" i="11"/>
  <c r="J30" i="11"/>
  <c r="J31" i="11"/>
  <c r="J32" i="11"/>
  <c r="J33" i="11"/>
  <c r="J34" i="11"/>
  <c r="J35" i="11"/>
  <c r="J36" i="11"/>
  <c r="J37" i="11"/>
  <c r="J38" i="11"/>
  <c r="J39" i="11"/>
  <c r="J9" i="10"/>
  <c r="J10" i="10"/>
  <c r="J11" i="10"/>
  <c r="J12" i="10"/>
  <c r="J13" i="10"/>
  <c r="J14" i="10"/>
  <c r="J15" i="10"/>
  <c r="J16" i="10"/>
  <c r="J17" i="10"/>
  <c r="J18" i="10"/>
  <c r="J19" i="10"/>
  <c r="J20" i="10"/>
  <c r="J21" i="10"/>
  <c r="J22" i="10"/>
  <c r="J23" i="10"/>
  <c r="J24" i="10"/>
  <c r="J25" i="10"/>
  <c r="J26" i="10"/>
  <c r="J27" i="10"/>
  <c r="J28" i="10"/>
  <c r="J29" i="10"/>
  <c r="J30" i="10"/>
  <c r="J31" i="10"/>
  <c r="J32" i="10"/>
  <c r="J33" i="10"/>
  <c r="J34" i="10"/>
  <c r="J35" i="10"/>
  <c r="J36" i="10"/>
  <c r="J37" i="10"/>
  <c r="J38" i="10"/>
  <c r="J39" i="10"/>
  <c r="J9" i="9"/>
  <c r="J10" i="9"/>
  <c r="J11" i="9"/>
  <c r="J12" i="9"/>
  <c r="J13" i="9"/>
  <c r="J14" i="9"/>
  <c r="J15" i="9"/>
  <c r="J16" i="9"/>
  <c r="J17" i="9"/>
  <c r="J18" i="9"/>
  <c r="J19" i="9"/>
  <c r="J20" i="9"/>
  <c r="J21" i="9"/>
  <c r="J22" i="9"/>
  <c r="J23" i="9"/>
  <c r="J24" i="9"/>
  <c r="J25" i="9"/>
  <c r="J26" i="9"/>
  <c r="J27" i="9"/>
  <c r="J28" i="9"/>
  <c r="J29" i="9"/>
  <c r="J30" i="9"/>
  <c r="J31" i="9"/>
  <c r="J32" i="9"/>
  <c r="J33" i="9"/>
  <c r="J34" i="9"/>
  <c r="J35" i="9"/>
  <c r="J36" i="9"/>
  <c r="J37" i="9"/>
  <c r="J38" i="9"/>
  <c r="J39" i="9"/>
  <c r="J9" i="8"/>
  <c r="J10" i="8"/>
  <c r="J11" i="8"/>
  <c r="J12" i="8"/>
  <c r="J13" i="8"/>
  <c r="J14" i="8"/>
  <c r="J15" i="8"/>
  <c r="J16" i="8"/>
  <c r="J17" i="8"/>
  <c r="J18" i="8"/>
  <c r="J19" i="8"/>
  <c r="J20" i="8"/>
  <c r="J21" i="8"/>
  <c r="J22" i="8"/>
  <c r="J23" i="8"/>
  <c r="J24" i="8"/>
  <c r="J25" i="8"/>
  <c r="J26" i="8"/>
  <c r="J27" i="8"/>
  <c r="J28" i="8"/>
  <c r="J29" i="8"/>
  <c r="J30" i="8"/>
  <c r="J31" i="8"/>
  <c r="J32" i="8"/>
  <c r="J33" i="8"/>
  <c r="J34" i="8"/>
  <c r="J35" i="8"/>
  <c r="J36" i="8"/>
  <c r="J37" i="8"/>
  <c r="J38" i="8"/>
  <c r="J39" i="8"/>
  <c r="J9" i="7"/>
  <c r="J10" i="7"/>
  <c r="J11" i="7"/>
  <c r="J12" i="7"/>
  <c r="J13" i="7"/>
  <c r="J14" i="7"/>
  <c r="J15" i="7"/>
  <c r="J16" i="7"/>
  <c r="J17" i="7"/>
  <c r="J18" i="7"/>
  <c r="J19" i="7"/>
  <c r="J20" i="7"/>
  <c r="J21" i="7"/>
  <c r="J22" i="7"/>
  <c r="J23" i="7"/>
  <c r="J24" i="7"/>
  <c r="J25" i="7"/>
  <c r="J26" i="7"/>
  <c r="J27" i="7"/>
  <c r="J28" i="7"/>
  <c r="J29" i="7"/>
  <c r="J30" i="7"/>
  <c r="J31" i="7"/>
  <c r="J32" i="7"/>
  <c r="J33" i="7"/>
  <c r="J34" i="7"/>
  <c r="J35" i="7"/>
  <c r="J36" i="7"/>
  <c r="J37" i="7"/>
  <c r="J38" i="7"/>
  <c r="J39" i="7"/>
  <c r="J9" i="6"/>
  <c r="J10" i="6"/>
  <c r="J11" i="6"/>
  <c r="J12" i="6"/>
  <c r="J13" i="6"/>
  <c r="J14" i="6"/>
  <c r="J15" i="6"/>
  <c r="J16" i="6"/>
  <c r="J17" i="6"/>
  <c r="J18" i="6"/>
  <c r="J19" i="6"/>
  <c r="J20" i="6"/>
  <c r="J21" i="6"/>
  <c r="J22" i="6"/>
  <c r="J23" i="6"/>
  <c r="J24" i="6"/>
  <c r="J25" i="6"/>
  <c r="J26" i="6"/>
  <c r="J27" i="6"/>
  <c r="J28" i="6"/>
  <c r="J29" i="6"/>
  <c r="J30" i="6"/>
  <c r="J31" i="6"/>
  <c r="J32" i="6"/>
  <c r="J33" i="6"/>
  <c r="J34" i="6"/>
  <c r="J35" i="6"/>
  <c r="J36" i="6"/>
  <c r="J37" i="6"/>
  <c r="J38" i="6"/>
  <c r="J39" i="6"/>
  <c r="J9" i="5"/>
  <c r="J10" i="5"/>
  <c r="J11" i="5"/>
  <c r="J12" i="5"/>
  <c r="J13" i="5"/>
  <c r="J14" i="5"/>
  <c r="J15" i="5"/>
  <c r="J16" i="5"/>
  <c r="J17" i="5"/>
  <c r="J18" i="5"/>
  <c r="J19" i="5"/>
  <c r="J20" i="5"/>
  <c r="J21" i="5"/>
  <c r="J22" i="5"/>
  <c r="J23" i="5"/>
  <c r="J24" i="5"/>
  <c r="J25" i="5"/>
  <c r="J26" i="5"/>
  <c r="J27" i="5"/>
  <c r="J28" i="5"/>
  <c r="J29" i="5"/>
  <c r="J30" i="5"/>
  <c r="J31" i="5"/>
  <c r="J32" i="5"/>
  <c r="J33" i="5"/>
  <c r="J34" i="5"/>
  <c r="J35" i="5"/>
  <c r="J36" i="5"/>
  <c r="J37" i="5"/>
  <c r="J38" i="5"/>
  <c r="J39" i="5"/>
  <c r="K9" i="1"/>
  <c r="K10" i="1"/>
  <c r="K11" i="1"/>
  <c r="K12" i="1"/>
  <c r="K13" i="1"/>
  <c r="K14" i="1"/>
  <c r="K15" i="1"/>
  <c r="K16" i="1"/>
  <c r="K17" i="1"/>
  <c r="K18" i="1"/>
  <c r="K19" i="1"/>
  <c r="K20" i="1"/>
  <c r="K21" i="1"/>
  <c r="K22" i="1"/>
  <c r="K23" i="1"/>
  <c r="K24" i="1"/>
  <c r="K25" i="1"/>
  <c r="K26" i="1"/>
  <c r="K27" i="1"/>
  <c r="K28" i="1"/>
  <c r="K29" i="1"/>
  <c r="K30" i="1"/>
  <c r="K31" i="1"/>
  <c r="K32" i="1"/>
  <c r="K33" i="1"/>
  <c r="K34" i="1"/>
  <c r="K35" i="1"/>
  <c r="K36" i="1"/>
  <c r="K37" i="1"/>
  <c r="K38" i="1"/>
  <c r="K39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F20" i="3"/>
  <c r="G20" i="3" s="1"/>
  <c r="T39" i="15" l="1"/>
  <c r="T38" i="15"/>
  <c r="T37" i="15"/>
  <c r="T36" i="15"/>
  <c r="T35" i="15"/>
  <c r="T34" i="15"/>
  <c r="T33" i="15"/>
  <c r="T32" i="15"/>
  <c r="T31" i="15"/>
  <c r="T30" i="15"/>
  <c r="T29" i="15"/>
  <c r="T28" i="15"/>
  <c r="T27" i="15"/>
  <c r="T26" i="15"/>
  <c r="T25" i="15"/>
  <c r="T24" i="15"/>
  <c r="T23" i="15"/>
  <c r="T22" i="15"/>
  <c r="T21" i="15"/>
  <c r="T20" i="15"/>
  <c r="T19" i="15"/>
  <c r="T18" i="15"/>
  <c r="T17" i="15"/>
  <c r="T16" i="15"/>
  <c r="T15" i="15"/>
  <c r="T14" i="15"/>
  <c r="T13" i="15"/>
  <c r="T12" i="15"/>
  <c r="T11" i="15"/>
  <c r="T10" i="15"/>
  <c r="T9" i="15"/>
  <c r="E6" i="15"/>
  <c r="D6" i="15"/>
  <c r="O1" i="15"/>
  <c r="T39" i="14"/>
  <c r="T38" i="14"/>
  <c r="T37" i="14"/>
  <c r="T36" i="14"/>
  <c r="T35" i="14"/>
  <c r="T34" i="14"/>
  <c r="T33" i="14"/>
  <c r="T32" i="14"/>
  <c r="T31" i="14"/>
  <c r="T30" i="14"/>
  <c r="T29" i="14"/>
  <c r="T28" i="14"/>
  <c r="T27" i="14"/>
  <c r="T26" i="14"/>
  <c r="T25" i="14"/>
  <c r="T24" i="14"/>
  <c r="T23" i="14"/>
  <c r="T22" i="14"/>
  <c r="T21" i="14"/>
  <c r="T20" i="14"/>
  <c r="T19" i="14"/>
  <c r="L19" i="14"/>
  <c r="T18" i="14"/>
  <c r="T17" i="14"/>
  <c r="T16" i="14"/>
  <c r="T15" i="14"/>
  <c r="T14" i="14"/>
  <c r="T13" i="14"/>
  <c r="T12" i="14"/>
  <c r="T11" i="14"/>
  <c r="T10" i="14"/>
  <c r="T9" i="14"/>
  <c r="E6" i="14"/>
  <c r="D6" i="14"/>
  <c r="O1" i="14"/>
  <c r="T39" i="13"/>
  <c r="T38" i="13"/>
  <c r="T37" i="13"/>
  <c r="T36" i="13"/>
  <c r="T35" i="13"/>
  <c r="T34" i="13"/>
  <c r="T33" i="13"/>
  <c r="T32" i="13"/>
  <c r="T31" i="13"/>
  <c r="T30" i="13"/>
  <c r="T29" i="13"/>
  <c r="T28" i="13"/>
  <c r="T27" i="13"/>
  <c r="T26" i="13"/>
  <c r="T25" i="13"/>
  <c r="T24" i="13"/>
  <c r="T23" i="13"/>
  <c r="T22" i="13"/>
  <c r="T21" i="13"/>
  <c r="T20" i="13"/>
  <c r="T19" i="13"/>
  <c r="T18" i="13"/>
  <c r="T17" i="13"/>
  <c r="T16" i="13"/>
  <c r="T15" i="13"/>
  <c r="T14" i="13"/>
  <c r="T13" i="13"/>
  <c r="T12" i="13"/>
  <c r="T11" i="13"/>
  <c r="T10" i="13"/>
  <c r="T9" i="13"/>
  <c r="E6" i="13"/>
  <c r="D6" i="13"/>
  <c r="O1" i="13"/>
  <c r="T39" i="12"/>
  <c r="T38" i="12"/>
  <c r="T37" i="12"/>
  <c r="T36" i="12"/>
  <c r="T35" i="12"/>
  <c r="T34" i="12"/>
  <c r="T33" i="12"/>
  <c r="T32" i="12"/>
  <c r="T31" i="12"/>
  <c r="T30" i="12"/>
  <c r="T29" i="12"/>
  <c r="T28" i="12"/>
  <c r="T27" i="12"/>
  <c r="T26" i="12"/>
  <c r="T25" i="12"/>
  <c r="T24" i="12"/>
  <c r="T23" i="12"/>
  <c r="T22" i="12"/>
  <c r="T21" i="12"/>
  <c r="T20" i="12"/>
  <c r="T19" i="12"/>
  <c r="T18" i="12"/>
  <c r="T17" i="12"/>
  <c r="T16" i="12"/>
  <c r="T15" i="12"/>
  <c r="T14" i="12"/>
  <c r="T13" i="12"/>
  <c r="T12" i="12"/>
  <c r="T11" i="12"/>
  <c r="T10" i="12"/>
  <c r="T9" i="12"/>
  <c r="E6" i="12"/>
  <c r="D6" i="12"/>
  <c r="O1" i="12"/>
  <c r="T39" i="11"/>
  <c r="T38" i="11"/>
  <c r="T37" i="11"/>
  <c r="T36" i="11"/>
  <c r="T35" i="11"/>
  <c r="T34" i="11"/>
  <c r="T33" i="11"/>
  <c r="T32" i="11"/>
  <c r="T31" i="11"/>
  <c r="T30" i="11"/>
  <c r="T29" i="11"/>
  <c r="T28" i="11"/>
  <c r="T27" i="11"/>
  <c r="T26" i="11"/>
  <c r="T25" i="11"/>
  <c r="T24" i="11"/>
  <c r="T23" i="11"/>
  <c r="T22" i="11"/>
  <c r="T21" i="11"/>
  <c r="T20" i="11"/>
  <c r="T19" i="11"/>
  <c r="T18" i="11"/>
  <c r="T17" i="11"/>
  <c r="T16" i="11"/>
  <c r="T15" i="11"/>
  <c r="T14" i="11"/>
  <c r="T13" i="11"/>
  <c r="T12" i="11"/>
  <c r="T11" i="11"/>
  <c r="T10" i="11"/>
  <c r="T9" i="11"/>
  <c r="E6" i="11"/>
  <c r="D6" i="11"/>
  <c r="O1" i="11"/>
  <c r="T39" i="10"/>
  <c r="T38" i="10"/>
  <c r="T37" i="10"/>
  <c r="T36" i="10"/>
  <c r="T35" i="10"/>
  <c r="T34" i="10"/>
  <c r="T33" i="10"/>
  <c r="T32" i="10"/>
  <c r="T31" i="10"/>
  <c r="T30" i="10"/>
  <c r="T29" i="10"/>
  <c r="T28" i="10"/>
  <c r="T27" i="10"/>
  <c r="T26" i="10"/>
  <c r="T25" i="10"/>
  <c r="T24" i="10"/>
  <c r="T23" i="10"/>
  <c r="T22" i="10"/>
  <c r="T21" i="10"/>
  <c r="T20" i="10"/>
  <c r="T19" i="10"/>
  <c r="T18" i="10"/>
  <c r="T17" i="10"/>
  <c r="T16" i="10"/>
  <c r="T15" i="10"/>
  <c r="T14" i="10"/>
  <c r="T13" i="10"/>
  <c r="T12" i="10"/>
  <c r="T11" i="10"/>
  <c r="T10" i="10"/>
  <c r="T9" i="10"/>
  <c r="E6" i="10"/>
  <c r="D6" i="10"/>
  <c r="O1" i="10"/>
  <c r="T39" i="9"/>
  <c r="T38" i="9"/>
  <c r="T37" i="9"/>
  <c r="T36" i="9"/>
  <c r="T35" i="9"/>
  <c r="T34" i="9"/>
  <c r="T33" i="9"/>
  <c r="T32" i="9"/>
  <c r="T31" i="9"/>
  <c r="T30" i="9"/>
  <c r="T29" i="9"/>
  <c r="T28" i="9"/>
  <c r="T27" i="9"/>
  <c r="T26" i="9"/>
  <c r="T25" i="9"/>
  <c r="T24" i="9"/>
  <c r="T23" i="9"/>
  <c r="T22" i="9"/>
  <c r="T21" i="9"/>
  <c r="T20" i="9"/>
  <c r="T19" i="9"/>
  <c r="T18" i="9"/>
  <c r="T17" i="9"/>
  <c r="T16" i="9"/>
  <c r="T15" i="9"/>
  <c r="T14" i="9"/>
  <c r="T13" i="9"/>
  <c r="T12" i="9"/>
  <c r="T11" i="9"/>
  <c r="T10" i="9"/>
  <c r="T9" i="9"/>
  <c r="E6" i="9"/>
  <c r="D6" i="9"/>
  <c r="F6" i="9" s="1"/>
  <c r="B9" i="9" s="1"/>
  <c r="O1" i="9"/>
  <c r="T39" i="8"/>
  <c r="T38" i="8"/>
  <c r="T37" i="8"/>
  <c r="T36" i="8"/>
  <c r="T35" i="8"/>
  <c r="T34" i="8"/>
  <c r="T33" i="8"/>
  <c r="T32" i="8"/>
  <c r="T31" i="8"/>
  <c r="T30" i="8"/>
  <c r="T29" i="8"/>
  <c r="T28" i="8"/>
  <c r="T27" i="8"/>
  <c r="T26" i="8"/>
  <c r="T25" i="8"/>
  <c r="T24" i="8"/>
  <c r="T23" i="8"/>
  <c r="T22" i="8"/>
  <c r="T21" i="8"/>
  <c r="T20" i="8"/>
  <c r="T19" i="8"/>
  <c r="T18" i="8"/>
  <c r="T17" i="8"/>
  <c r="T16" i="8"/>
  <c r="T15" i="8"/>
  <c r="T14" i="8"/>
  <c r="T13" i="8"/>
  <c r="T12" i="8"/>
  <c r="T11" i="8"/>
  <c r="T10" i="8"/>
  <c r="T9" i="8"/>
  <c r="E6" i="8"/>
  <c r="D6" i="8"/>
  <c r="O1" i="8"/>
  <c r="T39" i="7"/>
  <c r="T38" i="7"/>
  <c r="T37" i="7"/>
  <c r="T36" i="7"/>
  <c r="T35" i="7"/>
  <c r="T34" i="7"/>
  <c r="T33" i="7"/>
  <c r="T32" i="7"/>
  <c r="T31" i="7"/>
  <c r="T30" i="7"/>
  <c r="T29" i="7"/>
  <c r="T28" i="7"/>
  <c r="T27" i="7"/>
  <c r="T26" i="7"/>
  <c r="T25" i="7"/>
  <c r="T24" i="7"/>
  <c r="T23" i="7"/>
  <c r="T22" i="7"/>
  <c r="T21" i="7"/>
  <c r="T20" i="7"/>
  <c r="T19" i="7"/>
  <c r="T18" i="7"/>
  <c r="T17" i="7"/>
  <c r="T16" i="7"/>
  <c r="T15" i="7"/>
  <c r="T14" i="7"/>
  <c r="T13" i="7"/>
  <c r="T12" i="7"/>
  <c r="T11" i="7"/>
  <c r="T10" i="7"/>
  <c r="T9" i="7"/>
  <c r="E6" i="7"/>
  <c r="D6" i="7"/>
  <c r="O1" i="7"/>
  <c r="T39" i="6"/>
  <c r="T38" i="6"/>
  <c r="T37" i="6"/>
  <c r="T36" i="6"/>
  <c r="T35" i="6"/>
  <c r="T34" i="6"/>
  <c r="T33" i="6"/>
  <c r="T32" i="6"/>
  <c r="T31" i="6"/>
  <c r="T30" i="6"/>
  <c r="T29" i="6"/>
  <c r="T28" i="6"/>
  <c r="T27" i="6"/>
  <c r="T26" i="6"/>
  <c r="T25" i="6"/>
  <c r="T24" i="6"/>
  <c r="T23" i="6"/>
  <c r="T22" i="6"/>
  <c r="T21" i="6"/>
  <c r="T20" i="6"/>
  <c r="T19" i="6"/>
  <c r="T18" i="6"/>
  <c r="T17" i="6"/>
  <c r="T16" i="6"/>
  <c r="T15" i="6"/>
  <c r="T14" i="6"/>
  <c r="T13" i="6"/>
  <c r="T12" i="6"/>
  <c r="T11" i="6"/>
  <c r="T10" i="6"/>
  <c r="T9" i="6"/>
  <c r="E6" i="6"/>
  <c r="D6" i="6"/>
  <c r="O1" i="6"/>
  <c r="E6" i="5"/>
  <c r="D6" i="5"/>
  <c r="T39" i="5"/>
  <c r="T38" i="5"/>
  <c r="T37" i="5"/>
  <c r="T36" i="5"/>
  <c r="T35" i="5"/>
  <c r="T34" i="5"/>
  <c r="T33" i="5"/>
  <c r="T32" i="5"/>
  <c r="T31" i="5"/>
  <c r="T30" i="5"/>
  <c r="T29" i="5"/>
  <c r="T28" i="5"/>
  <c r="T27" i="5"/>
  <c r="T26" i="5"/>
  <c r="T25" i="5"/>
  <c r="T24" i="5"/>
  <c r="T23" i="5"/>
  <c r="T22" i="5"/>
  <c r="T21" i="5"/>
  <c r="T20" i="5"/>
  <c r="T19" i="5"/>
  <c r="T18" i="5"/>
  <c r="T17" i="5"/>
  <c r="T16" i="5"/>
  <c r="T15" i="5"/>
  <c r="T14" i="5"/>
  <c r="T13" i="5"/>
  <c r="T12" i="5"/>
  <c r="T11" i="5"/>
  <c r="T10" i="5"/>
  <c r="T9" i="5"/>
  <c r="O1" i="5"/>
  <c r="F6" i="6" l="1"/>
  <c r="B9" i="6" s="1"/>
  <c r="F6" i="7"/>
  <c r="B9" i="7" s="1"/>
  <c r="F6" i="8"/>
  <c r="B9" i="8" s="1"/>
  <c r="B10" i="8" s="1"/>
  <c r="L16" i="15"/>
  <c r="L32" i="15"/>
  <c r="F6" i="11"/>
  <c r="B9" i="11" s="1"/>
  <c r="C9" i="11" s="1"/>
  <c r="F6" i="12"/>
  <c r="B9" i="12" s="1"/>
  <c r="C9" i="12" s="1"/>
  <c r="F6" i="15"/>
  <c r="B9" i="15" s="1"/>
  <c r="L39" i="15"/>
  <c r="L28" i="10"/>
  <c r="L33" i="12"/>
  <c r="L18" i="14"/>
  <c r="L33" i="14"/>
  <c r="S11" i="15"/>
  <c r="R27" i="15"/>
  <c r="P18" i="15"/>
  <c r="P22" i="15"/>
  <c r="S34" i="15"/>
  <c r="P38" i="15"/>
  <c r="R9" i="15"/>
  <c r="R13" i="15"/>
  <c r="S25" i="15"/>
  <c r="P29" i="15"/>
  <c r="P21" i="14"/>
  <c r="L25" i="14"/>
  <c r="P33" i="14"/>
  <c r="P38" i="14"/>
  <c r="L12" i="7"/>
  <c r="L28" i="7"/>
  <c r="L24" i="8"/>
  <c r="R30" i="11"/>
  <c r="L18" i="12"/>
  <c r="L26" i="12"/>
  <c r="L30" i="12"/>
  <c r="R35" i="12"/>
  <c r="F6" i="13"/>
  <c r="B9" i="13" s="1"/>
  <c r="B10" i="13" s="1"/>
  <c r="L10" i="13"/>
  <c r="L14" i="13"/>
  <c r="L19" i="13"/>
  <c r="R30" i="13"/>
  <c r="L31" i="13"/>
  <c r="S22" i="14"/>
  <c r="R31" i="14"/>
  <c r="L35" i="14"/>
  <c r="P17" i="15"/>
  <c r="R21" i="15"/>
  <c r="P26" i="15"/>
  <c r="P30" i="15"/>
  <c r="P35" i="15"/>
  <c r="R39" i="15"/>
  <c r="L23" i="9"/>
  <c r="L31" i="9"/>
  <c r="F6" i="10"/>
  <c r="B9" i="10" s="1"/>
  <c r="C9" i="10" s="1"/>
  <c r="M9" i="10" s="1"/>
  <c r="L11" i="10"/>
  <c r="L15" i="10"/>
  <c r="R26" i="10"/>
  <c r="L27" i="10"/>
  <c r="P35" i="10"/>
  <c r="L36" i="10"/>
  <c r="S15" i="11"/>
  <c r="L20" i="11"/>
  <c r="L11" i="12"/>
  <c r="L19" i="12"/>
  <c r="L27" i="12"/>
  <c r="L31" i="12"/>
  <c r="S36" i="12"/>
  <c r="L37" i="12"/>
  <c r="P12" i="13"/>
  <c r="L16" i="13"/>
  <c r="L20" i="13"/>
  <c r="L28" i="13"/>
  <c r="L32" i="13"/>
  <c r="L9" i="14"/>
  <c r="P12" i="14"/>
  <c r="L17" i="14"/>
  <c r="S24" i="14"/>
  <c r="S28" i="14"/>
  <c r="C9" i="15"/>
  <c r="M9" i="15" s="1"/>
  <c r="P10" i="15"/>
  <c r="P14" i="15"/>
  <c r="P19" i="15"/>
  <c r="L24" i="15"/>
  <c r="P33" i="15"/>
  <c r="R37" i="15"/>
  <c r="S35" i="13"/>
  <c r="R15" i="14"/>
  <c r="L30" i="14"/>
  <c r="L11" i="15"/>
  <c r="L19" i="15"/>
  <c r="L27" i="15"/>
  <c r="L35" i="15"/>
  <c r="L21" i="14"/>
  <c r="L29" i="14"/>
  <c r="L10" i="15"/>
  <c r="L18" i="15"/>
  <c r="L26" i="15"/>
  <c r="L34" i="15"/>
  <c r="L13" i="14"/>
  <c r="L14" i="14"/>
  <c r="P17" i="14"/>
  <c r="R23" i="14"/>
  <c r="L31" i="14"/>
  <c r="L34" i="14"/>
  <c r="S37" i="14"/>
  <c r="L12" i="15"/>
  <c r="L14" i="15"/>
  <c r="L15" i="15"/>
  <c r="S16" i="15"/>
  <c r="L20" i="15"/>
  <c r="L22" i="15"/>
  <c r="L23" i="15"/>
  <c r="R24" i="15"/>
  <c r="L28" i="15"/>
  <c r="L30" i="15"/>
  <c r="L31" i="15"/>
  <c r="R32" i="15"/>
  <c r="L36" i="15"/>
  <c r="L38" i="15"/>
  <c r="S9" i="15"/>
  <c r="B10" i="15"/>
  <c r="R34" i="15"/>
  <c r="R11" i="15"/>
  <c r="S13" i="15"/>
  <c r="S21" i="15"/>
  <c r="P39" i="15"/>
  <c r="R25" i="15"/>
  <c r="L9" i="15"/>
  <c r="L13" i="15"/>
  <c r="L17" i="15"/>
  <c r="L21" i="15"/>
  <c r="L25" i="15"/>
  <c r="L29" i="15"/>
  <c r="L33" i="15"/>
  <c r="L37" i="15"/>
  <c r="L37" i="14"/>
  <c r="S11" i="13"/>
  <c r="P15" i="13"/>
  <c r="P24" i="13"/>
  <c r="L36" i="13"/>
  <c r="P9" i="14"/>
  <c r="L11" i="14"/>
  <c r="R20" i="14"/>
  <c r="L22" i="14"/>
  <c r="L26" i="14"/>
  <c r="P29" i="14"/>
  <c r="R30" i="14"/>
  <c r="S32" i="14"/>
  <c r="S34" i="14"/>
  <c r="L39" i="14"/>
  <c r="L17" i="12"/>
  <c r="L25" i="12"/>
  <c r="L38" i="12"/>
  <c r="S9" i="13"/>
  <c r="S13" i="13"/>
  <c r="L22" i="13"/>
  <c r="L23" i="13"/>
  <c r="L26" i="13"/>
  <c r="L27" i="13"/>
  <c r="L39" i="13"/>
  <c r="L10" i="14"/>
  <c r="P13" i="14"/>
  <c r="S14" i="14"/>
  <c r="L15" i="14"/>
  <c r="P16" i="14"/>
  <c r="L23" i="14"/>
  <c r="P25" i="14"/>
  <c r="L27" i="14"/>
  <c r="R36" i="14"/>
  <c r="L38" i="14"/>
  <c r="P14" i="14"/>
  <c r="P22" i="14"/>
  <c r="F6" i="14"/>
  <c r="B9" i="14" s="1"/>
  <c r="S12" i="14"/>
  <c r="R13" i="14"/>
  <c r="P15" i="14"/>
  <c r="S21" i="14"/>
  <c r="L12" i="14"/>
  <c r="L16" i="14"/>
  <c r="L20" i="14"/>
  <c r="L24" i="14"/>
  <c r="L28" i="14"/>
  <c r="L32" i="14"/>
  <c r="L36" i="14"/>
  <c r="L22" i="11"/>
  <c r="L23" i="11"/>
  <c r="L26" i="11"/>
  <c r="L27" i="11"/>
  <c r="L39" i="11"/>
  <c r="S10" i="12"/>
  <c r="L39" i="12"/>
  <c r="L15" i="13"/>
  <c r="P20" i="13"/>
  <c r="R21" i="13"/>
  <c r="R23" i="13"/>
  <c r="L30" i="13"/>
  <c r="P32" i="13"/>
  <c r="L34" i="13"/>
  <c r="L35" i="13"/>
  <c r="R39" i="13"/>
  <c r="L35" i="8"/>
  <c r="P12" i="9"/>
  <c r="P16" i="9"/>
  <c r="L20" i="9"/>
  <c r="P28" i="9"/>
  <c r="R36" i="9"/>
  <c r="P12" i="10"/>
  <c r="P16" i="10"/>
  <c r="S13" i="11"/>
  <c r="P9" i="12"/>
  <c r="L13" i="12"/>
  <c r="L21" i="12"/>
  <c r="P29" i="12"/>
  <c r="P33" i="12"/>
  <c r="R34" i="12"/>
  <c r="S10" i="13"/>
  <c r="L11" i="13"/>
  <c r="L12" i="13"/>
  <c r="R14" i="13"/>
  <c r="R19" i="13"/>
  <c r="R22" i="13"/>
  <c r="L24" i="13"/>
  <c r="P28" i="13"/>
  <c r="R29" i="13"/>
  <c r="R31" i="13"/>
  <c r="L38" i="13"/>
  <c r="P24" i="11"/>
  <c r="L28" i="11"/>
  <c r="L32" i="11"/>
  <c r="L36" i="11"/>
  <c r="P12" i="12"/>
  <c r="P16" i="12"/>
  <c r="S20" i="12"/>
  <c r="S24" i="12"/>
  <c r="P16" i="13"/>
  <c r="L18" i="13"/>
  <c r="S27" i="13"/>
  <c r="P36" i="13"/>
  <c r="S37" i="13"/>
  <c r="P10" i="13"/>
  <c r="M9" i="13"/>
  <c r="Q9" i="13" s="1"/>
  <c r="C9" i="13"/>
  <c r="L9" i="13"/>
  <c r="L13" i="13"/>
  <c r="L17" i="13"/>
  <c r="L21" i="13"/>
  <c r="L25" i="13"/>
  <c r="L29" i="13"/>
  <c r="L33" i="13"/>
  <c r="L37" i="13"/>
  <c r="P17" i="10"/>
  <c r="R18" i="10"/>
  <c r="L11" i="11"/>
  <c r="L14" i="11"/>
  <c r="L19" i="11"/>
  <c r="L31" i="11"/>
  <c r="P35" i="11"/>
  <c r="L10" i="12"/>
  <c r="L14" i="12"/>
  <c r="P17" i="12"/>
  <c r="P18" i="12"/>
  <c r="L22" i="12"/>
  <c r="P25" i="12"/>
  <c r="P26" i="12"/>
  <c r="P28" i="12"/>
  <c r="L35" i="12"/>
  <c r="R37" i="12"/>
  <c r="P38" i="12"/>
  <c r="L9" i="12"/>
  <c r="S11" i="12"/>
  <c r="R19" i="12"/>
  <c r="R27" i="12"/>
  <c r="L29" i="12"/>
  <c r="P39" i="12"/>
  <c r="P12" i="11"/>
  <c r="L16" i="11"/>
  <c r="P13" i="12"/>
  <c r="L15" i="12"/>
  <c r="P21" i="12"/>
  <c r="L23" i="12"/>
  <c r="P32" i="12"/>
  <c r="L34" i="12"/>
  <c r="L12" i="12"/>
  <c r="L16" i="12"/>
  <c r="L20" i="12"/>
  <c r="L24" i="12"/>
  <c r="L28" i="12"/>
  <c r="L32" i="12"/>
  <c r="L36" i="12"/>
  <c r="L19" i="9"/>
  <c r="L32" i="9"/>
  <c r="L39" i="9"/>
  <c r="L20" i="10"/>
  <c r="L30" i="10"/>
  <c r="L31" i="10"/>
  <c r="P38" i="10"/>
  <c r="L39" i="10"/>
  <c r="R11" i="11"/>
  <c r="L15" i="11"/>
  <c r="P20" i="11"/>
  <c r="S21" i="11"/>
  <c r="P23" i="11"/>
  <c r="L30" i="11"/>
  <c r="P32" i="11"/>
  <c r="L34" i="11"/>
  <c r="L35" i="11"/>
  <c r="R39" i="11"/>
  <c r="L10" i="9"/>
  <c r="R14" i="9"/>
  <c r="L22" i="9"/>
  <c r="L26" i="9"/>
  <c r="R30" i="9"/>
  <c r="R10" i="10"/>
  <c r="L14" i="10"/>
  <c r="L16" i="10"/>
  <c r="R19" i="10"/>
  <c r="R23" i="10"/>
  <c r="P28" i="10"/>
  <c r="R33" i="10"/>
  <c r="L10" i="11"/>
  <c r="L12" i="11"/>
  <c r="R14" i="11"/>
  <c r="R19" i="11"/>
  <c r="R22" i="11"/>
  <c r="L24" i="11"/>
  <c r="P28" i="11"/>
  <c r="R29" i="11"/>
  <c r="P31" i="11"/>
  <c r="P38" i="11"/>
  <c r="L26" i="10"/>
  <c r="P32" i="10"/>
  <c r="P16" i="11"/>
  <c r="L18" i="11"/>
  <c r="R27" i="11"/>
  <c r="S36" i="11"/>
  <c r="P37" i="11"/>
  <c r="B10" i="11"/>
  <c r="S14" i="11"/>
  <c r="L9" i="11"/>
  <c r="L13" i="11"/>
  <c r="L17" i="11"/>
  <c r="L21" i="11"/>
  <c r="L25" i="11"/>
  <c r="L29" i="11"/>
  <c r="L33" i="11"/>
  <c r="L37" i="11"/>
  <c r="L38" i="11"/>
  <c r="L12" i="10"/>
  <c r="L32" i="10"/>
  <c r="L28" i="6"/>
  <c r="L16" i="7"/>
  <c r="L32" i="7"/>
  <c r="L37" i="7"/>
  <c r="S12" i="8"/>
  <c r="L16" i="8"/>
  <c r="P20" i="8"/>
  <c r="S32" i="8"/>
  <c r="L36" i="8"/>
  <c r="R13" i="9"/>
  <c r="L24" i="9"/>
  <c r="S27" i="9"/>
  <c r="S31" i="9"/>
  <c r="P32" i="9"/>
  <c r="P37" i="9"/>
  <c r="P15" i="10"/>
  <c r="L19" i="10"/>
  <c r="P24" i="10"/>
  <c r="R25" i="10"/>
  <c r="R27" i="10"/>
  <c r="L34" i="10"/>
  <c r="L35" i="10"/>
  <c r="P39" i="10"/>
  <c r="L11" i="7"/>
  <c r="L27" i="7"/>
  <c r="S14" i="8"/>
  <c r="R18" i="8"/>
  <c r="L23" i="8"/>
  <c r="L26" i="8"/>
  <c r="L27" i="8"/>
  <c r="L30" i="8"/>
  <c r="S11" i="9"/>
  <c r="R15" i="9"/>
  <c r="P19" i="9"/>
  <c r="P20" i="9"/>
  <c r="R29" i="9"/>
  <c r="R35" i="9"/>
  <c r="R39" i="9"/>
  <c r="S9" i="10"/>
  <c r="L10" i="10"/>
  <c r="S11" i="10"/>
  <c r="L18" i="10"/>
  <c r="P20" i="10"/>
  <c r="L22" i="10"/>
  <c r="L23" i="10"/>
  <c r="L24" i="10"/>
  <c r="R31" i="10"/>
  <c r="S36" i="10"/>
  <c r="R37" i="10"/>
  <c r="B10" i="10"/>
  <c r="S35" i="10"/>
  <c r="L9" i="10"/>
  <c r="L13" i="10"/>
  <c r="L17" i="10"/>
  <c r="L21" i="10"/>
  <c r="L25" i="10"/>
  <c r="L29" i="10"/>
  <c r="L33" i="10"/>
  <c r="L37" i="10"/>
  <c r="L38" i="10"/>
  <c r="L35" i="9"/>
  <c r="L36" i="9"/>
  <c r="L27" i="6"/>
  <c r="P31" i="6"/>
  <c r="S39" i="6"/>
  <c r="R21" i="7"/>
  <c r="L31" i="7"/>
  <c r="L36" i="7"/>
  <c r="S11" i="8"/>
  <c r="L15" i="8"/>
  <c r="R19" i="8"/>
  <c r="S23" i="8"/>
  <c r="P24" i="8"/>
  <c r="S33" i="8"/>
  <c r="P39" i="8"/>
  <c r="R23" i="9"/>
  <c r="S24" i="9"/>
  <c r="L38" i="9"/>
  <c r="R10" i="9"/>
  <c r="L11" i="9"/>
  <c r="L12" i="9"/>
  <c r="L15" i="9"/>
  <c r="L16" i="9"/>
  <c r="P26" i="9"/>
  <c r="L27" i="9"/>
  <c r="L28" i="9"/>
  <c r="S17" i="6"/>
  <c r="S22" i="6"/>
  <c r="S25" i="6"/>
  <c r="S15" i="7"/>
  <c r="P19" i="7"/>
  <c r="P23" i="7"/>
  <c r="S9" i="8"/>
  <c r="R17" i="8"/>
  <c r="L28" i="8"/>
  <c r="S31" i="8"/>
  <c r="R35" i="8"/>
  <c r="R36" i="8"/>
  <c r="S37" i="8"/>
  <c r="L14" i="9"/>
  <c r="L18" i="9"/>
  <c r="L30" i="9"/>
  <c r="L34" i="9"/>
  <c r="B10" i="9"/>
  <c r="M9" i="9"/>
  <c r="C9" i="9"/>
  <c r="S12" i="9"/>
  <c r="L9" i="9"/>
  <c r="L13" i="9"/>
  <c r="L17" i="9"/>
  <c r="L21" i="9"/>
  <c r="L25" i="9"/>
  <c r="L29" i="9"/>
  <c r="L33" i="9"/>
  <c r="L37" i="9"/>
  <c r="L11" i="6"/>
  <c r="L23" i="6"/>
  <c r="P20" i="7"/>
  <c r="P24" i="7"/>
  <c r="L33" i="7"/>
  <c r="L10" i="8"/>
  <c r="R27" i="8"/>
  <c r="P28" i="8"/>
  <c r="L38" i="8"/>
  <c r="L15" i="7"/>
  <c r="L11" i="8"/>
  <c r="L12" i="8"/>
  <c r="L19" i="8"/>
  <c r="L20" i="8"/>
  <c r="R30" i="8"/>
  <c r="L31" i="8"/>
  <c r="L32" i="8"/>
  <c r="L39" i="8"/>
  <c r="L16" i="6"/>
  <c r="P20" i="6"/>
  <c r="S34" i="6"/>
  <c r="L38" i="6"/>
  <c r="L18" i="7"/>
  <c r="R22" i="7"/>
  <c r="L29" i="7"/>
  <c r="S34" i="7"/>
  <c r="S39" i="7"/>
  <c r="L14" i="8"/>
  <c r="P15" i="8"/>
  <c r="P16" i="8"/>
  <c r="L18" i="8"/>
  <c r="L22" i="8"/>
  <c r="S25" i="8"/>
  <c r="S34" i="8"/>
  <c r="L9" i="8"/>
  <c r="L13" i="8"/>
  <c r="L17" i="8"/>
  <c r="L21" i="8"/>
  <c r="L25" i="8"/>
  <c r="L29" i="8"/>
  <c r="L33" i="8"/>
  <c r="L37" i="8"/>
  <c r="L34" i="8"/>
  <c r="S16" i="7"/>
  <c r="L21" i="7"/>
  <c r="L25" i="7"/>
  <c r="P31" i="7"/>
  <c r="P32" i="7"/>
  <c r="S33" i="7"/>
  <c r="S38" i="7"/>
  <c r="L12" i="6"/>
  <c r="L15" i="6"/>
  <c r="P19" i="6"/>
  <c r="L24" i="6"/>
  <c r="S27" i="6"/>
  <c r="P28" i="6"/>
  <c r="L39" i="6"/>
  <c r="R11" i="7"/>
  <c r="P12" i="7"/>
  <c r="L14" i="7"/>
  <c r="P18" i="7"/>
  <c r="L19" i="7"/>
  <c r="L20" i="7"/>
  <c r="L23" i="7"/>
  <c r="L24" i="7"/>
  <c r="P27" i="7"/>
  <c r="P28" i="7"/>
  <c r="L30" i="7"/>
  <c r="P36" i="7"/>
  <c r="P37" i="7"/>
  <c r="L39" i="7"/>
  <c r="L10" i="6"/>
  <c r="L14" i="6"/>
  <c r="P32" i="6"/>
  <c r="L10" i="7"/>
  <c r="L22" i="7"/>
  <c r="L26" i="7"/>
  <c r="S29" i="7"/>
  <c r="L35" i="7"/>
  <c r="B10" i="7"/>
  <c r="M9" i="7"/>
  <c r="C9" i="7"/>
  <c r="L9" i="7"/>
  <c r="L13" i="7"/>
  <c r="L17" i="7"/>
  <c r="L34" i="7"/>
  <c r="L38" i="7"/>
  <c r="L19" i="6"/>
  <c r="L20" i="6"/>
  <c r="L31" i="6"/>
  <c r="L32" i="6"/>
  <c r="L22" i="6"/>
  <c r="S23" i="6"/>
  <c r="P24" i="6"/>
  <c r="L26" i="6"/>
  <c r="S35" i="6"/>
  <c r="S36" i="6"/>
  <c r="S37" i="6"/>
  <c r="R38" i="6"/>
  <c r="P9" i="6"/>
  <c r="P15" i="6"/>
  <c r="P16" i="6"/>
  <c r="L18" i="6"/>
  <c r="L30" i="6"/>
  <c r="R33" i="6"/>
  <c r="L35" i="6"/>
  <c r="L36" i="6"/>
  <c r="B10" i="6"/>
  <c r="C9" i="6"/>
  <c r="M9" i="6" s="1"/>
  <c r="L9" i="6"/>
  <c r="L13" i="6"/>
  <c r="L17" i="6"/>
  <c r="L21" i="6"/>
  <c r="L25" i="6"/>
  <c r="L29" i="6"/>
  <c r="L33" i="6"/>
  <c r="L37" i="6"/>
  <c r="L34" i="6"/>
  <c r="F6" i="5"/>
  <c r="B9" i="5" s="1"/>
  <c r="R24" i="5"/>
  <c r="S28" i="5"/>
  <c r="L32" i="5"/>
  <c r="P19" i="5"/>
  <c r="R23" i="5"/>
  <c r="P25" i="5"/>
  <c r="L21" i="5"/>
  <c r="L10" i="5"/>
  <c r="L14" i="5"/>
  <c r="L22" i="5"/>
  <c r="L24" i="5"/>
  <c r="L25" i="5"/>
  <c r="P17" i="5"/>
  <c r="L31" i="5"/>
  <c r="L35" i="5"/>
  <c r="R36" i="5"/>
  <c r="R37" i="5"/>
  <c r="L38" i="5"/>
  <c r="L16" i="5"/>
  <c r="L17" i="5"/>
  <c r="L13" i="5"/>
  <c r="L20" i="5"/>
  <c r="P29" i="5"/>
  <c r="L33" i="5"/>
  <c r="R35" i="5"/>
  <c r="L36" i="5"/>
  <c r="L37" i="5"/>
  <c r="L12" i="5"/>
  <c r="L19" i="5"/>
  <c r="P20" i="5"/>
  <c r="P21" i="5"/>
  <c r="L23" i="5"/>
  <c r="L27" i="5"/>
  <c r="L30" i="5"/>
  <c r="L39" i="5"/>
  <c r="L9" i="5"/>
  <c r="L28" i="5"/>
  <c r="L29" i="5"/>
  <c r="L11" i="5"/>
  <c r="L15" i="5"/>
  <c r="R32" i="5"/>
  <c r="S33" i="5"/>
  <c r="L18" i="5"/>
  <c r="L34" i="5"/>
  <c r="B10" i="5"/>
  <c r="L26" i="5"/>
  <c r="T39" i="1"/>
  <c r="T38" i="1"/>
  <c r="T37" i="1"/>
  <c r="T36" i="1"/>
  <c r="T35" i="1"/>
  <c r="T34" i="1"/>
  <c r="T33" i="1"/>
  <c r="T32" i="1"/>
  <c r="T31" i="1"/>
  <c r="T30" i="1"/>
  <c r="T29" i="1"/>
  <c r="T28" i="1"/>
  <c r="T27" i="1"/>
  <c r="T26" i="1"/>
  <c r="T25" i="1"/>
  <c r="T24" i="1"/>
  <c r="T23" i="1"/>
  <c r="T22" i="1"/>
  <c r="T21" i="1"/>
  <c r="T20" i="1"/>
  <c r="T19" i="1"/>
  <c r="T18" i="1"/>
  <c r="T17" i="1"/>
  <c r="T16" i="1"/>
  <c r="T15" i="1"/>
  <c r="T14" i="1"/>
  <c r="T13" i="1"/>
  <c r="T12" i="1"/>
  <c r="T11" i="1"/>
  <c r="T10" i="1"/>
  <c r="T9" i="1"/>
  <c r="P24" i="14" l="1"/>
  <c r="P15" i="11"/>
  <c r="S35" i="9"/>
  <c r="P34" i="6"/>
  <c r="S35" i="11"/>
  <c r="P25" i="6"/>
  <c r="R12" i="12"/>
  <c r="P35" i="13"/>
  <c r="S22" i="15"/>
  <c r="S24" i="8"/>
  <c r="R23" i="11"/>
  <c r="P21" i="13"/>
  <c r="R17" i="15"/>
  <c r="S35" i="15"/>
  <c r="P11" i="11"/>
  <c r="C9" i="8"/>
  <c r="R37" i="9"/>
  <c r="R9" i="13"/>
  <c r="R28" i="10"/>
  <c r="R28" i="11"/>
  <c r="S11" i="11"/>
  <c r="B10" i="12"/>
  <c r="B11" i="12" s="1"/>
  <c r="S16" i="10"/>
  <c r="S23" i="11"/>
  <c r="P29" i="11"/>
  <c r="R38" i="15"/>
  <c r="M9" i="12"/>
  <c r="Q9" i="12" s="1"/>
  <c r="P27" i="15"/>
  <c r="M9" i="8"/>
  <c r="Q9" i="8" s="1"/>
  <c r="R28" i="9"/>
  <c r="P31" i="14"/>
  <c r="R29" i="15"/>
  <c r="S35" i="8"/>
  <c r="P11" i="8"/>
  <c r="P24" i="9"/>
  <c r="R35" i="10"/>
  <c r="M9" i="11"/>
  <c r="Q9" i="11" s="1"/>
  <c r="S34" i="12"/>
  <c r="S23" i="13"/>
  <c r="S15" i="14"/>
  <c r="R33" i="14"/>
  <c r="R12" i="14"/>
  <c r="R22" i="14"/>
  <c r="P25" i="15"/>
  <c r="S39" i="15"/>
  <c r="P34" i="15"/>
  <c r="P39" i="6"/>
  <c r="R9" i="8"/>
  <c r="P31" i="9"/>
  <c r="S15" i="9"/>
  <c r="P36" i="12"/>
  <c r="P21" i="15"/>
  <c r="P11" i="15"/>
  <c r="R11" i="8"/>
  <c r="R12" i="10"/>
  <c r="R36" i="12"/>
  <c r="P34" i="12"/>
  <c r="P37" i="13"/>
  <c r="S33" i="14"/>
  <c r="R34" i="7"/>
  <c r="S19" i="8"/>
  <c r="P20" i="12"/>
  <c r="P30" i="13"/>
  <c r="S12" i="13"/>
  <c r="S18" i="15"/>
  <c r="S28" i="6"/>
  <c r="P14" i="8"/>
  <c r="P36" i="9"/>
  <c r="S26" i="10"/>
  <c r="R15" i="11"/>
  <c r="S21" i="13"/>
  <c r="R35" i="13"/>
  <c r="P36" i="14"/>
  <c r="R24" i="14"/>
  <c r="R21" i="14"/>
  <c r="S17" i="15"/>
  <c r="P13" i="15"/>
  <c r="R35" i="15"/>
  <c r="R19" i="15"/>
  <c r="P26" i="10"/>
  <c r="S39" i="10"/>
  <c r="R12" i="13"/>
  <c r="S36" i="14"/>
  <c r="R16" i="14"/>
  <c r="S19" i="15"/>
  <c r="R22" i="15"/>
  <c r="Q9" i="15"/>
  <c r="R39" i="6"/>
  <c r="R11" i="13"/>
  <c r="Q9" i="9"/>
  <c r="Q9" i="7"/>
  <c r="R16" i="12"/>
  <c r="S29" i="15"/>
  <c r="S27" i="15"/>
  <c r="R10" i="15"/>
  <c r="R33" i="15"/>
  <c r="S38" i="15"/>
  <c r="P9" i="15"/>
  <c r="R30" i="15"/>
  <c r="S14" i="15"/>
  <c r="S30" i="15"/>
  <c r="R18" i="15"/>
  <c r="P16" i="15"/>
  <c r="S37" i="15"/>
  <c r="P23" i="14"/>
  <c r="P37" i="14"/>
  <c r="R28" i="14"/>
  <c r="S23" i="14"/>
  <c r="P28" i="14"/>
  <c r="S30" i="14"/>
  <c r="S38" i="14"/>
  <c r="S29" i="14"/>
  <c r="R38" i="14"/>
  <c r="R29" i="14"/>
  <c r="S13" i="14"/>
  <c r="R36" i="13"/>
  <c r="R15" i="13"/>
  <c r="P13" i="13"/>
  <c r="S15" i="13"/>
  <c r="P9" i="13"/>
  <c r="S30" i="13"/>
  <c r="R20" i="13"/>
  <c r="P14" i="13"/>
  <c r="P27" i="13"/>
  <c r="P11" i="13"/>
  <c r="S37" i="12"/>
  <c r="R33" i="12"/>
  <c r="R24" i="12"/>
  <c r="P10" i="12"/>
  <c r="R9" i="12"/>
  <c r="R21" i="12"/>
  <c r="S27" i="11"/>
  <c r="S30" i="11"/>
  <c r="R12" i="11"/>
  <c r="P25" i="10"/>
  <c r="Q9" i="10"/>
  <c r="S37" i="10"/>
  <c r="P11" i="10"/>
  <c r="S19" i="10"/>
  <c r="S28" i="10"/>
  <c r="R17" i="10"/>
  <c r="R24" i="9"/>
  <c r="R20" i="9"/>
  <c r="S37" i="9"/>
  <c r="S36" i="9"/>
  <c r="S10" i="9"/>
  <c r="S20" i="9"/>
  <c r="R20" i="8"/>
  <c r="S18" i="8"/>
  <c r="S20" i="8"/>
  <c r="R34" i="8"/>
  <c r="P18" i="8"/>
  <c r="R9" i="6"/>
  <c r="Q9" i="6"/>
  <c r="P21" i="7"/>
  <c r="P29" i="9"/>
  <c r="P19" i="10"/>
  <c r="R38" i="10"/>
  <c r="S12" i="10"/>
  <c r="P30" i="11"/>
  <c r="S18" i="12"/>
  <c r="S12" i="12"/>
  <c r="R37" i="13"/>
  <c r="R28" i="13"/>
  <c r="P23" i="13"/>
  <c r="P32" i="14"/>
  <c r="R34" i="14"/>
  <c r="S9" i="14"/>
  <c r="R14" i="15"/>
  <c r="S10" i="15"/>
  <c r="P24" i="15"/>
  <c r="P37" i="15"/>
  <c r="C9" i="5"/>
  <c r="M9" i="5" s="1"/>
  <c r="Q9" i="5" s="1"/>
  <c r="P15" i="7"/>
  <c r="S30" i="9"/>
  <c r="R16" i="9"/>
  <c r="S18" i="10"/>
  <c r="S38" i="10"/>
  <c r="R20" i="11"/>
  <c r="R24" i="11"/>
  <c r="S32" i="11"/>
  <c r="S35" i="12"/>
  <c r="R28" i="12"/>
  <c r="S17" i="12"/>
  <c r="S28" i="13"/>
  <c r="R32" i="14"/>
  <c r="S33" i="15"/>
  <c r="R26" i="15"/>
  <c r="R16" i="15"/>
  <c r="P30" i="9"/>
  <c r="S16" i="9"/>
  <c r="R31" i="11"/>
  <c r="S20" i="11"/>
  <c r="S24" i="11"/>
  <c r="P35" i="12"/>
  <c r="P27" i="12"/>
  <c r="S14" i="13"/>
  <c r="R16" i="13"/>
  <c r="S31" i="14"/>
  <c r="S26" i="15"/>
  <c r="P32" i="15"/>
  <c r="R32" i="7"/>
  <c r="S28" i="9"/>
  <c r="S37" i="11"/>
  <c r="S31" i="11"/>
  <c r="S22" i="11"/>
  <c r="P13" i="11"/>
  <c r="S19" i="11"/>
  <c r="R20" i="12"/>
  <c r="S29" i="12"/>
  <c r="S31" i="13"/>
  <c r="S20" i="13"/>
  <c r="S16" i="13"/>
  <c r="R37" i="14"/>
  <c r="S25" i="14"/>
  <c r="S17" i="14"/>
  <c r="P30" i="14"/>
  <c r="S32" i="15"/>
  <c r="S24" i="15"/>
  <c r="R16" i="7"/>
  <c r="P37" i="8"/>
  <c r="S33" i="10"/>
  <c r="S25" i="10"/>
  <c r="R39" i="10"/>
  <c r="P33" i="10"/>
  <c r="R37" i="11"/>
  <c r="P22" i="11"/>
  <c r="R13" i="11"/>
  <c r="R32" i="11"/>
  <c r="S16" i="11"/>
  <c r="S39" i="12"/>
  <c r="R29" i="12"/>
  <c r="R11" i="12"/>
  <c r="P31" i="13"/>
  <c r="S22" i="13"/>
  <c r="R32" i="13"/>
  <c r="S24" i="13"/>
  <c r="P20" i="14"/>
  <c r="R17" i="14"/>
  <c r="P11" i="12"/>
  <c r="R39" i="8"/>
  <c r="S32" i="10"/>
  <c r="R36" i="11"/>
  <c r="P39" i="11"/>
  <c r="S32" i="13"/>
  <c r="S20" i="14"/>
  <c r="S28" i="15"/>
  <c r="P28" i="15"/>
  <c r="R28" i="15"/>
  <c r="S12" i="15"/>
  <c r="P12" i="15"/>
  <c r="R12" i="15"/>
  <c r="P23" i="15"/>
  <c r="R23" i="15"/>
  <c r="S23" i="15"/>
  <c r="P31" i="15"/>
  <c r="R31" i="15"/>
  <c r="S31" i="15"/>
  <c r="S36" i="15"/>
  <c r="R36" i="15"/>
  <c r="P36" i="15"/>
  <c r="S20" i="15"/>
  <c r="P20" i="15"/>
  <c r="R20" i="15"/>
  <c r="P15" i="15"/>
  <c r="R15" i="15"/>
  <c r="S15" i="15"/>
  <c r="B11" i="15"/>
  <c r="M10" i="15"/>
  <c r="Q10" i="15" s="1"/>
  <c r="C10" i="15"/>
  <c r="R25" i="6"/>
  <c r="P35" i="8"/>
  <c r="P9" i="8"/>
  <c r="R24" i="8"/>
  <c r="P32" i="8"/>
  <c r="P11" i="9"/>
  <c r="R32" i="10"/>
  <c r="R15" i="10"/>
  <c r="P36" i="11"/>
  <c r="S12" i="11"/>
  <c r="R35" i="11"/>
  <c r="P19" i="11"/>
  <c r="S33" i="12"/>
  <c r="S28" i="12"/>
  <c r="S9" i="12"/>
  <c r="P24" i="12"/>
  <c r="P37" i="12"/>
  <c r="R10" i="12"/>
  <c r="S36" i="13"/>
  <c r="R24" i="13"/>
  <c r="S16" i="14"/>
  <c r="P34" i="14"/>
  <c r="R25" i="14"/>
  <c r="R9" i="14"/>
  <c r="R32" i="12"/>
  <c r="S13" i="12"/>
  <c r="R19" i="7"/>
  <c r="R12" i="9"/>
  <c r="P27" i="9"/>
  <c r="S27" i="10"/>
  <c r="S17" i="10"/>
  <c r="S29" i="11"/>
  <c r="S39" i="11"/>
  <c r="S25" i="12"/>
  <c r="P19" i="12"/>
  <c r="R18" i="12"/>
  <c r="S32" i="12"/>
  <c r="R13" i="12"/>
  <c r="S39" i="13"/>
  <c r="S19" i="13"/>
  <c r="R13" i="13"/>
  <c r="R14" i="14"/>
  <c r="P35" i="14"/>
  <c r="S35" i="14"/>
  <c r="R35" i="14"/>
  <c r="P19" i="14"/>
  <c r="S19" i="14"/>
  <c r="R19" i="14"/>
  <c r="P26" i="14"/>
  <c r="R26" i="14"/>
  <c r="S26" i="14"/>
  <c r="B10" i="14"/>
  <c r="C9" i="14"/>
  <c r="M9" i="14" s="1"/>
  <c r="Q9" i="14" s="1"/>
  <c r="P27" i="14"/>
  <c r="S27" i="14"/>
  <c r="R27" i="14"/>
  <c r="P18" i="14"/>
  <c r="R18" i="14"/>
  <c r="S18" i="14"/>
  <c r="P11" i="14"/>
  <c r="S11" i="14"/>
  <c r="R11" i="14"/>
  <c r="P39" i="14"/>
  <c r="S39" i="14"/>
  <c r="R39" i="14"/>
  <c r="P10" i="14"/>
  <c r="R10" i="14"/>
  <c r="S10" i="14"/>
  <c r="P17" i="6"/>
  <c r="R32" i="6"/>
  <c r="R37" i="7"/>
  <c r="S11" i="7"/>
  <c r="P39" i="7"/>
  <c r="S19" i="7"/>
  <c r="P19" i="8"/>
  <c r="R37" i="8"/>
  <c r="S39" i="8"/>
  <c r="S13" i="9"/>
  <c r="R19" i="9"/>
  <c r="P10" i="9"/>
  <c r="P18" i="10"/>
  <c r="P27" i="11"/>
  <c r="S26" i="12"/>
  <c r="S16" i="12"/>
  <c r="R26" i="12"/>
  <c r="P22" i="13"/>
  <c r="P39" i="13"/>
  <c r="R27" i="13"/>
  <c r="P19" i="13"/>
  <c r="R10" i="13"/>
  <c r="R17" i="6"/>
  <c r="R27" i="7"/>
  <c r="S30" i="8"/>
  <c r="R38" i="11"/>
  <c r="R38" i="12"/>
  <c r="S29" i="13"/>
  <c r="P29" i="13"/>
  <c r="R20" i="7"/>
  <c r="R38" i="7"/>
  <c r="S39" i="9"/>
  <c r="R16" i="10"/>
  <c r="S38" i="12"/>
  <c r="R17" i="13"/>
  <c r="P17" i="13"/>
  <c r="S17" i="13"/>
  <c r="P34" i="13"/>
  <c r="S34" i="13"/>
  <c r="R34" i="13"/>
  <c r="P18" i="13"/>
  <c r="S18" i="13"/>
  <c r="R18" i="13"/>
  <c r="R38" i="13"/>
  <c r="P38" i="13"/>
  <c r="S38" i="13"/>
  <c r="R33" i="13"/>
  <c r="P33" i="13"/>
  <c r="S33" i="13"/>
  <c r="P26" i="13"/>
  <c r="S26" i="13"/>
  <c r="R26" i="13"/>
  <c r="R25" i="13"/>
  <c r="P25" i="13"/>
  <c r="S25" i="13"/>
  <c r="B11" i="13"/>
  <c r="M10" i="13"/>
  <c r="Q10" i="13" s="1"/>
  <c r="C10" i="13"/>
  <c r="S22" i="7"/>
  <c r="R16" i="8"/>
  <c r="P17" i="8"/>
  <c r="P15" i="9"/>
  <c r="P35" i="9"/>
  <c r="P37" i="10"/>
  <c r="S10" i="10"/>
  <c r="S23" i="10"/>
  <c r="S28" i="11"/>
  <c r="P14" i="11"/>
  <c r="R39" i="12"/>
  <c r="S27" i="12"/>
  <c r="R25" i="12"/>
  <c r="S19" i="12"/>
  <c r="R17" i="12"/>
  <c r="S21" i="12"/>
  <c r="P12" i="8"/>
  <c r="R12" i="8"/>
  <c r="P33" i="8"/>
  <c r="R31" i="9"/>
  <c r="R11" i="10"/>
  <c r="P21" i="11"/>
  <c r="S24" i="7"/>
  <c r="R15" i="7"/>
  <c r="P36" i="8"/>
  <c r="R33" i="8"/>
  <c r="P31" i="12"/>
  <c r="S31" i="12"/>
  <c r="R31" i="12"/>
  <c r="P30" i="12"/>
  <c r="R30" i="12"/>
  <c r="S30" i="12"/>
  <c r="P22" i="12"/>
  <c r="R22" i="12"/>
  <c r="S22" i="12"/>
  <c r="P15" i="12"/>
  <c r="S15" i="12"/>
  <c r="R15" i="12"/>
  <c r="P14" i="12"/>
  <c r="R14" i="12"/>
  <c r="S14" i="12"/>
  <c r="P23" i="12"/>
  <c r="S23" i="12"/>
  <c r="R23" i="12"/>
  <c r="S36" i="7"/>
  <c r="S16" i="6"/>
  <c r="P37" i="6"/>
  <c r="P34" i="7"/>
  <c r="P34" i="8"/>
  <c r="S16" i="8"/>
  <c r="R32" i="8"/>
  <c r="S29" i="9"/>
  <c r="S14" i="9"/>
  <c r="P36" i="10"/>
  <c r="P27" i="10"/>
  <c r="P10" i="10"/>
  <c r="P23" i="10"/>
  <c r="S15" i="10"/>
  <c r="S38" i="11"/>
  <c r="R21" i="11"/>
  <c r="R37" i="6"/>
  <c r="R24" i="6"/>
  <c r="P14" i="9"/>
  <c r="R27" i="9"/>
  <c r="R11" i="9"/>
  <c r="R36" i="10"/>
  <c r="S31" i="10"/>
  <c r="S19" i="6"/>
  <c r="P31" i="10"/>
  <c r="R20" i="10"/>
  <c r="R16" i="11"/>
  <c r="P18" i="11"/>
  <c r="S18" i="11"/>
  <c r="R18" i="11"/>
  <c r="R33" i="11"/>
  <c r="P33" i="11"/>
  <c r="S33" i="11"/>
  <c r="P26" i="11"/>
  <c r="S26" i="11"/>
  <c r="R26" i="11"/>
  <c r="R9" i="11"/>
  <c r="P9" i="11"/>
  <c r="S9" i="11"/>
  <c r="P34" i="11"/>
  <c r="S34" i="11"/>
  <c r="R34" i="11"/>
  <c r="R25" i="11"/>
  <c r="P25" i="11"/>
  <c r="S25" i="11"/>
  <c r="B11" i="11"/>
  <c r="M10" i="11"/>
  <c r="C10" i="11"/>
  <c r="R17" i="11"/>
  <c r="P17" i="11"/>
  <c r="S17" i="11"/>
  <c r="P10" i="11"/>
  <c r="S10" i="11"/>
  <c r="R10" i="11"/>
  <c r="S31" i="6"/>
  <c r="R35" i="6"/>
  <c r="P16" i="7"/>
  <c r="R23" i="8"/>
  <c r="R31" i="8"/>
  <c r="R32" i="9"/>
  <c r="S19" i="9"/>
  <c r="P13" i="9"/>
  <c r="P39" i="9"/>
  <c r="R24" i="10"/>
  <c r="P9" i="10"/>
  <c r="S20" i="10"/>
  <c r="R22" i="6"/>
  <c r="R27" i="6"/>
  <c r="P35" i="6"/>
  <c r="S23" i="7"/>
  <c r="S28" i="7"/>
  <c r="P23" i="8"/>
  <c r="P31" i="8"/>
  <c r="S32" i="9"/>
  <c r="S23" i="9"/>
  <c r="S24" i="10"/>
  <c r="R9" i="10"/>
  <c r="P27" i="6"/>
  <c r="P22" i="6"/>
  <c r="R39" i="7"/>
  <c r="S27" i="8"/>
  <c r="R14" i="8"/>
  <c r="S26" i="9"/>
  <c r="B11" i="10"/>
  <c r="M10" i="10"/>
  <c r="Q10" i="10" s="1"/>
  <c r="C10" i="10"/>
  <c r="R29" i="10"/>
  <c r="P29" i="10"/>
  <c r="S29" i="10"/>
  <c r="P22" i="10"/>
  <c r="S22" i="10"/>
  <c r="R22" i="10"/>
  <c r="R34" i="10"/>
  <c r="P34" i="10"/>
  <c r="S34" i="10"/>
  <c r="R21" i="10"/>
  <c r="P21" i="10"/>
  <c r="S21" i="10"/>
  <c r="R13" i="10"/>
  <c r="P13" i="10"/>
  <c r="S13" i="10"/>
  <c r="P30" i="10"/>
  <c r="S30" i="10"/>
  <c r="R30" i="10"/>
  <c r="P14" i="10"/>
  <c r="S14" i="10"/>
  <c r="R14" i="10"/>
  <c r="S32" i="7"/>
  <c r="R15" i="8"/>
  <c r="R31" i="6"/>
  <c r="R28" i="6"/>
  <c r="R34" i="6"/>
  <c r="R23" i="7"/>
  <c r="S21" i="7"/>
  <c r="P11" i="7"/>
  <c r="P38" i="7"/>
  <c r="S17" i="8"/>
  <c r="S15" i="8"/>
  <c r="S36" i="8"/>
  <c r="R25" i="8"/>
  <c r="P27" i="8"/>
  <c r="R26" i="9"/>
  <c r="P23" i="9"/>
  <c r="S24" i="5"/>
  <c r="S32" i="6"/>
  <c r="S20" i="7"/>
  <c r="S37" i="7"/>
  <c r="S27" i="7"/>
  <c r="P30" i="8"/>
  <c r="R17" i="9"/>
  <c r="P17" i="9"/>
  <c r="S17" i="9"/>
  <c r="R25" i="9"/>
  <c r="P25" i="9"/>
  <c r="S25" i="9"/>
  <c r="P38" i="9"/>
  <c r="R38" i="9"/>
  <c r="S38" i="9"/>
  <c r="R21" i="9"/>
  <c r="P21" i="9"/>
  <c r="S21" i="9"/>
  <c r="P18" i="9"/>
  <c r="S18" i="9"/>
  <c r="R18" i="9"/>
  <c r="P22" i="9"/>
  <c r="S22" i="9"/>
  <c r="R22" i="9"/>
  <c r="R33" i="9"/>
  <c r="P33" i="9"/>
  <c r="S33" i="9"/>
  <c r="P34" i="9"/>
  <c r="S34" i="9"/>
  <c r="R34" i="9"/>
  <c r="B11" i="9"/>
  <c r="M10" i="9"/>
  <c r="Q10" i="9" s="1"/>
  <c r="C10" i="9"/>
  <c r="R9" i="9"/>
  <c r="P9" i="9"/>
  <c r="S9" i="9"/>
  <c r="S38" i="6"/>
  <c r="P22" i="7"/>
  <c r="P29" i="7"/>
  <c r="P33" i="7"/>
  <c r="S31" i="7"/>
  <c r="S12" i="7"/>
  <c r="S18" i="7"/>
  <c r="R28" i="8"/>
  <c r="P25" i="8"/>
  <c r="R20" i="6"/>
  <c r="R29" i="7"/>
  <c r="S28" i="8"/>
  <c r="P38" i="6"/>
  <c r="S20" i="6"/>
  <c r="R36" i="7"/>
  <c r="R24" i="7"/>
  <c r="P38" i="8"/>
  <c r="S38" i="8"/>
  <c r="R38" i="8"/>
  <c r="R29" i="8"/>
  <c r="P29" i="8"/>
  <c r="S29" i="8"/>
  <c r="B11" i="8"/>
  <c r="M10" i="8"/>
  <c r="C10" i="8"/>
  <c r="R21" i="8"/>
  <c r="P21" i="8"/>
  <c r="S21" i="8"/>
  <c r="P22" i="8"/>
  <c r="S22" i="8"/>
  <c r="R22" i="8"/>
  <c r="P26" i="8"/>
  <c r="S26" i="8"/>
  <c r="R26" i="8"/>
  <c r="R13" i="8"/>
  <c r="P13" i="8"/>
  <c r="S13" i="8"/>
  <c r="P10" i="8"/>
  <c r="S10" i="8"/>
  <c r="R10" i="8"/>
  <c r="R15" i="6"/>
  <c r="P23" i="6"/>
  <c r="R19" i="6"/>
  <c r="R16" i="6"/>
  <c r="P36" i="6"/>
  <c r="S9" i="6"/>
  <c r="R33" i="7"/>
  <c r="R31" i="7"/>
  <c r="R28" i="7"/>
  <c r="R12" i="7"/>
  <c r="S24" i="6"/>
  <c r="R18" i="7"/>
  <c r="P35" i="7"/>
  <c r="S35" i="7"/>
  <c r="R35" i="7"/>
  <c r="R25" i="7"/>
  <c r="P25" i="7"/>
  <c r="S25" i="7"/>
  <c r="R13" i="7"/>
  <c r="P13" i="7"/>
  <c r="S13" i="7"/>
  <c r="P10" i="7"/>
  <c r="S10" i="7"/>
  <c r="R10" i="7"/>
  <c r="R9" i="7"/>
  <c r="P9" i="7"/>
  <c r="S9" i="7"/>
  <c r="B11" i="7"/>
  <c r="M10" i="7"/>
  <c r="Q10" i="7" s="1"/>
  <c r="C10" i="7"/>
  <c r="P26" i="7"/>
  <c r="S26" i="7"/>
  <c r="R26" i="7"/>
  <c r="R17" i="7"/>
  <c r="P17" i="7"/>
  <c r="S17" i="7"/>
  <c r="P14" i="7"/>
  <c r="S14" i="7"/>
  <c r="R14" i="7"/>
  <c r="P35" i="5"/>
  <c r="P9" i="5"/>
  <c r="P33" i="6"/>
  <c r="S15" i="6"/>
  <c r="R36" i="6"/>
  <c r="S33" i="6"/>
  <c r="R23" i="6"/>
  <c r="P30" i="6"/>
  <c r="S30" i="6"/>
  <c r="R30" i="6"/>
  <c r="P18" i="6"/>
  <c r="S18" i="6"/>
  <c r="R18" i="6"/>
  <c r="B11" i="6"/>
  <c r="C10" i="6"/>
  <c r="M10" i="6" s="1"/>
  <c r="Q10" i="6" s="1"/>
  <c r="P14" i="6"/>
  <c r="S14" i="6"/>
  <c r="R14" i="6"/>
  <c r="R13" i="6"/>
  <c r="P13" i="6"/>
  <c r="S13" i="6"/>
  <c r="P10" i="6"/>
  <c r="S10" i="6"/>
  <c r="R10" i="6"/>
  <c r="R21" i="6"/>
  <c r="P21" i="6"/>
  <c r="S21" i="6"/>
  <c r="R29" i="6"/>
  <c r="P29" i="6"/>
  <c r="S29" i="6"/>
  <c r="S23" i="5"/>
  <c r="P24" i="5"/>
  <c r="P23" i="5"/>
  <c r="R17" i="5"/>
  <c r="L9" i="1"/>
  <c r="S19" i="5"/>
  <c r="R19" i="5"/>
  <c r="S20" i="5"/>
  <c r="P28" i="5"/>
  <c r="S25" i="5"/>
  <c r="R28" i="5"/>
  <c r="R25" i="5"/>
  <c r="S37" i="5"/>
  <c r="S9" i="5"/>
  <c r="P37" i="5"/>
  <c r="L26" i="1"/>
  <c r="L30" i="1"/>
  <c r="L34" i="1"/>
  <c r="L38" i="1"/>
  <c r="R9" i="5"/>
  <c r="S17" i="5"/>
  <c r="S21" i="5"/>
  <c r="P36" i="5"/>
  <c r="R33" i="5"/>
  <c r="S36" i="5"/>
  <c r="S29" i="5"/>
  <c r="S35" i="5"/>
  <c r="P33" i="5"/>
  <c r="R21" i="5"/>
  <c r="R29" i="5"/>
  <c r="L15" i="1"/>
  <c r="L39" i="1"/>
  <c r="S32" i="5"/>
  <c r="R20" i="5"/>
  <c r="P32" i="5"/>
  <c r="P31" i="5"/>
  <c r="S31" i="5"/>
  <c r="R31" i="5"/>
  <c r="P15" i="5"/>
  <c r="S15" i="5"/>
  <c r="R15" i="5"/>
  <c r="P30" i="5"/>
  <c r="R30" i="5"/>
  <c r="S30" i="5"/>
  <c r="P14" i="5"/>
  <c r="R14" i="5"/>
  <c r="S14" i="5"/>
  <c r="P27" i="5"/>
  <c r="S27" i="5"/>
  <c r="R27" i="5"/>
  <c r="P10" i="5"/>
  <c r="R10" i="5"/>
  <c r="S10" i="5"/>
  <c r="B11" i="5"/>
  <c r="C10" i="5"/>
  <c r="M10" i="5" s="1"/>
  <c r="Q10" i="5" s="1"/>
  <c r="P34" i="5"/>
  <c r="R34" i="5"/>
  <c r="S34" i="5"/>
  <c r="P39" i="5"/>
  <c r="S39" i="5"/>
  <c r="R39" i="5"/>
  <c r="P26" i="5"/>
  <c r="R26" i="5"/>
  <c r="S26" i="5"/>
  <c r="P38" i="5"/>
  <c r="S38" i="5"/>
  <c r="R38" i="5"/>
  <c r="P22" i="5"/>
  <c r="R22" i="5"/>
  <c r="S22" i="5"/>
  <c r="L11" i="1"/>
  <c r="L19" i="1"/>
  <c r="L27" i="1"/>
  <c r="L17" i="1"/>
  <c r="L21" i="1"/>
  <c r="L25" i="1"/>
  <c r="L29" i="1"/>
  <c r="L33" i="1"/>
  <c r="L10" i="1"/>
  <c r="L18" i="1"/>
  <c r="L22" i="1"/>
  <c r="L23" i="1"/>
  <c r="L31" i="1"/>
  <c r="L35" i="1"/>
  <c r="L12" i="1"/>
  <c r="L16" i="1"/>
  <c r="L20" i="1"/>
  <c r="L24" i="1"/>
  <c r="L28" i="1"/>
  <c r="L32" i="1"/>
  <c r="L36" i="1"/>
  <c r="L37" i="1"/>
  <c r="F6" i="1"/>
  <c r="C10" i="12" l="1"/>
  <c r="M10" i="12" s="1"/>
  <c r="Q10" i="12" s="1"/>
  <c r="Q10" i="8"/>
  <c r="Q10" i="11"/>
  <c r="R7" i="14"/>
  <c r="R7" i="15"/>
  <c r="S7" i="15"/>
  <c r="P7" i="15"/>
  <c r="S7" i="14"/>
  <c r="B12" i="15"/>
  <c r="M11" i="15"/>
  <c r="Q11" i="15" s="1"/>
  <c r="C11" i="15"/>
  <c r="P7" i="14"/>
  <c r="R7" i="12"/>
  <c r="B11" i="14"/>
  <c r="C10" i="14"/>
  <c r="M10" i="14" s="1"/>
  <c r="Q10" i="14" s="1"/>
  <c r="R7" i="13"/>
  <c r="S7" i="13"/>
  <c r="P7" i="13"/>
  <c r="C11" i="13"/>
  <c r="M11" i="13" s="1"/>
  <c r="Q11" i="13" s="1"/>
  <c r="B12" i="13"/>
  <c r="S7" i="12"/>
  <c r="P7" i="12"/>
  <c r="B12" i="12"/>
  <c r="M11" i="12"/>
  <c r="Q11" i="12" s="1"/>
  <c r="C11" i="12"/>
  <c r="S7" i="10"/>
  <c r="S7" i="11"/>
  <c r="B12" i="11"/>
  <c r="C11" i="11"/>
  <c r="M11" i="11" s="1"/>
  <c r="Q11" i="11" s="1"/>
  <c r="P7" i="11"/>
  <c r="R7" i="11"/>
  <c r="P7" i="10"/>
  <c r="R7" i="10"/>
  <c r="C11" i="10"/>
  <c r="B12" i="10"/>
  <c r="M11" i="10"/>
  <c r="Q11" i="10" s="1"/>
  <c r="R7" i="9"/>
  <c r="S7" i="9"/>
  <c r="P7" i="9"/>
  <c r="C11" i="9"/>
  <c r="M11" i="9" s="1"/>
  <c r="Q11" i="9" s="1"/>
  <c r="B12" i="9"/>
  <c r="P7" i="8"/>
  <c r="R7" i="8"/>
  <c r="B12" i="8"/>
  <c r="C11" i="8"/>
  <c r="M11" i="8" s="1"/>
  <c r="Q11" i="8" s="1"/>
  <c r="S7" i="8"/>
  <c r="M11" i="7"/>
  <c r="Q11" i="7" s="1"/>
  <c r="C11" i="7"/>
  <c r="B12" i="7"/>
  <c r="C11" i="6"/>
  <c r="M11" i="6" s="1"/>
  <c r="B12" i="6"/>
  <c r="B12" i="5"/>
  <c r="C11" i="5"/>
  <c r="M11" i="5" s="1"/>
  <c r="P36" i="1"/>
  <c r="S36" i="1"/>
  <c r="R36" i="1"/>
  <c r="P24" i="1"/>
  <c r="S24" i="1"/>
  <c r="R24" i="1"/>
  <c r="P31" i="1"/>
  <c r="S31" i="1"/>
  <c r="R31" i="1"/>
  <c r="P27" i="1"/>
  <c r="S27" i="1"/>
  <c r="R27" i="1"/>
  <c r="P23" i="1"/>
  <c r="S23" i="1"/>
  <c r="R23" i="1"/>
  <c r="P19" i="1"/>
  <c r="S19" i="1"/>
  <c r="R19" i="1"/>
  <c r="P32" i="1"/>
  <c r="S32" i="1"/>
  <c r="R32" i="1"/>
  <c r="P20" i="1"/>
  <c r="S20" i="1"/>
  <c r="R20" i="1"/>
  <c r="P35" i="1"/>
  <c r="S35" i="1"/>
  <c r="R35" i="1"/>
  <c r="P38" i="1"/>
  <c r="S38" i="1"/>
  <c r="R38" i="1"/>
  <c r="P34" i="1"/>
  <c r="S34" i="1"/>
  <c r="R34" i="1"/>
  <c r="P30" i="1"/>
  <c r="S30" i="1"/>
  <c r="R30" i="1"/>
  <c r="P26" i="1"/>
  <c r="S26" i="1"/>
  <c r="R26" i="1"/>
  <c r="P22" i="1"/>
  <c r="S22" i="1"/>
  <c r="R22" i="1"/>
  <c r="P18" i="1"/>
  <c r="S18" i="1"/>
  <c r="R18" i="1"/>
  <c r="P10" i="1"/>
  <c r="S10" i="1"/>
  <c r="R10" i="1"/>
  <c r="P28" i="1"/>
  <c r="S28" i="1"/>
  <c r="R28" i="1"/>
  <c r="P16" i="1"/>
  <c r="S16" i="1"/>
  <c r="R16" i="1"/>
  <c r="P39" i="1"/>
  <c r="S39" i="1"/>
  <c r="R39" i="1"/>
  <c r="P11" i="1"/>
  <c r="S11" i="1"/>
  <c r="R11" i="1"/>
  <c r="P37" i="1"/>
  <c r="S37" i="1"/>
  <c r="R37" i="1"/>
  <c r="P33" i="1"/>
  <c r="S33" i="1"/>
  <c r="R33" i="1"/>
  <c r="P29" i="1"/>
  <c r="S29" i="1"/>
  <c r="R29" i="1"/>
  <c r="P25" i="1"/>
  <c r="S25" i="1"/>
  <c r="R25" i="1"/>
  <c r="P21" i="1"/>
  <c r="S21" i="1"/>
  <c r="R21" i="1"/>
  <c r="P17" i="1"/>
  <c r="S17" i="1"/>
  <c r="R17" i="1"/>
  <c r="H3" i="2"/>
  <c r="Q11" i="6" l="1"/>
  <c r="Q11" i="5"/>
  <c r="B13" i="15"/>
  <c r="M12" i="15"/>
  <c r="Q12" i="15" s="1"/>
  <c r="C12" i="15"/>
  <c r="B12" i="14"/>
  <c r="C11" i="14"/>
  <c r="M11" i="14" s="1"/>
  <c r="Q11" i="14" s="1"/>
  <c r="B13" i="13"/>
  <c r="C12" i="13"/>
  <c r="M12" i="13" s="1"/>
  <c r="Q12" i="13" s="1"/>
  <c r="C12" i="12"/>
  <c r="M12" i="12"/>
  <c r="Q12" i="12" s="1"/>
  <c r="B13" i="12"/>
  <c r="B13" i="11"/>
  <c r="C12" i="11"/>
  <c r="M12" i="11" s="1"/>
  <c r="Q12" i="11" s="1"/>
  <c r="B13" i="10"/>
  <c r="C12" i="10"/>
  <c r="M12" i="10" s="1"/>
  <c r="Q12" i="10" s="1"/>
  <c r="B13" i="9"/>
  <c r="M12" i="9"/>
  <c r="Q12" i="9" s="1"/>
  <c r="C12" i="9"/>
  <c r="B13" i="8"/>
  <c r="C12" i="8"/>
  <c r="M12" i="8" s="1"/>
  <c r="Q12" i="8" s="1"/>
  <c r="B13" i="7"/>
  <c r="C12" i="7"/>
  <c r="M12" i="7" s="1"/>
  <c r="Q12" i="7" s="1"/>
  <c r="B13" i="6"/>
  <c r="C12" i="6"/>
  <c r="M12" i="6" s="1"/>
  <c r="C12" i="5"/>
  <c r="M12" i="5" s="1"/>
  <c r="B13" i="5"/>
  <c r="B9" i="1"/>
  <c r="Q12" i="6" l="1"/>
  <c r="P11" i="6"/>
  <c r="S11" i="6"/>
  <c r="R11" i="6"/>
  <c r="Q12" i="5"/>
  <c r="R11" i="5"/>
  <c r="S11" i="5"/>
  <c r="P11" i="5"/>
  <c r="B14" i="15"/>
  <c r="C13" i="15"/>
  <c r="M13" i="15" s="1"/>
  <c r="Q13" i="15" s="1"/>
  <c r="B13" i="14"/>
  <c r="C12" i="14"/>
  <c r="M12" i="14" s="1"/>
  <c r="Q12" i="14" s="1"/>
  <c r="B14" i="13"/>
  <c r="C13" i="13"/>
  <c r="M13" i="13" s="1"/>
  <c r="Q13" i="13" s="1"/>
  <c r="B14" i="12"/>
  <c r="C13" i="12"/>
  <c r="M13" i="12" s="1"/>
  <c r="Q13" i="12" s="1"/>
  <c r="B14" i="11"/>
  <c r="C13" i="11"/>
  <c r="M13" i="11" s="1"/>
  <c r="Q13" i="11" s="1"/>
  <c r="B14" i="10"/>
  <c r="C13" i="10"/>
  <c r="M13" i="10" s="1"/>
  <c r="Q13" i="10" s="1"/>
  <c r="B14" i="9"/>
  <c r="M13" i="9"/>
  <c r="Q13" i="9" s="1"/>
  <c r="C13" i="9"/>
  <c r="B14" i="8"/>
  <c r="C13" i="8"/>
  <c r="M13" i="8" s="1"/>
  <c r="Q13" i="8" s="1"/>
  <c r="B14" i="7"/>
  <c r="C13" i="7"/>
  <c r="M13" i="7" s="1"/>
  <c r="Q13" i="7" s="1"/>
  <c r="B14" i="6"/>
  <c r="M13" i="6"/>
  <c r="Q13" i="6" s="1"/>
  <c r="C13" i="6"/>
  <c r="B14" i="5"/>
  <c r="C13" i="5"/>
  <c r="M13" i="5" s="1"/>
  <c r="B10" i="1"/>
  <c r="C9" i="1"/>
  <c r="M9" i="1" s="1"/>
  <c r="O1" i="1"/>
  <c r="P12" i="6" l="1"/>
  <c r="R12" i="6"/>
  <c r="S12" i="6"/>
  <c r="Q13" i="5"/>
  <c r="R12" i="5"/>
  <c r="S12" i="5"/>
  <c r="P12" i="5"/>
  <c r="B15" i="15"/>
  <c r="C14" i="15"/>
  <c r="M14" i="15" s="1"/>
  <c r="Q14" i="15" s="1"/>
  <c r="B14" i="14"/>
  <c r="M13" i="14"/>
  <c r="Q13" i="14" s="1"/>
  <c r="C13" i="14"/>
  <c r="B15" i="13"/>
  <c r="C14" i="13"/>
  <c r="M14" i="13" s="1"/>
  <c r="Q14" i="13" s="1"/>
  <c r="B15" i="12"/>
  <c r="C14" i="12"/>
  <c r="M14" i="12" s="1"/>
  <c r="Q14" i="12" s="1"/>
  <c r="B15" i="11"/>
  <c r="M14" i="11"/>
  <c r="Q14" i="11" s="1"/>
  <c r="C14" i="11"/>
  <c r="B15" i="10"/>
  <c r="C14" i="10"/>
  <c r="M14" i="10" s="1"/>
  <c r="Q14" i="10" s="1"/>
  <c r="B15" i="9"/>
  <c r="C14" i="9"/>
  <c r="M14" i="9" s="1"/>
  <c r="Q14" i="9" s="1"/>
  <c r="B15" i="8"/>
  <c r="C14" i="8"/>
  <c r="M14" i="8" s="1"/>
  <c r="Q14" i="8" s="1"/>
  <c r="B15" i="7"/>
  <c r="C14" i="7"/>
  <c r="M14" i="7" s="1"/>
  <c r="Q14" i="7" s="1"/>
  <c r="B15" i="6"/>
  <c r="M14" i="6"/>
  <c r="Q14" i="6" s="1"/>
  <c r="C14" i="6"/>
  <c r="B15" i="5"/>
  <c r="M14" i="5"/>
  <c r="Q14" i="5" s="1"/>
  <c r="C14" i="5"/>
  <c r="B11" i="1"/>
  <c r="C10" i="1"/>
  <c r="M10" i="1" s="1"/>
  <c r="Q10" i="1" s="1"/>
  <c r="I1" i="2"/>
  <c r="J1" i="2" s="1"/>
  <c r="R9" i="1" l="1"/>
  <c r="S9" i="1"/>
  <c r="O9" i="1"/>
  <c r="O10" i="1" s="1"/>
  <c r="O11" i="1" s="1"/>
  <c r="P9" i="1"/>
  <c r="Q9" i="1"/>
  <c r="P13" i="5"/>
  <c r="S13" i="5"/>
  <c r="R13" i="5"/>
  <c r="B16" i="15"/>
  <c r="M15" i="15"/>
  <c r="Q15" i="15" s="1"/>
  <c r="C15" i="15"/>
  <c r="B15" i="14"/>
  <c r="M14" i="14"/>
  <c r="Q14" i="14" s="1"/>
  <c r="C14" i="14"/>
  <c r="C15" i="13"/>
  <c r="M15" i="13" s="1"/>
  <c r="Q15" i="13" s="1"/>
  <c r="B16" i="13"/>
  <c r="B16" i="12"/>
  <c r="C15" i="12"/>
  <c r="M15" i="12" s="1"/>
  <c r="Q15" i="12" s="1"/>
  <c r="C15" i="11"/>
  <c r="M15" i="11"/>
  <c r="Q15" i="11" s="1"/>
  <c r="B16" i="11"/>
  <c r="B16" i="10"/>
  <c r="C15" i="10"/>
  <c r="M15" i="10" s="1"/>
  <c r="Q15" i="10" s="1"/>
  <c r="C15" i="9"/>
  <c r="M15" i="9" s="1"/>
  <c r="Q15" i="9" s="1"/>
  <c r="B16" i="9"/>
  <c r="M15" i="8"/>
  <c r="Q15" i="8" s="1"/>
  <c r="C15" i="8"/>
  <c r="B16" i="8"/>
  <c r="B16" i="7"/>
  <c r="C15" i="7"/>
  <c r="M15" i="7" s="1"/>
  <c r="Q15" i="7" s="1"/>
  <c r="C15" i="6"/>
  <c r="M15" i="6" s="1"/>
  <c r="Q15" i="6" s="1"/>
  <c r="B16" i="6"/>
  <c r="B16" i="5"/>
  <c r="M15" i="5"/>
  <c r="Q15" i="5" s="1"/>
  <c r="C15" i="5"/>
  <c r="M11" i="1"/>
  <c r="Q11" i="1" s="1"/>
  <c r="C11" i="1"/>
  <c r="B12" i="1"/>
  <c r="B1" i="2"/>
  <c r="C1" i="2" s="1"/>
  <c r="D1" i="2" s="1"/>
  <c r="B17" i="15" l="1"/>
  <c r="C16" i="15"/>
  <c r="M16" i="15" s="1"/>
  <c r="Q16" i="15" s="1"/>
  <c r="B16" i="14"/>
  <c r="C15" i="14"/>
  <c r="M15" i="14" s="1"/>
  <c r="Q15" i="14" s="1"/>
  <c r="B17" i="13"/>
  <c r="M16" i="13"/>
  <c r="Q16" i="13" s="1"/>
  <c r="C16" i="13"/>
  <c r="B17" i="12"/>
  <c r="C16" i="12"/>
  <c r="M16" i="12" s="1"/>
  <c r="Q16" i="12" s="1"/>
  <c r="B17" i="11"/>
  <c r="C16" i="11"/>
  <c r="M16" i="11" s="1"/>
  <c r="Q16" i="11" s="1"/>
  <c r="B17" i="10"/>
  <c r="C16" i="10"/>
  <c r="M16" i="10" s="1"/>
  <c r="Q16" i="10" s="1"/>
  <c r="B17" i="9"/>
  <c r="C16" i="9"/>
  <c r="M16" i="9" s="1"/>
  <c r="Q16" i="9" s="1"/>
  <c r="B17" i="8"/>
  <c r="M16" i="8"/>
  <c r="Q16" i="8" s="1"/>
  <c r="C16" i="8"/>
  <c r="B17" i="7"/>
  <c r="C16" i="7"/>
  <c r="M16" i="7" s="1"/>
  <c r="Q16" i="7" s="1"/>
  <c r="B17" i="6"/>
  <c r="C16" i="6"/>
  <c r="M16" i="6" s="1"/>
  <c r="Q16" i="6" s="1"/>
  <c r="B17" i="5"/>
  <c r="C16" i="5"/>
  <c r="M16" i="5" s="1"/>
  <c r="B13" i="1"/>
  <c r="C12" i="1"/>
  <c r="M12" i="1" s="1"/>
  <c r="L13" i="1"/>
  <c r="Q12" i="1" l="1"/>
  <c r="Q16" i="5"/>
  <c r="C17" i="15"/>
  <c r="M17" i="15" s="1"/>
  <c r="Q17" i="15" s="1"/>
  <c r="B18" i="15"/>
  <c r="C16" i="14"/>
  <c r="M16" i="14"/>
  <c r="Q16" i="14" s="1"/>
  <c r="B17" i="14"/>
  <c r="B18" i="13"/>
  <c r="M17" i="13"/>
  <c r="Q17" i="13" s="1"/>
  <c r="C17" i="13"/>
  <c r="B18" i="12"/>
  <c r="C17" i="12"/>
  <c r="M17" i="12" s="1"/>
  <c r="Q17" i="12" s="1"/>
  <c r="B18" i="11"/>
  <c r="C17" i="11"/>
  <c r="M17" i="11" s="1"/>
  <c r="Q17" i="11" s="1"/>
  <c r="B18" i="10"/>
  <c r="M17" i="10"/>
  <c r="Q17" i="10" s="1"/>
  <c r="C17" i="10"/>
  <c r="B18" i="9"/>
  <c r="C17" i="9"/>
  <c r="M17" i="9" s="1"/>
  <c r="Q17" i="9" s="1"/>
  <c r="B18" i="8"/>
  <c r="C17" i="8"/>
  <c r="M17" i="8" s="1"/>
  <c r="Q17" i="8" s="1"/>
  <c r="B18" i="7"/>
  <c r="M17" i="7"/>
  <c r="Q17" i="7" s="1"/>
  <c r="C17" i="7"/>
  <c r="B18" i="6"/>
  <c r="C17" i="6"/>
  <c r="M17" i="6" s="1"/>
  <c r="Q17" i="6" s="1"/>
  <c r="B18" i="5"/>
  <c r="C17" i="5"/>
  <c r="M17" i="5" s="1"/>
  <c r="Q17" i="5" s="1"/>
  <c r="C13" i="1"/>
  <c r="M13" i="1" s="1"/>
  <c r="B14" i="1"/>
  <c r="L14" i="1"/>
  <c r="S12" i="1" l="1"/>
  <c r="R12" i="1"/>
  <c r="P12" i="1"/>
  <c r="O12" i="1"/>
  <c r="Q13" i="1"/>
  <c r="P16" i="5"/>
  <c r="S16" i="5"/>
  <c r="R16" i="5"/>
  <c r="B19" i="15"/>
  <c r="M18" i="15"/>
  <c r="Q18" i="15" s="1"/>
  <c r="C18" i="15"/>
  <c r="B18" i="14"/>
  <c r="C17" i="14"/>
  <c r="M17" i="14" s="1"/>
  <c r="Q17" i="14" s="1"/>
  <c r="B19" i="13"/>
  <c r="C18" i="13"/>
  <c r="M18" i="13" s="1"/>
  <c r="Q18" i="13" s="1"/>
  <c r="B19" i="12"/>
  <c r="M18" i="12"/>
  <c r="Q18" i="12" s="1"/>
  <c r="C18" i="12"/>
  <c r="B19" i="11"/>
  <c r="C18" i="11"/>
  <c r="M18" i="11" s="1"/>
  <c r="Q18" i="11" s="1"/>
  <c r="B19" i="10"/>
  <c r="M18" i="10"/>
  <c r="Q18" i="10" s="1"/>
  <c r="C18" i="10"/>
  <c r="B19" i="9"/>
  <c r="C18" i="9"/>
  <c r="M18" i="9" s="1"/>
  <c r="Q18" i="9" s="1"/>
  <c r="B19" i="8"/>
  <c r="C18" i="8"/>
  <c r="M18" i="8" s="1"/>
  <c r="Q18" i="8" s="1"/>
  <c r="B19" i="7"/>
  <c r="M18" i="7"/>
  <c r="Q18" i="7" s="1"/>
  <c r="C18" i="7"/>
  <c r="B19" i="6"/>
  <c r="C18" i="6"/>
  <c r="M18" i="6" s="1"/>
  <c r="Q18" i="6" s="1"/>
  <c r="B19" i="5"/>
  <c r="C18" i="5"/>
  <c r="M18" i="5" s="1"/>
  <c r="B15" i="1"/>
  <c r="C14" i="1"/>
  <c r="M14" i="1" s="1"/>
  <c r="Q14" i="1" l="1"/>
  <c r="R13" i="1"/>
  <c r="O13" i="1"/>
  <c r="S13" i="1"/>
  <c r="P13" i="1"/>
  <c r="Q18" i="5"/>
  <c r="B20" i="15"/>
  <c r="M19" i="15"/>
  <c r="Q19" i="15" s="1"/>
  <c r="C19" i="15"/>
  <c r="B19" i="14"/>
  <c r="C18" i="14"/>
  <c r="M18" i="14" s="1"/>
  <c r="Q18" i="14" s="1"/>
  <c r="M19" i="13"/>
  <c r="Q19" i="13" s="1"/>
  <c r="B20" i="13"/>
  <c r="C19" i="13"/>
  <c r="B20" i="12"/>
  <c r="M19" i="12"/>
  <c r="Q19" i="12" s="1"/>
  <c r="C19" i="12"/>
  <c r="B20" i="11"/>
  <c r="C19" i="11"/>
  <c r="M19" i="11" s="1"/>
  <c r="Q19" i="11" s="1"/>
  <c r="C19" i="10"/>
  <c r="M19" i="10" s="1"/>
  <c r="Q19" i="10" s="1"/>
  <c r="B20" i="10"/>
  <c r="B20" i="9"/>
  <c r="M19" i="9"/>
  <c r="Q19" i="9" s="1"/>
  <c r="C19" i="9"/>
  <c r="C19" i="8"/>
  <c r="M19" i="8" s="1"/>
  <c r="Q19" i="8" s="1"/>
  <c r="B20" i="8"/>
  <c r="M19" i="7"/>
  <c r="Q19" i="7" s="1"/>
  <c r="C19" i="7"/>
  <c r="B20" i="7"/>
  <c r="C19" i="6"/>
  <c r="M19" i="6" s="1"/>
  <c r="Q19" i="6" s="1"/>
  <c r="B20" i="6"/>
  <c r="B20" i="5"/>
  <c r="C19" i="5"/>
  <c r="M19" i="5" s="1"/>
  <c r="Q19" i="5" s="1"/>
  <c r="C15" i="1"/>
  <c r="M15" i="1"/>
  <c r="B16" i="1"/>
  <c r="P14" i="1" l="1"/>
  <c r="O14" i="1"/>
  <c r="R14" i="1"/>
  <c r="S14" i="1"/>
  <c r="Q15" i="1"/>
  <c r="R18" i="5"/>
  <c r="R7" i="5" s="1"/>
  <c r="S18" i="5"/>
  <c r="S7" i="5" s="1"/>
  <c r="P18" i="5"/>
  <c r="P7" i="5" s="1"/>
  <c r="B21" i="15"/>
  <c r="C20" i="15"/>
  <c r="M20" i="15" s="1"/>
  <c r="Q20" i="15" s="1"/>
  <c r="B20" i="14"/>
  <c r="C19" i="14"/>
  <c r="M19" i="14" s="1"/>
  <c r="Q19" i="14" s="1"/>
  <c r="B21" i="13"/>
  <c r="M20" i="13"/>
  <c r="Q20" i="13" s="1"/>
  <c r="C20" i="13"/>
  <c r="C20" i="12"/>
  <c r="M20" i="12" s="1"/>
  <c r="Q20" i="12" s="1"/>
  <c r="B21" i="12"/>
  <c r="B21" i="11"/>
  <c r="C20" i="11"/>
  <c r="M20" i="11" s="1"/>
  <c r="Q20" i="11" s="1"/>
  <c r="B21" i="10"/>
  <c r="C20" i="10"/>
  <c r="M20" i="10" s="1"/>
  <c r="Q20" i="10" s="1"/>
  <c r="B21" i="9"/>
  <c r="M20" i="9"/>
  <c r="Q20" i="9" s="1"/>
  <c r="C20" i="9"/>
  <c r="B21" i="8"/>
  <c r="C20" i="8"/>
  <c r="M20" i="8" s="1"/>
  <c r="Q20" i="8" s="1"/>
  <c r="B21" i="7"/>
  <c r="C20" i="7"/>
  <c r="M20" i="7" s="1"/>
  <c r="Q20" i="7" s="1"/>
  <c r="B21" i="6"/>
  <c r="M20" i="6"/>
  <c r="Q20" i="6" s="1"/>
  <c r="C20" i="6"/>
  <c r="M20" i="5"/>
  <c r="Q20" i="5" s="1"/>
  <c r="C20" i="5"/>
  <c r="B21" i="5"/>
  <c r="B17" i="1"/>
  <c r="M16" i="1"/>
  <c r="Q16" i="1" s="1"/>
  <c r="C16" i="1"/>
  <c r="R15" i="1" l="1"/>
  <c r="R7" i="1" s="1"/>
  <c r="S15" i="1"/>
  <c r="S7" i="1" s="1"/>
  <c r="P15" i="1"/>
  <c r="P7" i="1" s="1"/>
  <c r="O15" i="1"/>
  <c r="O16" i="1" s="1"/>
  <c r="O17" i="1" s="1"/>
  <c r="O18" i="1" s="1"/>
  <c r="O19" i="1" s="1"/>
  <c r="O20" i="1" s="1"/>
  <c r="O21" i="1" s="1"/>
  <c r="O22" i="1" s="1"/>
  <c r="O23" i="1" s="1"/>
  <c r="O24" i="1" s="1"/>
  <c r="O25" i="1" s="1"/>
  <c r="O26" i="1" s="1"/>
  <c r="O27" i="1" s="1"/>
  <c r="O28" i="1" s="1"/>
  <c r="O29" i="1" s="1"/>
  <c r="O30" i="1" s="1"/>
  <c r="O31" i="1" s="1"/>
  <c r="O32" i="1" s="1"/>
  <c r="O33" i="1" s="1"/>
  <c r="O34" i="1" s="1"/>
  <c r="O35" i="1" s="1"/>
  <c r="O36" i="1" s="1"/>
  <c r="O37" i="1" s="1"/>
  <c r="O38" i="1" s="1"/>
  <c r="O39" i="1" s="1"/>
  <c r="C21" i="15"/>
  <c r="M21" i="15" s="1"/>
  <c r="Q21" i="15" s="1"/>
  <c r="B22" i="15"/>
  <c r="M20" i="14"/>
  <c r="Q20" i="14" s="1"/>
  <c r="B21" i="14"/>
  <c r="C20" i="14"/>
  <c r="B22" i="13"/>
  <c r="M21" i="13"/>
  <c r="Q21" i="13" s="1"/>
  <c r="C21" i="13"/>
  <c r="B22" i="12"/>
  <c r="C21" i="12"/>
  <c r="M21" i="12" s="1"/>
  <c r="Q21" i="12" s="1"/>
  <c r="B22" i="11"/>
  <c r="M21" i="11"/>
  <c r="Q21" i="11" s="1"/>
  <c r="C21" i="11"/>
  <c r="B22" i="10"/>
  <c r="C21" i="10"/>
  <c r="M21" i="10" s="1"/>
  <c r="Q21" i="10" s="1"/>
  <c r="B22" i="9"/>
  <c r="M21" i="9"/>
  <c r="Q21" i="9" s="1"/>
  <c r="C21" i="9"/>
  <c r="B22" i="8"/>
  <c r="C21" i="8"/>
  <c r="M21" i="8" s="1"/>
  <c r="Q21" i="8" s="1"/>
  <c r="B22" i="7"/>
  <c r="C21" i="7"/>
  <c r="M21" i="7" s="1"/>
  <c r="Q21" i="7" s="1"/>
  <c r="B22" i="6"/>
  <c r="M21" i="6"/>
  <c r="Q21" i="6" s="1"/>
  <c r="C21" i="6"/>
  <c r="B22" i="5"/>
  <c r="M21" i="5"/>
  <c r="Q21" i="5" s="1"/>
  <c r="C21" i="5"/>
  <c r="M17" i="1"/>
  <c r="Q17" i="1" s="1"/>
  <c r="B18" i="1"/>
  <c r="C17" i="1"/>
  <c r="C5" i="16" l="1"/>
  <c r="O7" i="5"/>
  <c r="O9" i="5" s="1"/>
  <c r="O10" i="5" s="1"/>
  <c r="O11" i="5" s="1"/>
  <c r="O12" i="5" s="1"/>
  <c r="O13" i="5" s="1"/>
  <c r="O14" i="5" s="1"/>
  <c r="O15" i="5" s="1"/>
  <c r="O16" i="5" s="1"/>
  <c r="O17" i="5" s="1"/>
  <c r="O18" i="5" s="1"/>
  <c r="O19" i="5" s="1"/>
  <c r="O20" i="5" s="1"/>
  <c r="O21" i="5" s="1"/>
  <c r="O22" i="5" s="1"/>
  <c r="O23" i="5" s="1"/>
  <c r="O24" i="5" s="1"/>
  <c r="O25" i="5" s="1"/>
  <c r="O26" i="5" s="1"/>
  <c r="O27" i="5" s="1"/>
  <c r="O28" i="5" s="1"/>
  <c r="O29" i="5" s="1"/>
  <c r="O30" i="5" s="1"/>
  <c r="O31" i="5" s="1"/>
  <c r="O32" i="5" s="1"/>
  <c r="O33" i="5" s="1"/>
  <c r="O34" i="5" s="1"/>
  <c r="O35" i="5" s="1"/>
  <c r="O36" i="5" s="1"/>
  <c r="O37" i="5" s="1"/>
  <c r="O38" i="5" s="1"/>
  <c r="O39" i="5" s="1"/>
  <c r="B23" i="15"/>
  <c r="C22" i="15"/>
  <c r="M22" i="15" s="1"/>
  <c r="Q22" i="15" s="1"/>
  <c r="B22" i="14"/>
  <c r="M21" i="14"/>
  <c r="Q21" i="14" s="1"/>
  <c r="C21" i="14"/>
  <c r="B23" i="13"/>
  <c r="C22" i="13"/>
  <c r="M22" i="13" s="1"/>
  <c r="Q22" i="13" s="1"/>
  <c r="B23" i="12"/>
  <c r="C22" i="12"/>
  <c r="M22" i="12" s="1"/>
  <c r="Q22" i="12" s="1"/>
  <c r="B23" i="11"/>
  <c r="M22" i="11"/>
  <c r="Q22" i="11" s="1"/>
  <c r="C22" i="11"/>
  <c r="B23" i="10"/>
  <c r="C22" i="10"/>
  <c r="M22" i="10" s="1"/>
  <c r="Q22" i="10" s="1"/>
  <c r="B23" i="9"/>
  <c r="C22" i="9"/>
  <c r="M22" i="9" s="1"/>
  <c r="Q22" i="9" s="1"/>
  <c r="B23" i="8"/>
  <c r="M22" i="8"/>
  <c r="Q22" i="8" s="1"/>
  <c r="C22" i="8"/>
  <c r="B23" i="7"/>
  <c r="C22" i="7"/>
  <c r="M22" i="7" s="1"/>
  <c r="Q22" i="7" s="1"/>
  <c r="B23" i="6"/>
  <c r="C22" i="6"/>
  <c r="M22" i="6" s="1"/>
  <c r="Q22" i="6" s="1"/>
  <c r="B23" i="5"/>
  <c r="M22" i="5"/>
  <c r="Q22" i="5" s="1"/>
  <c r="C22" i="5"/>
  <c r="M18" i="1"/>
  <c r="Q18" i="1" s="1"/>
  <c r="C18" i="1"/>
  <c r="B19" i="1"/>
  <c r="O7" i="6" l="1"/>
  <c r="O9" i="6" s="1"/>
  <c r="O10" i="6" s="1"/>
  <c r="O11" i="6" s="1"/>
  <c r="O12" i="6" s="1"/>
  <c r="O13" i="6" s="1"/>
  <c r="O14" i="6" s="1"/>
  <c r="O15" i="6" s="1"/>
  <c r="O16" i="6" s="1"/>
  <c r="O17" i="6" s="1"/>
  <c r="O18" i="6" s="1"/>
  <c r="O19" i="6" s="1"/>
  <c r="O20" i="6" s="1"/>
  <c r="O21" i="6" s="1"/>
  <c r="O22" i="6" s="1"/>
  <c r="O23" i="6" s="1"/>
  <c r="O24" i="6" s="1"/>
  <c r="O25" i="6" s="1"/>
  <c r="C6" i="16"/>
  <c r="B24" i="15"/>
  <c r="C23" i="15"/>
  <c r="M23" i="15" s="1"/>
  <c r="Q23" i="15" s="1"/>
  <c r="B23" i="14"/>
  <c r="C22" i="14"/>
  <c r="M22" i="14" s="1"/>
  <c r="Q22" i="14" s="1"/>
  <c r="C23" i="13"/>
  <c r="M23" i="13"/>
  <c r="Q23" i="13" s="1"/>
  <c r="B24" i="13"/>
  <c r="B24" i="12"/>
  <c r="C23" i="12"/>
  <c r="M23" i="12" s="1"/>
  <c r="Q23" i="12" s="1"/>
  <c r="C23" i="11"/>
  <c r="M23" i="11" s="1"/>
  <c r="Q23" i="11" s="1"/>
  <c r="B24" i="11"/>
  <c r="B24" i="10"/>
  <c r="C23" i="10"/>
  <c r="M23" i="10" s="1"/>
  <c r="Q23" i="10" s="1"/>
  <c r="B24" i="9"/>
  <c r="C23" i="9"/>
  <c r="M23" i="9" s="1"/>
  <c r="Q23" i="9" s="1"/>
  <c r="M23" i="8"/>
  <c r="Q23" i="8" s="1"/>
  <c r="C23" i="8"/>
  <c r="B24" i="8"/>
  <c r="C23" i="7"/>
  <c r="M23" i="7" s="1"/>
  <c r="Q23" i="7" s="1"/>
  <c r="B24" i="7"/>
  <c r="B24" i="6"/>
  <c r="C23" i="6"/>
  <c r="M23" i="6" s="1"/>
  <c r="Q23" i="6" s="1"/>
  <c r="B24" i="5"/>
  <c r="C23" i="5"/>
  <c r="M23" i="5" s="1"/>
  <c r="Q23" i="5" s="1"/>
  <c r="C19" i="1"/>
  <c r="M19" i="1" s="1"/>
  <c r="Q19" i="1" s="1"/>
  <c r="B20" i="1"/>
  <c r="B25" i="15" l="1"/>
  <c r="C24" i="15"/>
  <c r="M24" i="15" s="1"/>
  <c r="Q24" i="15" s="1"/>
  <c r="B24" i="14"/>
  <c r="C23" i="14"/>
  <c r="M23" i="14" s="1"/>
  <c r="Q23" i="14" s="1"/>
  <c r="B25" i="13"/>
  <c r="M24" i="13"/>
  <c r="Q24" i="13" s="1"/>
  <c r="C24" i="13"/>
  <c r="B25" i="12"/>
  <c r="C24" i="12"/>
  <c r="M24" i="12" s="1"/>
  <c r="Q24" i="12" s="1"/>
  <c r="B25" i="11"/>
  <c r="M24" i="11"/>
  <c r="Q24" i="11" s="1"/>
  <c r="C24" i="11"/>
  <c r="B25" i="10"/>
  <c r="M24" i="10"/>
  <c r="Q24" i="10" s="1"/>
  <c r="C24" i="10"/>
  <c r="B25" i="9"/>
  <c r="C24" i="9"/>
  <c r="M24" i="9" s="1"/>
  <c r="Q24" i="9" s="1"/>
  <c r="B25" i="8"/>
  <c r="C24" i="8"/>
  <c r="M24" i="8" s="1"/>
  <c r="Q24" i="8" s="1"/>
  <c r="B25" i="7"/>
  <c r="M24" i="7"/>
  <c r="Q24" i="7" s="1"/>
  <c r="C24" i="7"/>
  <c r="B25" i="6"/>
  <c r="C24" i="6"/>
  <c r="M24" i="6" s="1"/>
  <c r="Q24" i="6" s="1"/>
  <c r="C24" i="5"/>
  <c r="M24" i="5" s="1"/>
  <c r="Q24" i="5" s="1"/>
  <c r="B25" i="5"/>
  <c r="B21" i="1"/>
  <c r="C20" i="1"/>
  <c r="M20" i="1"/>
  <c r="Q20" i="1" s="1"/>
  <c r="M25" i="15" l="1"/>
  <c r="Q25" i="15" s="1"/>
  <c r="B26" i="15"/>
  <c r="C25" i="15"/>
  <c r="C24" i="14"/>
  <c r="M24" i="14" s="1"/>
  <c r="Q24" i="14" s="1"/>
  <c r="B25" i="14"/>
  <c r="B26" i="13"/>
  <c r="M25" i="13"/>
  <c r="Q25" i="13" s="1"/>
  <c r="C25" i="13"/>
  <c r="B26" i="12"/>
  <c r="M25" i="12"/>
  <c r="Q25" i="12" s="1"/>
  <c r="C25" i="12"/>
  <c r="B26" i="11"/>
  <c r="M25" i="11"/>
  <c r="Q25" i="11" s="1"/>
  <c r="C25" i="11"/>
  <c r="B26" i="10"/>
  <c r="M25" i="10"/>
  <c r="Q25" i="10" s="1"/>
  <c r="C25" i="10"/>
  <c r="B26" i="9"/>
  <c r="M25" i="9"/>
  <c r="Q25" i="9" s="1"/>
  <c r="C25" i="9"/>
  <c r="B26" i="8"/>
  <c r="C25" i="8"/>
  <c r="M25" i="8" s="1"/>
  <c r="Q25" i="8" s="1"/>
  <c r="B26" i="7"/>
  <c r="M25" i="7"/>
  <c r="Q25" i="7" s="1"/>
  <c r="C25" i="7"/>
  <c r="B26" i="6"/>
  <c r="M25" i="6"/>
  <c r="Q25" i="6" s="1"/>
  <c r="C25" i="6"/>
  <c r="B26" i="5"/>
  <c r="C25" i="5"/>
  <c r="M25" i="5" s="1"/>
  <c r="Q25" i="5" s="1"/>
  <c r="B22" i="1"/>
  <c r="C21" i="1"/>
  <c r="M21" i="1" s="1"/>
  <c r="Q21" i="1" s="1"/>
  <c r="B27" i="15" l="1"/>
  <c r="M26" i="15"/>
  <c r="Q26" i="15" s="1"/>
  <c r="C26" i="15"/>
  <c r="B26" i="14"/>
  <c r="C25" i="14"/>
  <c r="M25" i="14" s="1"/>
  <c r="Q25" i="14" s="1"/>
  <c r="B27" i="13"/>
  <c r="M26" i="13"/>
  <c r="Q26" i="13" s="1"/>
  <c r="C26" i="13"/>
  <c r="B27" i="12"/>
  <c r="M26" i="12"/>
  <c r="Q26" i="12" s="1"/>
  <c r="C26" i="12"/>
  <c r="B27" i="11"/>
  <c r="M26" i="11"/>
  <c r="Q26" i="11" s="1"/>
  <c r="C26" i="11"/>
  <c r="B27" i="10"/>
  <c r="C26" i="10"/>
  <c r="M26" i="10" s="1"/>
  <c r="Q26" i="10" s="1"/>
  <c r="B27" i="9"/>
  <c r="M26" i="9"/>
  <c r="Q26" i="9" s="1"/>
  <c r="C26" i="9"/>
  <c r="B27" i="8"/>
  <c r="C26" i="8"/>
  <c r="M26" i="8" s="1"/>
  <c r="Q26" i="8" s="1"/>
  <c r="B27" i="7"/>
  <c r="M26" i="7"/>
  <c r="Q26" i="7" s="1"/>
  <c r="C26" i="7"/>
  <c r="B27" i="6"/>
  <c r="C26" i="6"/>
  <c r="M26" i="6" s="1"/>
  <c r="B27" i="5"/>
  <c r="C26" i="5"/>
  <c r="M26" i="5" s="1"/>
  <c r="Q26" i="5" s="1"/>
  <c r="B23" i="1"/>
  <c r="C22" i="1"/>
  <c r="M22" i="1" s="1"/>
  <c r="Q22" i="1" s="1"/>
  <c r="Q26" i="6" l="1"/>
  <c r="B28" i="15"/>
  <c r="M27" i="15"/>
  <c r="Q27" i="15" s="1"/>
  <c r="C27" i="15"/>
  <c r="B27" i="14"/>
  <c r="C26" i="14"/>
  <c r="M26" i="14" s="1"/>
  <c r="Q26" i="14" s="1"/>
  <c r="B28" i="13"/>
  <c r="C27" i="13"/>
  <c r="M27" i="13" s="1"/>
  <c r="Q27" i="13" s="1"/>
  <c r="B28" i="12"/>
  <c r="M27" i="12"/>
  <c r="Q27" i="12" s="1"/>
  <c r="C27" i="12"/>
  <c r="B28" i="11"/>
  <c r="C27" i="11"/>
  <c r="M27" i="11" s="1"/>
  <c r="Q27" i="11" s="1"/>
  <c r="C27" i="10"/>
  <c r="M27" i="10" s="1"/>
  <c r="Q27" i="10" s="1"/>
  <c r="B28" i="10"/>
  <c r="M27" i="9"/>
  <c r="Q27" i="9" s="1"/>
  <c r="C27" i="9"/>
  <c r="B28" i="9"/>
  <c r="B28" i="8"/>
  <c r="M27" i="8"/>
  <c r="Q27" i="8" s="1"/>
  <c r="C27" i="8"/>
  <c r="C27" i="7"/>
  <c r="M27" i="7" s="1"/>
  <c r="Q27" i="7" s="1"/>
  <c r="B28" i="7"/>
  <c r="M27" i="6"/>
  <c r="Q27" i="6" s="1"/>
  <c r="C27" i="6"/>
  <c r="B28" i="6"/>
  <c r="B28" i="5"/>
  <c r="M27" i="5"/>
  <c r="Q27" i="5" s="1"/>
  <c r="C27" i="5"/>
  <c r="B24" i="1"/>
  <c r="C23" i="1"/>
  <c r="M23" i="1" s="1"/>
  <c r="Q23" i="1" s="1"/>
  <c r="R26" i="6" l="1"/>
  <c r="R7" i="6" s="1"/>
  <c r="P26" i="6"/>
  <c r="P7" i="6" s="1"/>
  <c r="S26" i="6"/>
  <c r="S7" i="6" s="1"/>
  <c r="O26" i="6"/>
  <c r="O27" i="6" s="1"/>
  <c r="O28" i="6" s="1"/>
  <c r="O29" i="6" s="1"/>
  <c r="O30" i="6" s="1"/>
  <c r="O31" i="6" s="1"/>
  <c r="O32" i="6" s="1"/>
  <c r="O33" i="6" s="1"/>
  <c r="O34" i="6" s="1"/>
  <c r="O35" i="6" s="1"/>
  <c r="O36" i="6" s="1"/>
  <c r="O37" i="6" s="1"/>
  <c r="O38" i="6" s="1"/>
  <c r="O39" i="6" s="1"/>
  <c r="B29" i="15"/>
  <c r="C28" i="15"/>
  <c r="M28" i="15" s="1"/>
  <c r="Q28" i="15" s="1"/>
  <c r="B28" i="14"/>
  <c r="M27" i="14"/>
  <c r="Q27" i="14" s="1"/>
  <c r="C27" i="14"/>
  <c r="B29" i="13"/>
  <c r="M28" i="13"/>
  <c r="Q28" i="13" s="1"/>
  <c r="C28" i="13"/>
  <c r="C28" i="12"/>
  <c r="M28" i="12"/>
  <c r="Q28" i="12" s="1"/>
  <c r="B29" i="12"/>
  <c r="B29" i="11"/>
  <c r="M28" i="11"/>
  <c r="Q28" i="11" s="1"/>
  <c r="C28" i="11"/>
  <c r="B29" i="10"/>
  <c r="C28" i="10"/>
  <c r="M28" i="10" s="1"/>
  <c r="Q28" i="10" s="1"/>
  <c r="B29" i="9"/>
  <c r="C28" i="9"/>
  <c r="M28" i="9" s="1"/>
  <c r="Q28" i="9" s="1"/>
  <c r="B29" i="8"/>
  <c r="C28" i="8"/>
  <c r="M28" i="8" s="1"/>
  <c r="Q28" i="8" s="1"/>
  <c r="B29" i="7"/>
  <c r="C28" i="7"/>
  <c r="M28" i="7" s="1"/>
  <c r="Q28" i="7" s="1"/>
  <c r="B29" i="6"/>
  <c r="M28" i="6"/>
  <c r="Q28" i="6" s="1"/>
  <c r="C28" i="6"/>
  <c r="M28" i="5"/>
  <c r="Q28" i="5" s="1"/>
  <c r="C28" i="5"/>
  <c r="B29" i="5"/>
  <c r="M24" i="1"/>
  <c r="Q24" i="1" s="1"/>
  <c r="B25" i="1"/>
  <c r="C24" i="1"/>
  <c r="O7" i="7" l="1"/>
  <c r="O9" i="7" s="1"/>
  <c r="O10" i="7" s="1"/>
  <c r="O11" i="7" s="1"/>
  <c r="O12" i="7" s="1"/>
  <c r="O13" i="7" s="1"/>
  <c r="O14" i="7" s="1"/>
  <c r="O15" i="7" s="1"/>
  <c r="O16" i="7" s="1"/>
  <c r="O17" i="7" s="1"/>
  <c r="O18" i="7" s="1"/>
  <c r="O19" i="7" s="1"/>
  <c r="O20" i="7" s="1"/>
  <c r="O21" i="7" s="1"/>
  <c r="O22" i="7" s="1"/>
  <c r="O23" i="7" s="1"/>
  <c r="O24" i="7" s="1"/>
  <c r="O25" i="7" s="1"/>
  <c r="O26" i="7" s="1"/>
  <c r="O27" i="7" s="1"/>
  <c r="O28" i="7" s="1"/>
  <c r="O29" i="7" s="1"/>
  <c r="C7" i="16"/>
  <c r="M29" i="15"/>
  <c r="Q29" i="15" s="1"/>
  <c r="B30" i="15"/>
  <c r="C29" i="15"/>
  <c r="M28" i="14"/>
  <c r="Q28" i="14" s="1"/>
  <c r="B29" i="14"/>
  <c r="C28" i="14"/>
  <c r="B30" i="13"/>
  <c r="C29" i="13"/>
  <c r="M29" i="13" s="1"/>
  <c r="Q29" i="13" s="1"/>
  <c r="B30" i="12"/>
  <c r="C29" i="12"/>
  <c r="M29" i="12" s="1"/>
  <c r="Q29" i="12" s="1"/>
  <c r="B30" i="11"/>
  <c r="M29" i="11"/>
  <c r="Q29" i="11" s="1"/>
  <c r="C29" i="11"/>
  <c r="B30" i="10"/>
  <c r="C29" i="10"/>
  <c r="M29" i="10" s="1"/>
  <c r="Q29" i="10" s="1"/>
  <c r="B30" i="9"/>
  <c r="C29" i="9"/>
  <c r="M29" i="9" s="1"/>
  <c r="Q29" i="9" s="1"/>
  <c r="B30" i="8"/>
  <c r="M29" i="8"/>
  <c r="Q29" i="8" s="1"/>
  <c r="C29" i="8"/>
  <c r="B30" i="7"/>
  <c r="C29" i="7"/>
  <c r="M29" i="7" s="1"/>
  <c r="Q29" i="7" s="1"/>
  <c r="B30" i="6"/>
  <c r="C29" i="6"/>
  <c r="M29" i="6" s="1"/>
  <c r="Q29" i="6" s="1"/>
  <c r="B30" i="5"/>
  <c r="M29" i="5"/>
  <c r="Q29" i="5" s="1"/>
  <c r="C29" i="5"/>
  <c r="M25" i="1"/>
  <c r="Q25" i="1" s="1"/>
  <c r="B26" i="1"/>
  <c r="C25" i="1"/>
  <c r="B31" i="15" l="1"/>
  <c r="C30" i="15"/>
  <c r="M30" i="15" s="1"/>
  <c r="Q30" i="15" s="1"/>
  <c r="B30" i="14"/>
  <c r="C29" i="14"/>
  <c r="M29" i="14" s="1"/>
  <c r="Q29" i="14" s="1"/>
  <c r="B31" i="13"/>
  <c r="M30" i="13"/>
  <c r="Q30" i="13" s="1"/>
  <c r="C30" i="13"/>
  <c r="B31" i="12"/>
  <c r="C30" i="12"/>
  <c r="M30" i="12" s="1"/>
  <c r="Q30" i="12" s="1"/>
  <c r="B31" i="11"/>
  <c r="M30" i="11"/>
  <c r="Q30" i="11" s="1"/>
  <c r="C30" i="11"/>
  <c r="B31" i="10"/>
  <c r="C30" i="10"/>
  <c r="M30" i="10" s="1"/>
  <c r="Q30" i="10" s="1"/>
  <c r="B31" i="9"/>
  <c r="M30" i="9"/>
  <c r="Q30" i="9" s="1"/>
  <c r="C30" i="9"/>
  <c r="B31" i="8"/>
  <c r="M30" i="8"/>
  <c r="Q30" i="8" s="1"/>
  <c r="C30" i="8"/>
  <c r="B31" i="7"/>
  <c r="C30" i="7"/>
  <c r="M30" i="7" s="1"/>
  <c r="B31" i="6"/>
  <c r="C30" i="6"/>
  <c r="M30" i="6" s="1"/>
  <c r="Q30" i="6" s="1"/>
  <c r="B31" i="5"/>
  <c r="M30" i="5"/>
  <c r="Q30" i="5" s="1"/>
  <c r="C30" i="5"/>
  <c r="C26" i="1"/>
  <c r="B27" i="1"/>
  <c r="M26" i="1"/>
  <c r="Q26" i="1" s="1"/>
  <c r="Q30" i="7" l="1"/>
  <c r="B32" i="15"/>
  <c r="M31" i="15"/>
  <c r="Q31" i="15" s="1"/>
  <c r="C31" i="15"/>
  <c r="B31" i="14"/>
  <c r="C30" i="14"/>
  <c r="M30" i="14" s="1"/>
  <c r="Q30" i="14" s="1"/>
  <c r="C31" i="13"/>
  <c r="M31" i="13"/>
  <c r="Q31" i="13" s="1"/>
  <c r="B32" i="13"/>
  <c r="B32" i="12"/>
  <c r="M31" i="12"/>
  <c r="Q31" i="12" s="1"/>
  <c r="C31" i="12"/>
  <c r="C31" i="11"/>
  <c r="B32" i="11"/>
  <c r="M31" i="11"/>
  <c r="Q31" i="11" s="1"/>
  <c r="M31" i="10"/>
  <c r="Q31" i="10" s="1"/>
  <c r="B32" i="10"/>
  <c r="C31" i="10"/>
  <c r="M31" i="9"/>
  <c r="Q31" i="9" s="1"/>
  <c r="C31" i="9"/>
  <c r="B32" i="9"/>
  <c r="M31" i="8"/>
  <c r="Q31" i="8" s="1"/>
  <c r="B32" i="8"/>
  <c r="C31" i="8"/>
  <c r="B32" i="7"/>
  <c r="M31" i="7"/>
  <c r="Q31" i="7" s="1"/>
  <c r="C31" i="7"/>
  <c r="B32" i="6"/>
  <c r="C31" i="6"/>
  <c r="M31" i="6" s="1"/>
  <c r="Q31" i="6" s="1"/>
  <c r="B32" i="5"/>
  <c r="M31" i="5"/>
  <c r="Q31" i="5" s="1"/>
  <c r="C31" i="5"/>
  <c r="C27" i="1"/>
  <c r="M27" i="1" s="1"/>
  <c r="Q27" i="1" s="1"/>
  <c r="B28" i="1"/>
  <c r="P30" i="7" l="1"/>
  <c r="P7" i="7" s="1"/>
  <c r="S30" i="7"/>
  <c r="S7" i="7" s="1"/>
  <c r="R30" i="7"/>
  <c r="R7" i="7" s="1"/>
  <c r="O30" i="7"/>
  <c r="O31" i="7" s="1"/>
  <c r="O32" i="7" s="1"/>
  <c r="O33" i="7" s="1"/>
  <c r="O34" i="7" s="1"/>
  <c r="O35" i="7" s="1"/>
  <c r="O36" i="7" s="1"/>
  <c r="O37" i="7" s="1"/>
  <c r="O38" i="7" s="1"/>
  <c r="O39" i="7" s="1"/>
  <c r="B33" i="15"/>
  <c r="M32" i="15"/>
  <c r="Q32" i="15" s="1"/>
  <c r="C32" i="15"/>
  <c r="B32" i="14"/>
  <c r="C31" i="14"/>
  <c r="M31" i="14" s="1"/>
  <c r="Q31" i="14" s="1"/>
  <c r="B33" i="13"/>
  <c r="M32" i="13"/>
  <c r="Q32" i="13" s="1"/>
  <c r="C32" i="13"/>
  <c r="M32" i="12"/>
  <c r="Q32" i="12" s="1"/>
  <c r="B33" i="12"/>
  <c r="C32" i="12"/>
  <c r="B33" i="11"/>
  <c r="M32" i="11"/>
  <c r="Q32" i="11" s="1"/>
  <c r="C32" i="11"/>
  <c r="B33" i="10"/>
  <c r="M32" i="10"/>
  <c r="Q32" i="10" s="1"/>
  <c r="C32" i="10"/>
  <c r="B33" i="9"/>
  <c r="M32" i="9"/>
  <c r="Q32" i="9" s="1"/>
  <c r="C32" i="9"/>
  <c r="B33" i="8"/>
  <c r="C32" i="8"/>
  <c r="M32" i="8" s="1"/>
  <c r="Q32" i="8" s="1"/>
  <c r="B33" i="7"/>
  <c r="M32" i="7"/>
  <c r="Q32" i="7" s="1"/>
  <c r="C32" i="7"/>
  <c r="B33" i="6"/>
  <c r="C32" i="6"/>
  <c r="M32" i="6" s="1"/>
  <c r="Q32" i="6" s="1"/>
  <c r="B33" i="5"/>
  <c r="M32" i="5"/>
  <c r="Q32" i="5" s="1"/>
  <c r="C32" i="5"/>
  <c r="B29" i="1"/>
  <c r="C28" i="1"/>
  <c r="M28" i="1" s="1"/>
  <c r="Q28" i="1" s="1"/>
  <c r="O7" i="8" l="1"/>
  <c r="O9" i="8" s="1"/>
  <c r="O10" i="8" s="1"/>
  <c r="O11" i="8" s="1"/>
  <c r="O12" i="8" s="1"/>
  <c r="O13" i="8" s="1"/>
  <c r="O14" i="8" s="1"/>
  <c r="O15" i="8" s="1"/>
  <c r="O16" i="8" s="1"/>
  <c r="O17" i="8" s="1"/>
  <c r="O18" i="8" s="1"/>
  <c r="O19" i="8" s="1"/>
  <c r="O20" i="8" s="1"/>
  <c r="O21" i="8" s="1"/>
  <c r="O22" i="8" s="1"/>
  <c r="O23" i="8" s="1"/>
  <c r="O24" i="8" s="1"/>
  <c r="O25" i="8" s="1"/>
  <c r="O26" i="8" s="1"/>
  <c r="O27" i="8" s="1"/>
  <c r="O28" i="8" s="1"/>
  <c r="O29" i="8" s="1"/>
  <c r="O30" i="8" s="1"/>
  <c r="O31" i="8" s="1"/>
  <c r="O32" i="8" s="1"/>
  <c r="O33" i="8" s="1"/>
  <c r="O34" i="8" s="1"/>
  <c r="O35" i="8" s="1"/>
  <c r="O36" i="8" s="1"/>
  <c r="O37" i="8" s="1"/>
  <c r="O38" i="8" s="1"/>
  <c r="O39" i="8" s="1"/>
  <c r="C8" i="16"/>
  <c r="B34" i="15"/>
  <c r="M33" i="15"/>
  <c r="Q33" i="15" s="1"/>
  <c r="C33" i="15"/>
  <c r="C32" i="14"/>
  <c r="M32" i="14" s="1"/>
  <c r="Q32" i="14" s="1"/>
  <c r="B33" i="14"/>
  <c r="B34" i="13"/>
  <c r="M33" i="13"/>
  <c r="Q33" i="13" s="1"/>
  <c r="C33" i="13"/>
  <c r="B34" i="12"/>
  <c r="M33" i="12"/>
  <c r="Q33" i="12" s="1"/>
  <c r="C33" i="12"/>
  <c r="B34" i="11"/>
  <c r="C33" i="11"/>
  <c r="M33" i="11" s="1"/>
  <c r="Q33" i="11" s="1"/>
  <c r="B34" i="10"/>
  <c r="M33" i="10"/>
  <c r="Q33" i="10" s="1"/>
  <c r="C33" i="10"/>
  <c r="B34" i="9"/>
  <c r="M33" i="9"/>
  <c r="Q33" i="9" s="1"/>
  <c r="C33" i="9"/>
  <c r="B34" i="8"/>
  <c r="M33" i="8"/>
  <c r="Q33" i="8" s="1"/>
  <c r="C33" i="8"/>
  <c r="B34" i="7"/>
  <c r="C33" i="7"/>
  <c r="M33" i="7" s="1"/>
  <c r="Q33" i="7" s="1"/>
  <c r="B34" i="6"/>
  <c r="C33" i="6"/>
  <c r="M33" i="6" s="1"/>
  <c r="Q33" i="6" s="1"/>
  <c r="B34" i="5"/>
  <c r="C33" i="5"/>
  <c r="M33" i="5" s="1"/>
  <c r="Q33" i="5" s="1"/>
  <c r="B30" i="1"/>
  <c r="C29" i="1"/>
  <c r="M29" i="1" s="1"/>
  <c r="Q29" i="1" s="1"/>
  <c r="O7" i="9" l="1"/>
  <c r="O9" i="9" s="1"/>
  <c r="O10" i="9" s="1"/>
  <c r="O11" i="9" s="1"/>
  <c r="O12" i="9" s="1"/>
  <c r="O13" i="9" s="1"/>
  <c r="O14" i="9" s="1"/>
  <c r="O15" i="9" s="1"/>
  <c r="O16" i="9" s="1"/>
  <c r="O17" i="9" s="1"/>
  <c r="O18" i="9" s="1"/>
  <c r="O19" i="9" s="1"/>
  <c r="O20" i="9" s="1"/>
  <c r="O21" i="9" s="1"/>
  <c r="O22" i="9" s="1"/>
  <c r="O23" i="9" s="1"/>
  <c r="O24" i="9" s="1"/>
  <c r="O25" i="9" s="1"/>
  <c r="O26" i="9" s="1"/>
  <c r="O27" i="9" s="1"/>
  <c r="O28" i="9" s="1"/>
  <c r="O29" i="9" s="1"/>
  <c r="O30" i="9" s="1"/>
  <c r="O31" i="9" s="1"/>
  <c r="O32" i="9" s="1"/>
  <c r="O33" i="9" s="1"/>
  <c r="O34" i="9" s="1"/>
  <c r="O35" i="9" s="1"/>
  <c r="O36" i="9" s="1"/>
  <c r="O37" i="9" s="1"/>
  <c r="O38" i="9" s="1"/>
  <c r="O39" i="9" s="1"/>
  <c r="C9" i="16"/>
  <c r="B35" i="15"/>
  <c r="C34" i="15"/>
  <c r="M34" i="15" s="1"/>
  <c r="Q34" i="15" s="1"/>
  <c r="B34" i="14"/>
  <c r="C33" i="14"/>
  <c r="M33" i="14" s="1"/>
  <c r="Q33" i="14" s="1"/>
  <c r="B35" i="13"/>
  <c r="C34" i="13"/>
  <c r="M34" i="13" s="1"/>
  <c r="Q34" i="13" s="1"/>
  <c r="B35" i="12"/>
  <c r="M34" i="12"/>
  <c r="Q34" i="12" s="1"/>
  <c r="C34" i="12"/>
  <c r="B35" i="11"/>
  <c r="C34" i="11"/>
  <c r="M34" i="11" s="1"/>
  <c r="Q34" i="11" s="1"/>
  <c r="B35" i="10"/>
  <c r="C34" i="10"/>
  <c r="M34" i="10" s="1"/>
  <c r="Q34" i="10" s="1"/>
  <c r="B35" i="9"/>
  <c r="M34" i="9"/>
  <c r="Q34" i="9" s="1"/>
  <c r="C34" i="9"/>
  <c r="B35" i="8"/>
  <c r="C34" i="8"/>
  <c r="M34" i="8" s="1"/>
  <c r="Q34" i="8" s="1"/>
  <c r="B35" i="7"/>
  <c r="C34" i="7"/>
  <c r="M34" i="7" s="1"/>
  <c r="Q34" i="7" s="1"/>
  <c r="B35" i="6"/>
  <c r="M34" i="6"/>
  <c r="Q34" i="6" s="1"/>
  <c r="C34" i="6"/>
  <c r="B35" i="5"/>
  <c r="C34" i="5"/>
  <c r="M34" i="5" s="1"/>
  <c r="Q34" i="5" s="1"/>
  <c r="B31" i="1"/>
  <c r="C30" i="1"/>
  <c r="M30" i="1" s="1"/>
  <c r="Q30" i="1" s="1"/>
  <c r="O7" i="10" l="1"/>
  <c r="O9" i="10" s="1"/>
  <c r="O10" i="10" s="1"/>
  <c r="O11" i="10" s="1"/>
  <c r="O12" i="10" s="1"/>
  <c r="O13" i="10" s="1"/>
  <c r="O14" i="10" s="1"/>
  <c r="O15" i="10" s="1"/>
  <c r="O16" i="10" s="1"/>
  <c r="O17" i="10" s="1"/>
  <c r="O18" i="10" s="1"/>
  <c r="O19" i="10" s="1"/>
  <c r="O20" i="10" s="1"/>
  <c r="O21" i="10" s="1"/>
  <c r="O22" i="10" s="1"/>
  <c r="O23" i="10" s="1"/>
  <c r="O24" i="10" s="1"/>
  <c r="O25" i="10" s="1"/>
  <c r="O26" i="10" s="1"/>
  <c r="O27" i="10" s="1"/>
  <c r="O28" i="10" s="1"/>
  <c r="O29" i="10" s="1"/>
  <c r="O30" i="10" s="1"/>
  <c r="O31" i="10" s="1"/>
  <c r="O32" i="10" s="1"/>
  <c r="O33" i="10" s="1"/>
  <c r="O34" i="10" s="1"/>
  <c r="O35" i="10" s="1"/>
  <c r="O36" i="10" s="1"/>
  <c r="O37" i="10" s="1"/>
  <c r="O38" i="10" s="1"/>
  <c r="O39" i="10" s="1"/>
  <c r="C10" i="16"/>
  <c r="B36" i="15"/>
  <c r="C35" i="15"/>
  <c r="M35" i="15" s="1"/>
  <c r="Q35" i="15" s="1"/>
  <c r="B35" i="14"/>
  <c r="M34" i="14"/>
  <c r="Q34" i="14" s="1"/>
  <c r="C34" i="14"/>
  <c r="C35" i="13"/>
  <c r="M35" i="13" s="1"/>
  <c r="Q35" i="13" s="1"/>
  <c r="B36" i="13"/>
  <c r="B36" i="12"/>
  <c r="C35" i="12"/>
  <c r="M35" i="12" s="1"/>
  <c r="Q35" i="12" s="1"/>
  <c r="M35" i="11"/>
  <c r="Q35" i="11" s="1"/>
  <c r="B36" i="11"/>
  <c r="C35" i="11"/>
  <c r="B36" i="10"/>
  <c r="C35" i="10"/>
  <c r="M35" i="10" s="1"/>
  <c r="Q35" i="10" s="1"/>
  <c r="B36" i="9"/>
  <c r="C35" i="9"/>
  <c r="M35" i="9" s="1"/>
  <c r="Q35" i="9" s="1"/>
  <c r="B36" i="8"/>
  <c r="C35" i="8"/>
  <c r="M35" i="8"/>
  <c r="Q35" i="8" s="1"/>
  <c r="B36" i="7"/>
  <c r="C35" i="7"/>
  <c r="M35" i="7" s="1"/>
  <c r="Q35" i="7" s="1"/>
  <c r="C35" i="6"/>
  <c r="B36" i="6"/>
  <c r="M35" i="6"/>
  <c r="Q35" i="6" s="1"/>
  <c r="B36" i="5"/>
  <c r="M35" i="5"/>
  <c r="Q35" i="5" s="1"/>
  <c r="C35" i="5"/>
  <c r="C31" i="1"/>
  <c r="B32" i="1"/>
  <c r="M31" i="1"/>
  <c r="Q31" i="1" s="1"/>
  <c r="C11" i="16" l="1"/>
  <c r="O7" i="11"/>
  <c r="O9" i="11" s="1"/>
  <c r="O10" i="11" s="1"/>
  <c r="O11" i="11" s="1"/>
  <c r="O12" i="11" s="1"/>
  <c r="O13" i="11" s="1"/>
  <c r="O14" i="11" s="1"/>
  <c r="O15" i="11" s="1"/>
  <c r="O16" i="11" s="1"/>
  <c r="O17" i="11" s="1"/>
  <c r="O18" i="11" s="1"/>
  <c r="O19" i="11" s="1"/>
  <c r="O20" i="11" s="1"/>
  <c r="O21" i="11" s="1"/>
  <c r="O22" i="11" s="1"/>
  <c r="O23" i="11" s="1"/>
  <c r="O24" i="11" s="1"/>
  <c r="O25" i="11" s="1"/>
  <c r="O26" i="11" s="1"/>
  <c r="O27" i="11" s="1"/>
  <c r="O28" i="11" s="1"/>
  <c r="O29" i="11" s="1"/>
  <c r="O30" i="11" s="1"/>
  <c r="O31" i="11" s="1"/>
  <c r="O32" i="11" s="1"/>
  <c r="O33" i="11" s="1"/>
  <c r="O34" i="11" s="1"/>
  <c r="O35" i="11" s="1"/>
  <c r="O36" i="11" s="1"/>
  <c r="O37" i="11" s="1"/>
  <c r="O38" i="11" s="1"/>
  <c r="O39" i="11" s="1"/>
  <c r="B37" i="15"/>
  <c r="M36" i="15"/>
  <c r="Q36" i="15" s="1"/>
  <c r="C36" i="15"/>
  <c r="B36" i="14"/>
  <c r="M35" i="14"/>
  <c r="Q35" i="14" s="1"/>
  <c r="C35" i="14"/>
  <c r="B37" i="13"/>
  <c r="C36" i="13"/>
  <c r="M36" i="13" s="1"/>
  <c r="Q36" i="13" s="1"/>
  <c r="C36" i="12"/>
  <c r="M36" i="12" s="1"/>
  <c r="Q36" i="12" s="1"/>
  <c r="B37" i="12"/>
  <c r="B37" i="11"/>
  <c r="M36" i="11"/>
  <c r="Q36" i="11" s="1"/>
  <c r="C36" i="11"/>
  <c r="B37" i="10"/>
  <c r="C36" i="10"/>
  <c r="M36" i="10" s="1"/>
  <c r="Q36" i="10" s="1"/>
  <c r="B37" i="9"/>
  <c r="C36" i="9"/>
  <c r="M36" i="9" s="1"/>
  <c r="Q36" i="9" s="1"/>
  <c r="B37" i="8"/>
  <c r="M36" i="8"/>
  <c r="Q36" i="8" s="1"/>
  <c r="C36" i="8"/>
  <c r="B37" i="7"/>
  <c r="C36" i="7"/>
  <c r="M36" i="7" s="1"/>
  <c r="Q36" i="7" s="1"/>
  <c r="B37" i="6"/>
  <c r="C36" i="6"/>
  <c r="M36" i="6" s="1"/>
  <c r="Q36" i="6" s="1"/>
  <c r="B37" i="5"/>
  <c r="M36" i="5"/>
  <c r="Q36" i="5" s="1"/>
  <c r="C36" i="5"/>
  <c r="M32" i="1"/>
  <c r="Q32" i="1" s="1"/>
  <c r="B33" i="1"/>
  <c r="C32" i="1"/>
  <c r="O7" i="12" l="1"/>
  <c r="O9" i="12" s="1"/>
  <c r="O10" i="12" s="1"/>
  <c r="O11" i="12" s="1"/>
  <c r="O12" i="12" s="1"/>
  <c r="O13" i="12" s="1"/>
  <c r="O14" i="12" s="1"/>
  <c r="O15" i="12" s="1"/>
  <c r="O16" i="12" s="1"/>
  <c r="O17" i="12" s="1"/>
  <c r="O18" i="12" s="1"/>
  <c r="O19" i="12" s="1"/>
  <c r="O20" i="12" s="1"/>
  <c r="O21" i="12" s="1"/>
  <c r="O22" i="12" s="1"/>
  <c r="O23" i="12" s="1"/>
  <c r="O24" i="12" s="1"/>
  <c r="O25" i="12" s="1"/>
  <c r="O26" i="12" s="1"/>
  <c r="O27" i="12" s="1"/>
  <c r="O28" i="12" s="1"/>
  <c r="O29" i="12" s="1"/>
  <c r="O30" i="12" s="1"/>
  <c r="O31" i="12" s="1"/>
  <c r="O32" i="12" s="1"/>
  <c r="O33" i="12" s="1"/>
  <c r="O34" i="12" s="1"/>
  <c r="O35" i="12" s="1"/>
  <c r="O36" i="12" s="1"/>
  <c r="O37" i="12" s="1"/>
  <c r="O38" i="12" s="1"/>
  <c r="O39" i="12" s="1"/>
  <c r="C12" i="16"/>
  <c r="M37" i="15"/>
  <c r="Q37" i="15" s="1"/>
  <c r="B38" i="15"/>
  <c r="C37" i="15"/>
  <c r="C36" i="14"/>
  <c r="B37" i="14"/>
  <c r="M36" i="14"/>
  <c r="Q36" i="14" s="1"/>
  <c r="B38" i="13"/>
  <c r="M37" i="13"/>
  <c r="Q37" i="13" s="1"/>
  <c r="C37" i="13"/>
  <c r="B38" i="12"/>
  <c r="M37" i="12"/>
  <c r="Q37" i="12" s="1"/>
  <c r="C37" i="12"/>
  <c r="B38" i="11"/>
  <c r="C37" i="11"/>
  <c r="M37" i="11" s="1"/>
  <c r="Q37" i="11" s="1"/>
  <c r="B38" i="10"/>
  <c r="C37" i="10"/>
  <c r="M37" i="10" s="1"/>
  <c r="Q37" i="10" s="1"/>
  <c r="B38" i="9"/>
  <c r="C37" i="9"/>
  <c r="M37" i="9" s="1"/>
  <c r="Q37" i="9" s="1"/>
  <c r="B38" i="8"/>
  <c r="M37" i="8"/>
  <c r="Q37" i="8" s="1"/>
  <c r="C37" i="8"/>
  <c r="B38" i="7"/>
  <c r="C37" i="7"/>
  <c r="M37" i="7" s="1"/>
  <c r="Q37" i="7" s="1"/>
  <c r="B38" i="6"/>
  <c r="C37" i="6"/>
  <c r="M37" i="6" s="1"/>
  <c r="Q37" i="6" s="1"/>
  <c r="B38" i="5"/>
  <c r="M37" i="5"/>
  <c r="Q37" i="5" s="1"/>
  <c r="C37" i="5"/>
  <c r="B34" i="1"/>
  <c r="C33" i="1"/>
  <c r="M33" i="1" s="1"/>
  <c r="Q33" i="1" s="1"/>
  <c r="O7" i="13" l="1"/>
  <c r="O9" i="13" s="1"/>
  <c r="O10" i="13" s="1"/>
  <c r="O11" i="13" s="1"/>
  <c r="O12" i="13" s="1"/>
  <c r="O13" i="13" s="1"/>
  <c r="O14" i="13" s="1"/>
  <c r="O15" i="13" s="1"/>
  <c r="O16" i="13" s="1"/>
  <c r="O17" i="13" s="1"/>
  <c r="O18" i="13" s="1"/>
  <c r="O19" i="13" s="1"/>
  <c r="O20" i="13" s="1"/>
  <c r="O21" i="13" s="1"/>
  <c r="O22" i="13" s="1"/>
  <c r="O23" i="13" s="1"/>
  <c r="O24" i="13" s="1"/>
  <c r="O25" i="13" s="1"/>
  <c r="O26" i="13" s="1"/>
  <c r="O27" i="13" s="1"/>
  <c r="O28" i="13" s="1"/>
  <c r="O29" i="13" s="1"/>
  <c r="O30" i="13" s="1"/>
  <c r="O31" i="13" s="1"/>
  <c r="O32" i="13" s="1"/>
  <c r="O33" i="13" s="1"/>
  <c r="O34" i="13" s="1"/>
  <c r="O35" i="13" s="1"/>
  <c r="O36" i="13" s="1"/>
  <c r="O37" i="13" s="1"/>
  <c r="O38" i="13" s="1"/>
  <c r="O39" i="13" s="1"/>
  <c r="C13" i="16"/>
  <c r="B39" i="15"/>
  <c r="C38" i="15"/>
  <c r="M38" i="15" s="1"/>
  <c r="Q38" i="15" s="1"/>
  <c r="B38" i="14"/>
  <c r="C37" i="14"/>
  <c r="M37" i="14" s="1"/>
  <c r="Q37" i="14" s="1"/>
  <c r="B39" i="13"/>
  <c r="M38" i="13"/>
  <c r="Q38" i="13" s="1"/>
  <c r="C38" i="13"/>
  <c r="B39" i="12"/>
  <c r="C38" i="12"/>
  <c r="M38" i="12" s="1"/>
  <c r="Q38" i="12" s="1"/>
  <c r="B39" i="11"/>
  <c r="M38" i="11"/>
  <c r="Q38" i="11" s="1"/>
  <c r="C38" i="11"/>
  <c r="B39" i="10"/>
  <c r="M38" i="10"/>
  <c r="Q38" i="10" s="1"/>
  <c r="C38" i="10"/>
  <c r="B39" i="9"/>
  <c r="C38" i="9"/>
  <c r="M38" i="9" s="1"/>
  <c r="Q38" i="9" s="1"/>
  <c r="B39" i="8"/>
  <c r="M38" i="8"/>
  <c r="Q38" i="8" s="1"/>
  <c r="C38" i="8"/>
  <c r="B39" i="7"/>
  <c r="M38" i="7"/>
  <c r="Q38" i="7" s="1"/>
  <c r="C38" i="7"/>
  <c r="B39" i="6"/>
  <c r="M38" i="6"/>
  <c r="Q38" i="6" s="1"/>
  <c r="C38" i="6"/>
  <c r="B39" i="5"/>
  <c r="M38" i="5"/>
  <c r="Q38" i="5" s="1"/>
  <c r="C38" i="5"/>
  <c r="C34" i="1"/>
  <c r="M34" i="1" s="1"/>
  <c r="Q34" i="1" s="1"/>
  <c r="B35" i="1"/>
  <c r="C14" i="16" l="1"/>
  <c r="O7" i="14"/>
  <c r="O9" i="14" s="1"/>
  <c r="O10" i="14" s="1"/>
  <c r="O11" i="14" s="1"/>
  <c r="O12" i="14" s="1"/>
  <c r="O13" i="14" s="1"/>
  <c r="O14" i="14" s="1"/>
  <c r="O15" i="14" s="1"/>
  <c r="O16" i="14" s="1"/>
  <c r="O17" i="14" s="1"/>
  <c r="O18" i="14" s="1"/>
  <c r="O19" i="14" s="1"/>
  <c r="O20" i="14" s="1"/>
  <c r="O21" i="14" s="1"/>
  <c r="O22" i="14" s="1"/>
  <c r="O23" i="14" s="1"/>
  <c r="O24" i="14" s="1"/>
  <c r="O25" i="14" s="1"/>
  <c r="O26" i="14" s="1"/>
  <c r="O27" i="14" s="1"/>
  <c r="O28" i="14" s="1"/>
  <c r="O29" i="14" s="1"/>
  <c r="O30" i="14" s="1"/>
  <c r="O31" i="14" s="1"/>
  <c r="O32" i="14" s="1"/>
  <c r="O33" i="14" s="1"/>
  <c r="O34" i="14" s="1"/>
  <c r="O35" i="14" s="1"/>
  <c r="O36" i="14" s="1"/>
  <c r="O37" i="14" s="1"/>
  <c r="O38" i="14" s="1"/>
  <c r="O39" i="14" s="1"/>
  <c r="M39" i="15"/>
  <c r="Q39" i="15" s="1"/>
  <c r="Q7" i="15" s="1"/>
  <c r="C39" i="15"/>
  <c r="B39" i="14"/>
  <c r="C38" i="14"/>
  <c r="M38" i="14" s="1"/>
  <c r="Q38" i="14" s="1"/>
  <c r="C39" i="13"/>
  <c r="M39" i="13" s="1"/>
  <c r="Q39" i="13" s="1"/>
  <c r="Q7" i="13" s="1"/>
  <c r="M39" i="12"/>
  <c r="Q39" i="12" s="1"/>
  <c r="Q7" i="12" s="1"/>
  <c r="C39" i="12"/>
  <c r="M39" i="11"/>
  <c r="Q39" i="11" s="1"/>
  <c r="Q7" i="11" s="1"/>
  <c r="C39" i="11"/>
  <c r="C39" i="10"/>
  <c r="M39" i="10"/>
  <c r="Q39" i="10" s="1"/>
  <c r="Q7" i="10" s="1"/>
  <c r="M39" i="9"/>
  <c r="Q39" i="9" s="1"/>
  <c r="Q7" i="9" s="1"/>
  <c r="C39" i="9"/>
  <c r="C39" i="8"/>
  <c r="M39" i="8"/>
  <c r="Q39" i="8" s="1"/>
  <c r="Q7" i="8" s="1"/>
  <c r="C39" i="7"/>
  <c r="M39" i="7"/>
  <c r="Q39" i="7" s="1"/>
  <c r="Q7" i="7" s="1"/>
  <c r="C39" i="6"/>
  <c r="M39" i="6" s="1"/>
  <c r="Q39" i="6" s="1"/>
  <c r="Q7" i="6" s="1"/>
  <c r="M39" i="5"/>
  <c r="Q39" i="5" s="1"/>
  <c r="Q7" i="5" s="1"/>
  <c r="C39" i="5"/>
  <c r="C35" i="1"/>
  <c r="M35" i="1" s="1"/>
  <c r="Q35" i="1" s="1"/>
  <c r="B36" i="1"/>
  <c r="C15" i="16" l="1"/>
  <c r="O7" i="15"/>
  <c r="O9" i="15" s="1"/>
  <c r="O10" i="15" s="1"/>
  <c r="O11" i="15" s="1"/>
  <c r="O12" i="15" s="1"/>
  <c r="O13" i="15" s="1"/>
  <c r="O14" i="15" s="1"/>
  <c r="O15" i="15" s="1"/>
  <c r="O16" i="15" s="1"/>
  <c r="O17" i="15" s="1"/>
  <c r="O18" i="15" s="1"/>
  <c r="O19" i="15" s="1"/>
  <c r="O20" i="15" s="1"/>
  <c r="O21" i="15" s="1"/>
  <c r="O22" i="15" s="1"/>
  <c r="O23" i="15" s="1"/>
  <c r="O24" i="15" s="1"/>
  <c r="O25" i="15" s="1"/>
  <c r="O26" i="15" s="1"/>
  <c r="O27" i="15" s="1"/>
  <c r="O28" i="15" s="1"/>
  <c r="O29" i="15" s="1"/>
  <c r="O30" i="15" s="1"/>
  <c r="O31" i="15" s="1"/>
  <c r="O32" i="15" s="1"/>
  <c r="O33" i="15" s="1"/>
  <c r="O34" i="15" s="1"/>
  <c r="O35" i="15" s="1"/>
  <c r="O36" i="15" s="1"/>
  <c r="O37" i="15" s="1"/>
  <c r="O38" i="15" s="1"/>
  <c r="O39" i="15" s="1"/>
  <c r="C16" i="16" s="1"/>
  <c r="M39" i="14"/>
  <c r="Q39" i="14" s="1"/>
  <c r="Q7" i="14" s="1"/>
  <c r="C39" i="14"/>
  <c r="B37" i="1"/>
  <c r="C36" i="1"/>
  <c r="M36" i="1" s="1"/>
  <c r="Q36" i="1" s="1"/>
  <c r="C17" i="16" l="1"/>
  <c r="M37" i="1"/>
  <c r="Q37" i="1" s="1"/>
  <c r="B38" i="1"/>
  <c r="C37" i="1"/>
  <c r="B39" i="1" l="1"/>
  <c r="C38" i="1"/>
  <c r="M38" i="1" s="1"/>
  <c r="Q38" i="1" s="1"/>
  <c r="M39" i="1" l="1"/>
  <c r="Q39" i="1" s="1"/>
  <c r="Q7" i="1" s="1"/>
  <c r="C39" i="1"/>
</calcChain>
</file>

<file path=xl/comments1.xml><?xml version="1.0" encoding="utf-8"?>
<comments xmlns="http://schemas.openxmlformats.org/spreadsheetml/2006/main">
  <authors>
    <author>Evert Leal Ramos</author>
  </authors>
  <commentList>
    <comment ref="D2" authorId="0" shapeId="0">
      <text>
        <r>
          <rPr>
            <b/>
            <sz val="9"/>
            <color indexed="81"/>
            <rFont val="Segoe UI"/>
            <family val="2"/>
          </rPr>
          <t>Informação:</t>
        </r>
        <r>
          <rPr>
            <sz val="9"/>
            <color indexed="81"/>
            <rFont val="Segoe UI"/>
            <family val="2"/>
          </rPr>
          <t xml:space="preserve">
- Liberar o período trabalho, caso ele não tenha cumprido a hora ou não tenha trabalhado no dia o período que tiver essa ocorrência será abonado, ou seja, não será descontado a hora não trabalhada no periodo em questão.
</t>
        </r>
      </text>
    </comment>
    <comment ref="E2" authorId="0" shapeId="0">
      <text>
        <r>
          <rPr>
            <b/>
            <sz val="9"/>
            <color indexed="81"/>
            <rFont val="Segoe UI"/>
            <family val="2"/>
          </rPr>
          <t>Informação:</t>
        </r>
        <r>
          <rPr>
            <sz val="9"/>
            <color indexed="81"/>
            <rFont val="Segoe UI"/>
            <family val="2"/>
          </rPr>
          <t xml:space="preserve">
- Contabiliza 100% a hora do funcionário trabalhada, ou seja, se ele trabalhou 1 min. no referido dia, vai contabilizar, pois trata de dia incomum como Férias, Feriado etc que o funcionário trabalhou e deve contabilizar cada minuto trabalho.
</t>
        </r>
      </text>
    </comment>
  </commentList>
</comments>
</file>

<file path=xl/sharedStrings.xml><?xml version="1.0" encoding="utf-8"?>
<sst xmlns="http://schemas.openxmlformats.org/spreadsheetml/2006/main" count="596" uniqueCount="110">
  <si>
    <t>Data</t>
  </si>
  <si>
    <t>Dia</t>
  </si>
  <si>
    <t>Feriado</t>
  </si>
  <si>
    <t>Entrada - 1</t>
  </si>
  <si>
    <t>Saída - 1 (Almoço)</t>
  </si>
  <si>
    <t>Entrada - 2 (Almoço)</t>
  </si>
  <si>
    <t>Saída - 2</t>
  </si>
  <si>
    <t>Mês</t>
  </si>
  <si>
    <t>Falta Justificada</t>
  </si>
  <si>
    <t>Atestado Médico</t>
  </si>
  <si>
    <t>Descrição</t>
  </si>
  <si>
    <t>Atestado Comparecimento</t>
  </si>
  <si>
    <t>Férias</t>
  </si>
  <si>
    <t>Limite de horas</t>
  </si>
  <si>
    <t>h</t>
  </si>
  <si>
    <t>sem limite</t>
  </si>
  <si>
    <t>Liberação Chefia</t>
  </si>
  <si>
    <t>Liberação Presidência</t>
  </si>
  <si>
    <t>2h diárias</t>
  </si>
  <si>
    <t>Limite Horas</t>
  </si>
  <si>
    <t>Limite</t>
  </si>
  <si>
    <t>Configurações do Sistema</t>
  </si>
  <si>
    <t>Falta não justificada</t>
  </si>
  <si>
    <t>Evento</t>
  </si>
  <si>
    <t>At. Méd.</t>
  </si>
  <si>
    <t>At. Comp.</t>
  </si>
  <si>
    <t>Lib. Pres.</t>
  </si>
  <si>
    <t>Lib. Chef.</t>
  </si>
  <si>
    <t>Falta ñ Just.</t>
  </si>
  <si>
    <t>Falta Just.</t>
  </si>
  <si>
    <t>Sim</t>
  </si>
  <si>
    <t>Não</t>
  </si>
  <si>
    <t>Carência diária</t>
  </si>
  <si>
    <t>Colorir Período</t>
  </si>
  <si>
    <t>Colorir Linha</t>
  </si>
  <si>
    <t>Horas Trabalhadas (1º Período)</t>
  </si>
  <si>
    <t>Horas Trabalhadas (2º Período)</t>
  </si>
  <si>
    <t>Jornada diária</t>
  </si>
  <si>
    <t>Dias de Trabalho - Semana</t>
  </si>
  <si>
    <t>Sábado</t>
  </si>
  <si>
    <t>Domingo</t>
  </si>
  <si>
    <t>Segunda-Feira</t>
  </si>
  <si>
    <t>Terça-Feira</t>
  </si>
  <si>
    <t>Quarta-Feira</t>
  </si>
  <si>
    <t>Quinta-Feira</t>
  </si>
  <si>
    <t>Sexta-Feira</t>
  </si>
  <si>
    <t>Informação</t>
  </si>
  <si>
    <t>Libera o Período</t>
  </si>
  <si>
    <t>Jornada Diária</t>
  </si>
  <si>
    <t>Saldo de Horas</t>
  </si>
  <si>
    <t>Horas Trabalhadas Além Jornada</t>
  </si>
  <si>
    <t>Evento 
(1º Período)</t>
  </si>
  <si>
    <t>Evento 
(2º Período)</t>
  </si>
  <si>
    <t>Atras. Bus</t>
  </si>
  <si>
    <t>Atraso do Ônibus</t>
  </si>
  <si>
    <t>Horas Trabalhadas</t>
  </si>
  <si>
    <t>Hora(s)</t>
  </si>
  <si>
    <t>Conta hora Extra</t>
  </si>
  <si>
    <t>Nome</t>
  </si>
  <si>
    <t>Selecione o Mês</t>
  </si>
  <si>
    <t>Viagem Serv.</t>
  </si>
  <si>
    <t>Viagem a Serviço</t>
  </si>
  <si>
    <t>Ano</t>
  </si>
  <si>
    <t>Janeiro</t>
  </si>
  <si>
    <t>Fevereiro</t>
  </si>
  <si>
    <t>Março</t>
  </si>
  <si>
    <t>Abril</t>
  </si>
  <si>
    <t>Maio</t>
  </si>
  <si>
    <t>Junho</t>
  </si>
  <si>
    <t>Julho</t>
  </si>
  <si>
    <t>Agosto</t>
  </si>
  <si>
    <t>Setembro</t>
  </si>
  <si>
    <t>Outubro</t>
  </si>
  <si>
    <t>Novembro</t>
  </si>
  <si>
    <t>Dezembro</t>
  </si>
  <si>
    <t>É dia util?</t>
  </si>
  <si>
    <t>ocultar</t>
  </si>
  <si>
    <t>Jornada Diferenciada?</t>
  </si>
  <si>
    <t>seg</t>
  </si>
  <si>
    <t>ter</t>
  </si>
  <si>
    <t>qua</t>
  </si>
  <si>
    <t>qui</t>
  </si>
  <si>
    <t>sex</t>
  </si>
  <si>
    <t>sáb</t>
  </si>
  <si>
    <t>dom</t>
  </si>
  <si>
    <t>Dia da Semana</t>
  </si>
  <si>
    <t>Abreviatura</t>
  </si>
  <si>
    <t>http://www.excelguru.com.br</t>
  </si>
  <si>
    <t>1° dia mês</t>
  </si>
  <si>
    <t>Comp. Hora</t>
  </si>
  <si>
    <t>Compensação de Horas</t>
  </si>
  <si>
    <t>Atrasos
(horas)</t>
  </si>
  <si>
    <t>Faltas
(dias)</t>
  </si>
  <si>
    <t>Hora Extra Normal</t>
  </si>
  <si>
    <t>Hora Extra 
Especial</t>
  </si>
  <si>
    <t>T o t a l i z a d o r e s   d e   h o r a s</t>
  </si>
  <si>
    <t>Matrícula</t>
  </si>
  <si>
    <t>Função</t>
  </si>
  <si>
    <t>Desenvolvido e distribuído por:</t>
  </si>
  <si>
    <t>v7.1</t>
  </si>
  <si>
    <t>Saldo Anterior</t>
  </si>
  <si>
    <t>Relatório de Saldo de Horas</t>
  </si>
  <si>
    <t>Total</t>
  </si>
  <si>
    <t>1º Período</t>
  </si>
  <si>
    <t>2º Período</t>
  </si>
  <si>
    <t>Total Jornada</t>
  </si>
  <si>
    <t>Período</t>
  </si>
  <si>
    <t>Qtd. Horas por Jornada</t>
  </si>
  <si>
    <t>1° Período</t>
  </si>
  <si>
    <t>2° Período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</si>
</sst>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[$-416]d\-mmm\-yy;@"/>
    <numFmt numFmtId="165" formatCode="[$-416]d\-mmm;@"/>
    <numFmt numFmtId="166" formatCode="h:mm;@"/>
    <numFmt numFmtId="167" formatCode="[h]:mm"/>
    <numFmt numFmtId="168" formatCode="[$-F400]h:mm:ss\ AM/PM"/>
  </numFmts>
  <fonts count="1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2" tint="-0.249977111117893"/>
      <name val="Calibri"/>
      <family val="2"/>
      <scheme val="minor"/>
    </font>
    <font>
      <i/>
      <sz val="10"/>
      <color rgb="FFFF0000"/>
      <name val="Calibri"/>
      <family val="2"/>
      <scheme val="minor"/>
    </font>
    <font>
      <i/>
      <sz val="10"/>
      <color theme="2" tint="-0.249977111117893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i/>
      <sz val="9"/>
      <color theme="0" tint="-4.9989318521683403E-2"/>
      <name val="Calibri"/>
      <family val="2"/>
      <scheme val="minor"/>
    </font>
    <font>
      <i/>
      <sz val="9"/>
      <color theme="2" tint="-0.249977111117893"/>
      <name val="Calibri"/>
      <family val="2"/>
      <scheme val="minor"/>
    </font>
    <font>
      <sz val="14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1" tint="0.499984740745262"/>
      <name val="Calibri"/>
      <family val="2"/>
      <scheme val="minor"/>
    </font>
    <font>
      <u/>
      <sz val="16"/>
      <color theme="10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theme="6" tint="0.79998168889431442"/>
      </patternFill>
    </fill>
    <fill>
      <patternFill patternType="solid">
        <fgColor theme="4" tint="0.79998168889431442"/>
        <bgColor theme="6" tint="0.79998168889431442"/>
      </patternFill>
    </fill>
  </fills>
  <borders count="29">
    <border>
      <left/>
      <right/>
      <top/>
      <bottom/>
      <diagonal/>
    </border>
    <border>
      <left style="thin">
        <color theme="6"/>
      </left>
      <right/>
      <top/>
      <bottom style="hair">
        <color theme="6"/>
      </bottom>
      <diagonal/>
    </border>
    <border>
      <left style="thin">
        <color theme="6"/>
      </left>
      <right/>
      <top style="hair">
        <color theme="6"/>
      </top>
      <bottom style="medium">
        <color theme="6"/>
      </bottom>
      <diagonal/>
    </border>
    <border>
      <left style="thin">
        <color theme="6"/>
      </left>
      <right/>
      <top/>
      <bottom style="medium">
        <color theme="6"/>
      </bottom>
      <diagonal/>
    </border>
    <border>
      <left style="thin">
        <color theme="6"/>
      </left>
      <right/>
      <top/>
      <bottom/>
      <diagonal/>
    </border>
    <border>
      <left/>
      <right style="thin">
        <color theme="6"/>
      </right>
      <top/>
      <bottom/>
      <diagonal/>
    </border>
    <border>
      <left style="thin">
        <color theme="6"/>
      </left>
      <right style="thin">
        <color theme="6"/>
      </right>
      <top style="hair">
        <color theme="6"/>
      </top>
      <bottom style="medium">
        <color theme="6"/>
      </bottom>
      <diagonal/>
    </border>
    <border>
      <left/>
      <right style="thin">
        <color theme="6"/>
      </right>
      <top style="hair">
        <color theme="6"/>
      </top>
      <bottom style="medium">
        <color theme="6"/>
      </bottom>
      <diagonal/>
    </border>
    <border>
      <left/>
      <right/>
      <top/>
      <bottom style="medium">
        <color theme="6"/>
      </bottom>
      <diagonal/>
    </border>
    <border>
      <left/>
      <right style="thin">
        <color theme="6"/>
      </right>
      <top/>
      <bottom style="hair">
        <color theme="6"/>
      </bottom>
      <diagonal/>
    </border>
    <border>
      <left/>
      <right/>
      <top style="hair">
        <color theme="6"/>
      </top>
      <bottom style="medium">
        <color theme="6"/>
      </bottom>
      <diagonal/>
    </border>
    <border>
      <left style="thin">
        <color theme="6"/>
      </left>
      <right style="thin">
        <color theme="6"/>
      </right>
      <top style="thin">
        <color theme="6"/>
      </top>
      <bottom style="thin">
        <color theme="6"/>
      </bottom>
      <diagonal/>
    </border>
    <border>
      <left style="thin">
        <color theme="6"/>
      </left>
      <right/>
      <top style="medium">
        <color theme="6"/>
      </top>
      <bottom style="hair">
        <color theme="6"/>
      </bottom>
      <diagonal/>
    </border>
    <border>
      <left/>
      <right/>
      <top style="medium">
        <color theme="6"/>
      </top>
      <bottom style="hair">
        <color theme="6"/>
      </bottom>
      <diagonal/>
    </border>
    <border>
      <left style="thin">
        <color theme="6"/>
      </left>
      <right/>
      <top/>
      <bottom style="thin">
        <color theme="6"/>
      </bottom>
      <diagonal/>
    </border>
    <border>
      <left/>
      <right/>
      <top/>
      <bottom style="thin">
        <color theme="6"/>
      </bottom>
      <diagonal/>
    </border>
    <border>
      <left style="thin">
        <color theme="6"/>
      </left>
      <right style="thin">
        <color theme="6"/>
      </right>
      <top style="thin">
        <color theme="6"/>
      </top>
      <bottom/>
      <diagonal/>
    </border>
    <border>
      <left style="thin">
        <color theme="6"/>
      </left>
      <right style="thin">
        <color theme="6"/>
      </right>
      <top/>
      <bottom style="medium">
        <color theme="6"/>
      </bottom>
      <diagonal/>
    </border>
    <border>
      <left style="thin">
        <color theme="6"/>
      </left>
      <right/>
      <top style="thin">
        <color theme="6"/>
      </top>
      <bottom/>
      <diagonal/>
    </border>
    <border>
      <left/>
      <right style="thin">
        <color theme="6"/>
      </right>
      <top style="thin">
        <color theme="6"/>
      </top>
      <bottom/>
      <diagonal/>
    </border>
    <border>
      <left/>
      <right style="thin">
        <color theme="6"/>
      </right>
      <top/>
      <bottom style="medium">
        <color theme="6"/>
      </bottom>
      <diagonal/>
    </border>
    <border>
      <left style="double">
        <color theme="5"/>
      </left>
      <right/>
      <top style="medium">
        <color theme="6"/>
      </top>
      <bottom style="medium">
        <color theme="6"/>
      </bottom>
      <diagonal/>
    </border>
    <border>
      <left/>
      <right/>
      <top style="medium">
        <color theme="6"/>
      </top>
      <bottom style="medium">
        <color theme="6"/>
      </bottom>
      <diagonal/>
    </border>
    <border>
      <left/>
      <right style="double">
        <color theme="5"/>
      </right>
      <top style="medium">
        <color theme="6"/>
      </top>
      <bottom style="medium">
        <color theme="6"/>
      </bottom>
      <diagonal/>
    </border>
    <border>
      <left style="double">
        <color theme="5"/>
      </left>
      <right/>
      <top/>
      <bottom/>
      <diagonal/>
    </border>
    <border>
      <left/>
      <right style="double">
        <color theme="5"/>
      </right>
      <top/>
      <bottom/>
      <diagonal/>
    </border>
    <border>
      <left style="double">
        <color theme="5"/>
      </left>
      <right/>
      <top/>
      <bottom style="double">
        <color theme="5"/>
      </bottom>
      <diagonal/>
    </border>
    <border>
      <left/>
      <right/>
      <top/>
      <bottom style="double">
        <color theme="5"/>
      </bottom>
      <diagonal/>
    </border>
    <border>
      <left/>
      <right style="double">
        <color theme="5"/>
      </right>
      <top/>
      <bottom style="double">
        <color theme="5"/>
      </bottom>
      <diagonal/>
    </border>
  </borders>
  <cellStyleXfs count="2">
    <xf numFmtId="0" fontId="0" fillId="0" borderId="0"/>
    <xf numFmtId="0" fontId="11" fillId="0" borderId="0" applyNumberFormat="0" applyFill="0" applyBorder="0" applyAlignment="0" applyProtection="0"/>
  </cellStyleXfs>
  <cellXfs count="96">
    <xf numFmtId="0" fontId="0" fillId="0" borderId="0" xfId="0"/>
    <xf numFmtId="166" fontId="0" fillId="0" borderId="0" xfId="0" applyNumberFormat="1" applyAlignment="1" applyProtection="1">
      <alignment horizontal="center" vertical="center"/>
      <protection locked="0"/>
    </xf>
    <xf numFmtId="0" fontId="0" fillId="0" borderId="6" xfId="0" applyNumberFormat="1" applyBorder="1" applyAlignment="1" applyProtection="1">
      <alignment horizontal="center"/>
      <protection locked="0"/>
    </xf>
    <xf numFmtId="166" fontId="0" fillId="0" borderId="6" xfId="0" applyNumberFormat="1" applyBorder="1" applyAlignment="1" applyProtection="1">
      <alignment horizontal="center"/>
      <protection locked="0"/>
    </xf>
    <xf numFmtId="166" fontId="0" fillId="2" borderId="0" xfId="0" applyNumberFormat="1" applyFill="1" applyAlignment="1" applyProtection="1">
      <alignment horizontal="center" vertical="center"/>
    </xf>
    <xf numFmtId="0" fontId="0" fillId="0" borderId="0" xfId="0" applyProtection="1"/>
    <xf numFmtId="0" fontId="4" fillId="0" borderId="0" xfId="0" applyFont="1" applyProtection="1"/>
    <xf numFmtId="0" fontId="1" fillId="0" borderId="0" xfId="0" applyFont="1" applyBorder="1" applyAlignment="1" applyProtection="1">
      <alignment horizontal="center" vertical="center" wrapText="1"/>
    </xf>
    <xf numFmtId="0" fontId="4" fillId="0" borderId="0" xfId="0" applyFont="1" applyAlignment="1" applyProtection="1"/>
    <xf numFmtId="0" fontId="0" fillId="0" borderId="0" xfId="0" applyAlignment="1" applyProtection="1">
      <alignment horizontal="center" vertical="center" wrapText="1"/>
    </xf>
    <xf numFmtId="0" fontId="0" fillId="2" borderId="0" xfId="0" applyFill="1" applyAlignment="1" applyProtection="1">
      <alignment horizontal="center" vertical="center" wrapText="1"/>
    </xf>
    <xf numFmtId="165" fontId="0" fillId="0" borderId="0" xfId="0" applyNumberFormat="1" applyAlignment="1" applyProtection="1">
      <alignment horizontal="center" vertical="center"/>
    </xf>
    <xf numFmtId="0" fontId="0" fillId="0" borderId="0" xfId="0" applyAlignment="1" applyProtection="1">
      <alignment horizontal="center" vertical="center"/>
    </xf>
    <xf numFmtId="166" fontId="0" fillId="0" borderId="0" xfId="0" applyNumberFormat="1" applyAlignment="1" applyProtection="1">
      <alignment horizontal="center" vertical="center"/>
    </xf>
    <xf numFmtId="167" fontId="0" fillId="0" borderId="0" xfId="0" applyNumberFormat="1" applyAlignment="1" applyProtection="1">
      <alignment horizontal="center" vertical="center"/>
    </xf>
    <xf numFmtId="0" fontId="3" fillId="0" borderId="0" xfId="0" applyFont="1" applyAlignment="1" applyProtection="1">
      <alignment horizontal="left" vertical="center"/>
    </xf>
    <xf numFmtId="0" fontId="0" fillId="0" borderId="0" xfId="0" applyAlignment="1" applyProtection="1"/>
    <xf numFmtId="0" fontId="0" fillId="0" borderId="0" xfId="0" applyNumberFormat="1" applyProtection="1"/>
    <xf numFmtId="168" fontId="0" fillId="0" borderId="0" xfId="0" applyNumberFormat="1" applyProtection="1"/>
    <xf numFmtId="164" fontId="1" fillId="0" borderId="2" xfId="0" applyNumberFormat="1" applyFont="1" applyBorder="1" applyAlignment="1" applyProtection="1">
      <alignment horizontal="center"/>
    </xf>
    <xf numFmtId="0" fontId="5" fillId="0" borderId="7" xfId="0" applyFont="1" applyBorder="1" applyProtection="1"/>
    <xf numFmtId="0" fontId="0" fillId="0" borderId="0" xfId="0" applyAlignment="1" applyProtection="1">
      <alignment horizontal="center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left"/>
    </xf>
    <xf numFmtId="0" fontId="2" fillId="0" borderId="0" xfId="0" applyFont="1" applyAlignment="1" applyProtection="1">
      <alignment vertical="center" wrapText="1"/>
    </xf>
    <xf numFmtId="0" fontId="0" fillId="2" borderId="0" xfId="0" applyFill="1" applyAlignment="1" applyProtection="1">
      <alignment horizontal="center" vertical="center"/>
      <protection locked="0"/>
    </xf>
    <xf numFmtId="2" fontId="0" fillId="0" borderId="0" xfId="0" applyNumberFormat="1" applyAlignment="1" applyProtection="1">
      <alignment horizontal="center" vertical="center" wrapText="1"/>
    </xf>
    <xf numFmtId="168" fontId="0" fillId="0" borderId="2" xfId="0" applyNumberFormat="1" applyBorder="1" applyAlignment="1" applyProtection="1">
      <alignment horizontal="center"/>
      <protection locked="0"/>
    </xf>
    <xf numFmtId="0" fontId="1" fillId="0" borderId="1" xfId="0" applyFont="1" applyBorder="1" applyAlignment="1" applyProtection="1">
      <alignment horizontal="center" vertical="center" wrapText="1"/>
    </xf>
    <xf numFmtId="0" fontId="1" fillId="0" borderId="1" xfId="0" applyFont="1" applyBorder="1" applyAlignment="1" applyProtection="1">
      <alignment horizontal="center" vertical="center" wrapText="1"/>
    </xf>
    <xf numFmtId="1" fontId="0" fillId="3" borderId="2" xfId="0" applyNumberFormat="1" applyFill="1" applyBorder="1" applyAlignment="1" applyProtection="1">
      <alignment horizontal="center"/>
      <protection locked="0"/>
    </xf>
    <xf numFmtId="49" fontId="0" fillId="0" borderId="0" xfId="0" applyNumberFormat="1" applyAlignment="1" applyProtection="1">
      <alignment horizontal="center"/>
    </xf>
    <xf numFmtId="14" fontId="8" fillId="0" borderId="0" xfId="0" applyNumberFormat="1" applyFont="1" applyAlignment="1" applyProtection="1">
      <alignment horizontal="center"/>
    </xf>
    <xf numFmtId="164" fontId="1" fillId="0" borderId="2" xfId="0" applyNumberFormat="1" applyFont="1" applyBorder="1" applyAlignment="1" applyProtection="1">
      <alignment horizontal="center"/>
    </xf>
    <xf numFmtId="0" fontId="3" fillId="0" borderId="0" xfId="0" applyFont="1" applyAlignment="1" applyProtection="1">
      <alignment horizontal="center"/>
    </xf>
    <xf numFmtId="0" fontId="9" fillId="0" borderId="0" xfId="0" applyFont="1" applyAlignment="1" applyProtection="1">
      <alignment horizontal="right" vertical="center" wrapText="1"/>
    </xf>
    <xf numFmtId="0" fontId="0" fillId="0" borderId="0" xfId="0" applyFill="1" applyAlignment="1" applyProtection="1">
      <alignment horizontal="center"/>
      <protection locked="0"/>
    </xf>
    <xf numFmtId="0" fontId="0" fillId="0" borderId="0" xfId="0" quotePrefix="1" applyAlignment="1" applyProtection="1">
      <alignment horizontal="center" vertical="center"/>
    </xf>
    <xf numFmtId="0" fontId="0" fillId="0" borderId="0" xfId="0" applyAlignment="1" applyProtection="1">
      <alignment horizontal="center" vertical="center"/>
      <protection locked="0"/>
    </xf>
    <xf numFmtId="166" fontId="0" fillId="0" borderId="0" xfId="0" applyNumberFormat="1" applyAlignment="1" applyProtection="1">
      <alignment horizontal="center"/>
      <protection locked="0"/>
    </xf>
    <xf numFmtId="0" fontId="0" fillId="4" borderId="0" xfId="0" applyFill="1"/>
    <xf numFmtId="0" fontId="10" fillId="5" borderId="0" xfId="0" applyFont="1" applyFill="1"/>
    <xf numFmtId="0" fontId="11" fillId="5" borderId="0" xfId="1" applyFill="1"/>
    <xf numFmtId="0" fontId="1" fillId="0" borderId="1" xfId="0" applyFont="1" applyBorder="1" applyAlignment="1" applyProtection="1">
      <alignment horizontal="center" vertical="center" wrapText="1"/>
    </xf>
    <xf numFmtId="0" fontId="1" fillId="0" borderId="1" xfId="0" applyFont="1" applyBorder="1" applyAlignment="1" applyProtection="1">
      <alignment horizontal="center" vertical="center" wrapText="1"/>
    </xf>
    <xf numFmtId="167" fontId="1" fillId="6" borderId="11" xfId="0" applyNumberFormat="1" applyFont="1" applyFill="1" applyBorder="1" applyAlignment="1">
      <alignment horizontal="center" vertical="center"/>
    </xf>
    <xf numFmtId="1" fontId="1" fillId="6" borderId="11" xfId="0" applyNumberFormat="1" applyFont="1" applyFill="1" applyBorder="1" applyAlignment="1">
      <alignment horizontal="center" vertical="center"/>
    </xf>
    <xf numFmtId="0" fontId="13" fillId="5" borderId="0" xfId="1" applyFont="1" applyFill="1"/>
    <xf numFmtId="0" fontId="1" fillId="0" borderId="1" xfId="0" applyFont="1" applyBorder="1" applyAlignment="1" applyProtection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/>
    </xf>
    <xf numFmtId="167" fontId="1" fillId="7" borderId="11" xfId="0" applyNumberFormat="1" applyFont="1" applyFill="1" applyBorder="1" applyAlignment="1" applyProtection="1">
      <alignment horizontal="center" vertical="center"/>
      <protection locked="0"/>
    </xf>
    <xf numFmtId="0" fontId="0" fillId="3" borderId="6" xfId="0" applyNumberFormat="1" applyFill="1" applyBorder="1" applyAlignment="1" applyProtection="1">
      <protection locked="0"/>
    </xf>
    <xf numFmtId="0" fontId="0" fillId="2" borderId="0" xfId="0" applyNumberFormat="1" applyFill="1" applyAlignment="1" applyProtection="1">
      <alignment horizontal="center" vertical="center"/>
      <protection locked="0"/>
    </xf>
    <xf numFmtId="164" fontId="1" fillId="0" borderId="0" xfId="0" applyNumberFormat="1" applyFont="1" applyBorder="1" applyAlignment="1" applyProtection="1">
      <alignment horizontal="center"/>
    </xf>
    <xf numFmtId="0" fontId="0" fillId="0" borderId="24" xfId="0" applyBorder="1" applyAlignment="1" applyProtection="1">
      <alignment horizontal="center" vertical="center" wrapText="1"/>
    </xf>
    <xf numFmtId="0" fontId="0" fillId="0" borderId="0" xfId="0" applyBorder="1" applyAlignment="1" applyProtection="1">
      <alignment horizontal="center" vertical="center" wrapText="1"/>
    </xf>
    <xf numFmtId="0" fontId="0" fillId="0" borderId="25" xfId="0" applyBorder="1" applyAlignment="1" applyProtection="1">
      <alignment horizontal="center" vertical="center" wrapText="1"/>
    </xf>
    <xf numFmtId="164" fontId="1" fillId="0" borderId="6" xfId="0" applyNumberFormat="1" applyFont="1" applyBorder="1" applyAlignment="1" applyProtection="1">
      <alignment horizontal="center"/>
    </xf>
    <xf numFmtId="20" fontId="0" fillId="6" borderId="11" xfId="0" applyNumberFormat="1" applyFont="1" applyFill="1" applyBorder="1" applyAlignment="1">
      <alignment horizontal="center"/>
    </xf>
    <xf numFmtId="20" fontId="0" fillId="0" borderId="0" xfId="0" applyNumberFormat="1" applyAlignment="1" applyProtection="1">
      <alignment horizontal="center"/>
      <protection locked="0"/>
    </xf>
    <xf numFmtId="166" fontId="0" fillId="0" borderId="24" xfId="0" applyNumberFormat="1" applyBorder="1" applyAlignment="1" applyProtection="1">
      <alignment horizontal="center"/>
      <protection locked="0"/>
    </xf>
    <xf numFmtId="0" fontId="0" fillId="0" borderId="25" xfId="0" applyBorder="1" applyAlignment="1" applyProtection="1">
      <alignment horizontal="center"/>
    </xf>
    <xf numFmtId="166" fontId="0" fillId="0" borderId="26" xfId="0" applyNumberFormat="1" applyBorder="1" applyAlignment="1" applyProtection="1">
      <alignment horizontal="center"/>
      <protection locked="0"/>
    </xf>
    <xf numFmtId="0" fontId="0" fillId="0" borderId="28" xfId="0" applyBorder="1" applyAlignment="1" applyProtection="1">
      <alignment horizontal="center"/>
    </xf>
    <xf numFmtId="0" fontId="0" fillId="0" borderId="0" xfId="0" applyBorder="1" applyAlignment="1" applyProtection="1">
      <alignment horizontal="center"/>
      <protection locked="0"/>
    </xf>
    <xf numFmtId="20" fontId="0" fillId="0" borderId="0" xfId="0" applyNumberFormat="1" applyBorder="1" applyAlignment="1" applyProtection="1">
      <alignment horizontal="center"/>
      <protection locked="0"/>
    </xf>
    <xf numFmtId="0" fontId="0" fillId="0" borderId="27" xfId="0" applyBorder="1" applyAlignment="1" applyProtection="1">
      <alignment horizontal="center"/>
      <protection locked="0"/>
    </xf>
    <xf numFmtId="164" fontId="1" fillId="0" borderId="4" xfId="0" applyNumberFormat="1" applyFont="1" applyBorder="1" applyAlignment="1" applyProtection="1">
      <alignment horizontal="center"/>
    </xf>
    <xf numFmtId="164" fontId="1" fillId="0" borderId="0" xfId="0" applyNumberFormat="1" applyFont="1" applyBorder="1" applyAlignment="1" applyProtection="1">
      <alignment horizontal="center"/>
    </xf>
    <xf numFmtId="164" fontId="1" fillId="0" borderId="5" xfId="0" applyNumberFormat="1" applyFont="1" applyBorder="1" applyAlignment="1" applyProtection="1">
      <alignment horizontal="center"/>
    </xf>
    <xf numFmtId="164" fontId="1" fillId="0" borderId="2" xfId="0" applyNumberFormat="1" applyFont="1" applyBorder="1" applyAlignment="1" applyProtection="1">
      <alignment horizontal="center"/>
    </xf>
    <xf numFmtId="164" fontId="1" fillId="0" borderId="10" xfId="0" applyNumberFormat="1" applyFont="1" applyBorder="1" applyAlignment="1" applyProtection="1">
      <alignment horizontal="center"/>
    </xf>
    <xf numFmtId="0" fontId="1" fillId="0" borderId="21" xfId="0" applyFont="1" applyBorder="1" applyAlignment="1">
      <alignment horizontal="center" vertical="center" wrapText="1"/>
    </xf>
    <xf numFmtId="0" fontId="1" fillId="0" borderId="22" xfId="0" applyFont="1" applyBorder="1" applyAlignment="1">
      <alignment horizontal="center" vertical="center" wrapText="1"/>
    </xf>
    <xf numFmtId="0" fontId="1" fillId="0" borderId="23" xfId="0" applyFont="1" applyBorder="1" applyAlignment="1">
      <alignment horizontal="center" vertical="center" wrapText="1"/>
    </xf>
    <xf numFmtId="164" fontId="1" fillId="0" borderId="7" xfId="0" applyNumberFormat="1" applyFont="1" applyBorder="1" applyAlignment="1" applyProtection="1">
      <alignment horizontal="center"/>
    </xf>
    <xf numFmtId="0" fontId="14" fillId="0" borderId="18" xfId="0" applyFont="1" applyBorder="1" applyAlignment="1">
      <alignment horizontal="center" vertical="center" wrapText="1"/>
    </xf>
    <xf numFmtId="0" fontId="14" fillId="0" borderId="19" xfId="0" applyFont="1" applyBorder="1" applyAlignment="1">
      <alignment horizontal="center" vertical="center" wrapText="1"/>
    </xf>
    <xf numFmtId="0" fontId="14" fillId="0" borderId="3" xfId="0" applyFont="1" applyBorder="1" applyAlignment="1">
      <alignment horizontal="center" vertical="center" wrapText="1"/>
    </xf>
    <xf numFmtId="0" fontId="14" fillId="0" borderId="20" xfId="0" applyFont="1" applyBorder="1" applyAlignment="1">
      <alignment horizontal="center" vertical="center" wrapText="1"/>
    </xf>
    <xf numFmtId="0" fontId="12" fillId="0" borderId="14" xfId="0" applyFont="1" applyBorder="1" applyAlignment="1" applyProtection="1">
      <alignment horizontal="center" vertical="center" wrapText="1"/>
    </xf>
    <xf numFmtId="0" fontId="12" fillId="0" borderId="15" xfId="0" applyFont="1" applyBorder="1" applyAlignment="1" applyProtection="1">
      <alignment horizontal="center" vertical="center" wrapText="1"/>
    </xf>
    <xf numFmtId="0" fontId="2" fillId="0" borderId="0" xfId="0" applyFont="1" applyAlignment="1" applyProtection="1">
      <alignment horizontal="left" vertical="center" wrapText="1"/>
    </xf>
    <xf numFmtId="0" fontId="0" fillId="3" borderId="2" xfId="0" applyNumberFormat="1" applyFill="1" applyBorder="1" applyAlignment="1" applyProtection="1">
      <alignment horizontal="center"/>
      <protection locked="0"/>
    </xf>
    <xf numFmtId="0" fontId="0" fillId="3" borderId="10" xfId="0" applyNumberFormat="1" applyFill="1" applyBorder="1" applyAlignment="1" applyProtection="1">
      <alignment horizontal="center"/>
      <protection locked="0"/>
    </xf>
    <xf numFmtId="0" fontId="1" fillId="0" borderId="1" xfId="0" applyFont="1" applyBorder="1" applyAlignment="1" applyProtection="1">
      <alignment horizontal="center" vertical="center" wrapText="1"/>
    </xf>
    <xf numFmtId="0" fontId="1" fillId="0" borderId="9" xfId="0" applyFont="1" applyBorder="1" applyAlignment="1" applyProtection="1">
      <alignment horizontal="center" vertical="center" wrapText="1"/>
    </xf>
    <xf numFmtId="49" fontId="0" fillId="3" borderId="2" xfId="0" applyNumberFormat="1" applyFill="1" applyBorder="1" applyAlignment="1" applyProtection="1">
      <alignment horizontal="center"/>
      <protection locked="0"/>
    </xf>
    <xf numFmtId="49" fontId="0" fillId="3" borderId="7" xfId="0" applyNumberFormat="1" applyFill="1" applyBorder="1" applyAlignment="1" applyProtection="1">
      <alignment horizontal="center"/>
      <protection locked="0"/>
    </xf>
    <xf numFmtId="0" fontId="0" fillId="3" borderId="3" xfId="0" applyNumberFormat="1" applyFill="1" applyBorder="1" applyAlignment="1" applyProtection="1">
      <alignment horizontal="center"/>
      <protection locked="0"/>
    </xf>
    <xf numFmtId="0" fontId="0" fillId="3" borderId="8" xfId="0" applyNumberFormat="1" applyFill="1" applyBorder="1" applyAlignment="1" applyProtection="1">
      <alignment horizontal="center"/>
      <protection locked="0"/>
    </xf>
    <xf numFmtId="0" fontId="1" fillId="0" borderId="12" xfId="0" applyFont="1" applyBorder="1" applyAlignment="1" applyProtection="1">
      <alignment horizontal="center" vertical="center" wrapText="1"/>
    </xf>
    <xf numFmtId="0" fontId="1" fillId="0" borderId="13" xfId="0" applyFont="1" applyBorder="1" applyAlignment="1" applyProtection="1">
      <alignment horizontal="center" vertical="center" wrapText="1"/>
    </xf>
    <xf numFmtId="0" fontId="1" fillId="0" borderId="16" xfId="0" applyFont="1" applyBorder="1" applyAlignment="1">
      <alignment horizontal="center" vertical="center" wrapText="1"/>
    </xf>
    <xf numFmtId="0" fontId="1" fillId="0" borderId="17" xfId="0" applyFont="1" applyBorder="1" applyAlignment="1">
      <alignment horizontal="center" vertical="center" wrapText="1"/>
    </xf>
  </cellXfs>
  <cellStyles count="2">
    <cellStyle name="Hiperlink" xfId="1" builtinId="8"/>
    <cellStyle name="Normal" xfId="0" builtinId="0"/>
  </cellStyles>
  <dxfs count="392"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font>
        <i/>
        <strike val="0"/>
        <outline val="0"/>
        <shadow val="0"/>
        <u val="none"/>
        <vertAlign val="baseline"/>
        <sz val="10"/>
        <color rgb="FFFF0000"/>
        <name val="Calibri"/>
        <scheme val="minor"/>
      </font>
      <numFmt numFmtId="0" formatCode="General"/>
      <alignment horizontal="left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6" formatCode="h:mm;@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1" hidden="0"/>
    </dxf>
    <dxf>
      <numFmt numFmtId="166" formatCode="h:mm;@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1" hidden="0"/>
    </dxf>
    <dxf>
      <numFmt numFmtId="166" formatCode="h:mm;@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1" hidden="0"/>
    </dxf>
    <dxf>
      <numFmt numFmtId="166" formatCode="h:mm;@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1" hidden="0"/>
    </dxf>
    <dxf>
      <numFmt numFmtId="0" formatCode="General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0" hidden="0"/>
    </dxf>
    <dxf>
      <numFmt numFmtId="166" formatCode="h:mm;@"/>
      <alignment horizontal="center" vertical="center" textRotation="0" wrapText="0" indent="0" justifyLastLine="0" shrinkToFit="0" readingOrder="0"/>
      <protection locked="0" hidden="0"/>
    </dxf>
    <dxf>
      <numFmt numFmtId="166" formatCode="h:mm;@"/>
      <alignment horizontal="center" vertical="center" textRotation="0" wrapText="0" indent="0" justifyLastLine="0" shrinkToFit="0" readingOrder="0"/>
      <protection locked="0" hidden="0"/>
    </dxf>
    <dxf>
      <numFmt numFmtId="166" formatCode="h:mm;@"/>
      <alignment horizontal="center" vertical="center" textRotation="0" wrapText="0" indent="0" justifyLastLine="0" shrinkToFit="0" readingOrder="0"/>
      <protection locked="0" hidden="0"/>
    </dxf>
    <dxf>
      <numFmt numFmtId="166" formatCode="h:mm;@"/>
      <alignment horizontal="center" vertical="center" textRotation="0" wrapText="0" indent="0" justifyLastLine="0" shrinkToFit="0" readingOrder="0"/>
      <protection locked="0" hidden="0"/>
    </dxf>
    <dxf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0" hidden="0"/>
    </dxf>
    <dxf>
      <numFmt numFmtId="0" formatCode="General"/>
      <alignment horizontal="center" vertical="center" textRotation="0" wrapText="0" indent="0" justifyLastLine="0" shrinkToFit="0" readingOrder="0"/>
      <protection locked="1" hidden="0"/>
    </dxf>
    <dxf>
      <numFmt numFmtId="165" formatCode="[$-416]d\-mmm;@"/>
      <alignment horizontal="center" vertical="center" textRotation="0" wrapText="0" indent="0" justifyLastLine="0" shrinkToFit="0" readingOrder="0"/>
      <protection locked="1" hidden="0"/>
    </dxf>
    <dxf>
      <alignment vertical="center" textRotation="0" wrapText="0" indent="0" justifyLastLine="0" shrinkToFit="0" readingOrder="0"/>
      <protection locked="1" hidden="0"/>
    </dxf>
    <dxf>
      <alignment horizontal="center" vertical="center" textRotation="0" wrapText="1" indent="0" justifyLastLine="0" shrinkToFit="0" readingOrder="0"/>
      <protection locked="1" hidden="0"/>
    </dxf>
    <dxf>
      <fill>
        <patternFill>
          <bgColor rgb="FFFFFFCC"/>
        </patternFill>
      </fill>
    </dxf>
    <dxf>
      <fill>
        <patternFill>
          <bgColor rgb="FFFFD5D6"/>
        </patternFill>
      </fill>
    </dxf>
    <dxf>
      <fill>
        <patternFill>
          <bgColor rgb="FFFFD1D2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D5D6"/>
        </patternFill>
      </fill>
    </dxf>
    <dxf>
      <fill>
        <patternFill>
          <bgColor rgb="FFFFD1D2"/>
        </patternFill>
      </fill>
    </dxf>
    <dxf>
      <fill>
        <patternFill>
          <bgColor rgb="FFFFFFCC"/>
        </patternFill>
      </fill>
    </dxf>
    <dxf>
      <font>
        <i/>
        <strike val="0"/>
        <outline val="0"/>
        <shadow val="0"/>
        <u val="none"/>
        <vertAlign val="baseline"/>
        <sz val="10"/>
        <color rgb="FFFF0000"/>
        <name val="Calibri"/>
        <scheme val="minor"/>
      </font>
      <numFmt numFmtId="0" formatCode="General"/>
      <alignment horizontal="left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6" formatCode="h:mm;@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1" hidden="0"/>
    </dxf>
    <dxf>
      <numFmt numFmtId="166" formatCode="h:mm;@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1" hidden="0"/>
    </dxf>
    <dxf>
      <numFmt numFmtId="166" formatCode="h:mm;@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1" hidden="0"/>
    </dxf>
    <dxf>
      <numFmt numFmtId="166" formatCode="h:mm;@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1" hidden="0"/>
    </dxf>
    <dxf>
      <numFmt numFmtId="0" formatCode="General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0" hidden="0"/>
    </dxf>
    <dxf>
      <numFmt numFmtId="166" formatCode="h:mm;@"/>
      <alignment horizontal="center" vertical="center" textRotation="0" wrapText="0" indent="0" justifyLastLine="0" shrinkToFit="0" readingOrder="0"/>
      <protection locked="0" hidden="0"/>
    </dxf>
    <dxf>
      <numFmt numFmtId="166" formatCode="h:mm;@"/>
      <alignment horizontal="center" vertical="center" textRotation="0" wrapText="0" indent="0" justifyLastLine="0" shrinkToFit="0" readingOrder="0"/>
      <protection locked="0" hidden="0"/>
    </dxf>
    <dxf>
      <numFmt numFmtId="166" formatCode="h:mm;@"/>
      <alignment horizontal="center" vertical="center" textRotation="0" wrapText="0" indent="0" justifyLastLine="0" shrinkToFit="0" readingOrder="0"/>
      <protection locked="0" hidden="0"/>
    </dxf>
    <dxf>
      <numFmt numFmtId="166" formatCode="h:mm;@"/>
      <alignment horizontal="center" vertical="center" textRotation="0" wrapText="0" indent="0" justifyLastLine="0" shrinkToFit="0" readingOrder="0"/>
      <protection locked="0" hidden="0"/>
    </dxf>
    <dxf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0" hidden="0"/>
    </dxf>
    <dxf>
      <numFmt numFmtId="0" formatCode="General"/>
      <alignment horizontal="center" vertical="center" textRotation="0" wrapText="0" indent="0" justifyLastLine="0" shrinkToFit="0" readingOrder="0"/>
      <protection locked="1" hidden="0"/>
    </dxf>
    <dxf>
      <numFmt numFmtId="165" formatCode="[$-416]d\-mmm;@"/>
      <alignment horizontal="center" vertical="center" textRotation="0" wrapText="0" indent="0" justifyLastLine="0" shrinkToFit="0" readingOrder="0"/>
      <protection locked="1" hidden="0"/>
    </dxf>
    <dxf>
      <alignment vertical="center" textRotation="0" wrapText="0" indent="0" justifyLastLine="0" shrinkToFit="0" readingOrder="0"/>
      <protection locked="1" hidden="0"/>
    </dxf>
    <dxf>
      <alignment horizontal="center" vertical="center" textRotation="0" wrapText="1" indent="0" justifyLastLine="0" shrinkToFit="0" readingOrder="0"/>
      <protection locked="1" hidden="0"/>
    </dxf>
    <dxf>
      <fill>
        <patternFill>
          <bgColor rgb="FFFFFFCC"/>
        </patternFill>
      </fill>
    </dxf>
    <dxf>
      <fill>
        <patternFill>
          <bgColor rgb="FFFFD5D6"/>
        </patternFill>
      </fill>
    </dxf>
    <dxf>
      <fill>
        <patternFill>
          <bgColor rgb="FFFFD1D2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D5D6"/>
        </patternFill>
      </fill>
    </dxf>
    <dxf>
      <fill>
        <patternFill>
          <bgColor rgb="FFFFD1D2"/>
        </patternFill>
      </fill>
    </dxf>
    <dxf>
      <fill>
        <patternFill>
          <bgColor rgb="FFFFFFCC"/>
        </patternFill>
      </fill>
    </dxf>
    <dxf>
      <font>
        <i/>
        <strike val="0"/>
        <outline val="0"/>
        <shadow val="0"/>
        <u val="none"/>
        <vertAlign val="baseline"/>
        <sz val="10"/>
        <color rgb="FFFF0000"/>
        <name val="Calibri"/>
        <scheme val="minor"/>
      </font>
      <numFmt numFmtId="0" formatCode="General"/>
      <alignment horizontal="left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6" formatCode="h:mm;@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1" hidden="0"/>
    </dxf>
    <dxf>
      <numFmt numFmtId="166" formatCode="h:mm;@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1" hidden="0"/>
    </dxf>
    <dxf>
      <numFmt numFmtId="166" formatCode="h:mm;@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1" hidden="0"/>
    </dxf>
    <dxf>
      <numFmt numFmtId="166" formatCode="h:mm;@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1" hidden="0"/>
    </dxf>
    <dxf>
      <numFmt numFmtId="0" formatCode="General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0" hidden="0"/>
    </dxf>
    <dxf>
      <numFmt numFmtId="166" formatCode="h:mm;@"/>
      <alignment horizontal="center" vertical="center" textRotation="0" wrapText="0" indent="0" justifyLastLine="0" shrinkToFit="0" readingOrder="0"/>
      <protection locked="0" hidden="0"/>
    </dxf>
    <dxf>
      <numFmt numFmtId="166" formatCode="h:mm;@"/>
      <alignment horizontal="center" vertical="center" textRotation="0" wrapText="0" indent="0" justifyLastLine="0" shrinkToFit="0" readingOrder="0"/>
      <protection locked="0" hidden="0"/>
    </dxf>
    <dxf>
      <numFmt numFmtId="166" formatCode="h:mm;@"/>
      <alignment horizontal="center" vertical="center" textRotation="0" wrapText="0" indent="0" justifyLastLine="0" shrinkToFit="0" readingOrder="0"/>
      <protection locked="0" hidden="0"/>
    </dxf>
    <dxf>
      <numFmt numFmtId="166" formatCode="h:mm;@"/>
      <alignment horizontal="center" vertical="center" textRotation="0" wrapText="0" indent="0" justifyLastLine="0" shrinkToFit="0" readingOrder="0"/>
      <protection locked="0" hidden="0"/>
    </dxf>
    <dxf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0" hidden="0"/>
    </dxf>
    <dxf>
      <numFmt numFmtId="0" formatCode="General"/>
      <alignment horizontal="center" vertical="center" textRotation="0" wrapText="0" indent="0" justifyLastLine="0" shrinkToFit="0" readingOrder="0"/>
      <protection locked="1" hidden="0"/>
    </dxf>
    <dxf>
      <numFmt numFmtId="165" formatCode="[$-416]d\-mmm;@"/>
      <alignment horizontal="center" vertical="center" textRotation="0" wrapText="0" indent="0" justifyLastLine="0" shrinkToFit="0" readingOrder="0"/>
      <protection locked="1" hidden="0"/>
    </dxf>
    <dxf>
      <alignment vertical="center" textRotation="0" wrapText="0" indent="0" justifyLastLine="0" shrinkToFit="0" readingOrder="0"/>
      <protection locked="1" hidden="0"/>
    </dxf>
    <dxf>
      <alignment horizontal="center" vertical="center" textRotation="0" wrapText="1" indent="0" justifyLastLine="0" shrinkToFit="0" readingOrder="0"/>
      <protection locked="1" hidden="0"/>
    </dxf>
    <dxf>
      <fill>
        <patternFill>
          <bgColor rgb="FFFFFFCC"/>
        </patternFill>
      </fill>
    </dxf>
    <dxf>
      <fill>
        <patternFill>
          <bgColor rgb="FFFFD5D6"/>
        </patternFill>
      </fill>
    </dxf>
    <dxf>
      <fill>
        <patternFill>
          <bgColor rgb="FFFFD1D2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D5D6"/>
        </patternFill>
      </fill>
    </dxf>
    <dxf>
      <fill>
        <patternFill>
          <bgColor rgb="FFFFD1D2"/>
        </patternFill>
      </fill>
    </dxf>
    <dxf>
      <fill>
        <patternFill>
          <bgColor rgb="FFFFFFCC"/>
        </patternFill>
      </fill>
    </dxf>
    <dxf>
      <font>
        <i/>
        <strike val="0"/>
        <outline val="0"/>
        <shadow val="0"/>
        <u val="none"/>
        <vertAlign val="baseline"/>
        <sz val="10"/>
        <color rgb="FFFF0000"/>
        <name val="Calibri"/>
        <scheme val="minor"/>
      </font>
      <numFmt numFmtId="0" formatCode="General"/>
      <alignment horizontal="left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6" formatCode="h:mm;@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1" hidden="0"/>
    </dxf>
    <dxf>
      <numFmt numFmtId="166" formatCode="h:mm;@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1" hidden="0"/>
    </dxf>
    <dxf>
      <numFmt numFmtId="166" formatCode="h:mm;@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1" hidden="0"/>
    </dxf>
    <dxf>
      <numFmt numFmtId="166" formatCode="h:mm;@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1" hidden="0"/>
    </dxf>
    <dxf>
      <numFmt numFmtId="0" formatCode="General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0" hidden="0"/>
    </dxf>
    <dxf>
      <numFmt numFmtId="166" formatCode="h:mm;@"/>
      <alignment horizontal="center" vertical="center" textRotation="0" wrapText="0" indent="0" justifyLastLine="0" shrinkToFit="0" readingOrder="0"/>
      <protection locked="0" hidden="0"/>
    </dxf>
    <dxf>
      <numFmt numFmtId="166" formatCode="h:mm;@"/>
      <alignment horizontal="center" vertical="center" textRotation="0" wrapText="0" indent="0" justifyLastLine="0" shrinkToFit="0" readingOrder="0"/>
      <protection locked="0" hidden="0"/>
    </dxf>
    <dxf>
      <numFmt numFmtId="166" formatCode="h:mm;@"/>
      <alignment horizontal="center" vertical="center" textRotation="0" wrapText="0" indent="0" justifyLastLine="0" shrinkToFit="0" readingOrder="0"/>
      <protection locked="0" hidden="0"/>
    </dxf>
    <dxf>
      <numFmt numFmtId="166" formatCode="h:mm;@"/>
      <alignment horizontal="center" vertical="center" textRotation="0" wrapText="0" indent="0" justifyLastLine="0" shrinkToFit="0" readingOrder="0"/>
      <protection locked="0" hidden="0"/>
    </dxf>
    <dxf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0" hidden="0"/>
    </dxf>
    <dxf>
      <numFmt numFmtId="0" formatCode="General"/>
      <alignment horizontal="center" vertical="center" textRotation="0" wrapText="0" indent="0" justifyLastLine="0" shrinkToFit="0" readingOrder="0"/>
      <protection locked="1" hidden="0"/>
    </dxf>
    <dxf>
      <numFmt numFmtId="165" formatCode="[$-416]d\-mmm;@"/>
      <alignment horizontal="center" vertical="center" textRotation="0" wrapText="0" indent="0" justifyLastLine="0" shrinkToFit="0" readingOrder="0"/>
      <protection locked="1" hidden="0"/>
    </dxf>
    <dxf>
      <alignment vertical="center" textRotation="0" wrapText="0" indent="0" justifyLastLine="0" shrinkToFit="0" readingOrder="0"/>
      <protection locked="1" hidden="0"/>
    </dxf>
    <dxf>
      <alignment horizontal="center" vertical="center" textRotation="0" wrapText="1" indent="0" justifyLastLine="0" shrinkToFit="0" readingOrder="0"/>
      <protection locked="1" hidden="0"/>
    </dxf>
    <dxf>
      <fill>
        <patternFill>
          <bgColor rgb="FFFFFFCC"/>
        </patternFill>
      </fill>
    </dxf>
    <dxf>
      <fill>
        <patternFill>
          <bgColor rgb="FFFFD5D6"/>
        </patternFill>
      </fill>
    </dxf>
    <dxf>
      <fill>
        <patternFill>
          <bgColor rgb="FFFFD1D2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D5D6"/>
        </patternFill>
      </fill>
    </dxf>
    <dxf>
      <fill>
        <patternFill>
          <bgColor rgb="FFFFD1D2"/>
        </patternFill>
      </fill>
    </dxf>
    <dxf>
      <fill>
        <patternFill>
          <bgColor rgb="FFFFFFCC"/>
        </patternFill>
      </fill>
    </dxf>
    <dxf>
      <font>
        <i/>
        <strike val="0"/>
        <outline val="0"/>
        <shadow val="0"/>
        <u val="none"/>
        <vertAlign val="baseline"/>
        <sz val="10"/>
        <color rgb="FFFF0000"/>
        <name val="Calibri"/>
        <scheme val="minor"/>
      </font>
      <numFmt numFmtId="0" formatCode="General"/>
      <alignment horizontal="left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6" formatCode="h:mm;@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1" hidden="0"/>
    </dxf>
    <dxf>
      <numFmt numFmtId="166" formatCode="h:mm;@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1" hidden="0"/>
    </dxf>
    <dxf>
      <numFmt numFmtId="166" formatCode="h:mm;@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1" hidden="0"/>
    </dxf>
    <dxf>
      <numFmt numFmtId="166" formatCode="h:mm;@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1" hidden="0"/>
    </dxf>
    <dxf>
      <numFmt numFmtId="0" formatCode="General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0" hidden="0"/>
    </dxf>
    <dxf>
      <numFmt numFmtId="166" formatCode="h:mm;@"/>
      <alignment horizontal="center" vertical="center" textRotation="0" wrapText="0" indent="0" justifyLastLine="0" shrinkToFit="0" readingOrder="0"/>
      <protection locked="0" hidden="0"/>
    </dxf>
    <dxf>
      <numFmt numFmtId="166" formatCode="h:mm;@"/>
      <alignment horizontal="center" vertical="center" textRotation="0" wrapText="0" indent="0" justifyLastLine="0" shrinkToFit="0" readingOrder="0"/>
      <protection locked="0" hidden="0"/>
    </dxf>
    <dxf>
      <numFmt numFmtId="166" formatCode="h:mm;@"/>
      <alignment horizontal="center" vertical="center" textRotation="0" wrapText="0" indent="0" justifyLastLine="0" shrinkToFit="0" readingOrder="0"/>
      <protection locked="0" hidden="0"/>
    </dxf>
    <dxf>
      <numFmt numFmtId="166" formatCode="h:mm;@"/>
      <alignment horizontal="center" vertical="center" textRotation="0" wrapText="0" indent="0" justifyLastLine="0" shrinkToFit="0" readingOrder="0"/>
      <protection locked="0" hidden="0"/>
    </dxf>
    <dxf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0" hidden="0"/>
    </dxf>
    <dxf>
      <numFmt numFmtId="0" formatCode="General"/>
      <alignment horizontal="center" vertical="center" textRotation="0" wrapText="0" indent="0" justifyLastLine="0" shrinkToFit="0" readingOrder="0"/>
      <protection locked="1" hidden="0"/>
    </dxf>
    <dxf>
      <numFmt numFmtId="165" formatCode="[$-416]d\-mmm;@"/>
      <alignment horizontal="center" vertical="center" textRotation="0" wrapText="0" indent="0" justifyLastLine="0" shrinkToFit="0" readingOrder="0"/>
      <protection locked="1" hidden="0"/>
    </dxf>
    <dxf>
      <alignment vertical="center" textRotation="0" wrapText="0" indent="0" justifyLastLine="0" shrinkToFit="0" readingOrder="0"/>
      <protection locked="1" hidden="0"/>
    </dxf>
    <dxf>
      <alignment horizontal="center" vertical="center" textRotation="0" wrapText="1" indent="0" justifyLastLine="0" shrinkToFit="0" readingOrder="0"/>
      <protection locked="1" hidden="0"/>
    </dxf>
    <dxf>
      <fill>
        <patternFill>
          <bgColor rgb="FFFFFFCC"/>
        </patternFill>
      </fill>
    </dxf>
    <dxf>
      <fill>
        <patternFill>
          <bgColor rgb="FFFFD5D6"/>
        </patternFill>
      </fill>
    </dxf>
    <dxf>
      <fill>
        <patternFill>
          <bgColor rgb="FFFFD1D2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D5D6"/>
        </patternFill>
      </fill>
    </dxf>
    <dxf>
      <fill>
        <patternFill>
          <bgColor rgb="FFFFD1D2"/>
        </patternFill>
      </fill>
    </dxf>
    <dxf>
      <fill>
        <patternFill>
          <bgColor rgb="FFFFFFCC"/>
        </patternFill>
      </fill>
    </dxf>
    <dxf>
      <font>
        <i/>
        <strike val="0"/>
        <outline val="0"/>
        <shadow val="0"/>
        <u val="none"/>
        <vertAlign val="baseline"/>
        <sz val="10"/>
        <color rgb="FFFF0000"/>
        <name val="Calibri"/>
        <scheme val="minor"/>
      </font>
      <numFmt numFmtId="0" formatCode="General"/>
      <alignment horizontal="left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6" formatCode="h:mm;@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1" hidden="0"/>
    </dxf>
    <dxf>
      <numFmt numFmtId="166" formatCode="h:mm;@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1" hidden="0"/>
    </dxf>
    <dxf>
      <numFmt numFmtId="166" formatCode="h:mm;@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1" hidden="0"/>
    </dxf>
    <dxf>
      <numFmt numFmtId="166" formatCode="h:mm;@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1" hidden="0"/>
    </dxf>
    <dxf>
      <numFmt numFmtId="0" formatCode="General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0" hidden="0"/>
    </dxf>
    <dxf>
      <numFmt numFmtId="166" formatCode="h:mm;@"/>
      <alignment horizontal="center" vertical="center" textRotation="0" wrapText="0" indent="0" justifyLastLine="0" shrinkToFit="0" readingOrder="0"/>
      <protection locked="0" hidden="0"/>
    </dxf>
    <dxf>
      <numFmt numFmtId="166" formatCode="h:mm;@"/>
      <alignment horizontal="center" vertical="center" textRotation="0" wrapText="0" indent="0" justifyLastLine="0" shrinkToFit="0" readingOrder="0"/>
      <protection locked="0" hidden="0"/>
    </dxf>
    <dxf>
      <numFmt numFmtId="166" formatCode="h:mm;@"/>
      <alignment horizontal="center" vertical="center" textRotation="0" wrapText="0" indent="0" justifyLastLine="0" shrinkToFit="0" readingOrder="0"/>
      <protection locked="0" hidden="0"/>
    </dxf>
    <dxf>
      <numFmt numFmtId="166" formatCode="h:mm;@"/>
      <alignment horizontal="center" vertical="center" textRotation="0" wrapText="0" indent="0" justifyLastLine="0" shrinkToFit="0" readingOrder="0"/>
      <protection locked="0" hidden="0"/>
    </dxf>
    <dxf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0" hidden="0"/>
    </dxf>
    <dxf>
      <numFmt numFmtId="0" formatCode="General"/>
      <alignment horizontal="center" vertical="center" textRotation="0" wrapText="0" indent="0" justifyLastLine="0" shrinkToFit="0" readingOrder="0"/>
      <protection locked="1" hidden="0"/>
    </dxf>
    <dxf>
      <numFmt numFmtId="165" formatCode="[$-416]d\-mmm;@"/>
      <alignment horizontal="center" vertical="center" textRotation="0" wrapText="0" indent="0" justifyLastLine="0" shrinkToFit="0" readingOrder="0"/>
      <protection locked="1" hidden="0"/>
    </dxf>
    <dxf>
      <alignment vertical="center" textRotation="0" wrapText="0" indent="0" justifyLastLine="0" shrinkToFit="0" readingOrder="0"/>
      <protection locked="1" hidden="0"/>
    </dxf>
    <dxf>
      <alignment horizontal="center" vertical="center" textRotation="0" wrapText="1" indent="0" justifyLastLine="0" shrinkToFit="0" readingOrder="0"/>
      <protection locked="1" hidden="0"/>
    </dxf>
    <dxf>
      <fill>
        <patternFill>
          <bgColor rgb="FFFFFFCC"/>
        </patternFill>
      </fill>
    </dxf>
    <dxf>
      <fill>
        <patternFill>
          <bgColor rgb="FFFFD5D6"/>
        </patternFill>
      </fill>
    </dxf>
    <dxf>
      <fill>
        <patternFill>
          <bgColor rgb="FFFFD1D2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D5D6"/>
        </patternFill>
      </fill>
    </dxf>
    <dxf>
      <fill>
        <patternFill>
          <bgColor rgb="FFFFD1D2"/>
        </patternFill>
      </fill>
    </dxf>
    <dxf>
      <fill>
        <patternFill>
          <bgColor rgb="FFFFFFCC"/>
        </patternFill>
      </fill>
    </dxf>
    <dxf>
      <font>
        <i/>
        <strike val="0"/>
        <outline val="0"/>
        <shadow val="0"/>
        <u val="none"/>
        <vertAlign val="baseline"/>
        <sz val="10"/>
        <color rgb="FFFF0000"/>
        <name val="Calibri"/>
        <scheme val="minor"/>
      </font>
      <numFmt numFmtId="0" formatCode="General"/>
      <alignment horizontal="left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6" formatCode="h:mm;@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1" hidden="0"/>
    </dxf>
    <dxf>
      <numFmt numFmtId="166" formatCode="h:mm;@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1" hidden="0"/>
    </dxf>
    <dxf>
      <numFmt numFmtId="166" formatCode="h:mm;@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1" hidden="0"/>
    </dxf>
    <dxf>
      <numFmt numFmtId="166" formatCode="h:mm;@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1" hidden="0"/>
    </dxf>
    <dxf>
      <numFmt numFmtId="0" formatCode="General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0" hidden="0"/>
    </dxf>
    <dxf>
      <numFmt numFmtId="166" formatCode="h:mm;@"/>
      <alignment horizontal="center" vertical="center" textRotation="0" wrapText="0" indent="0" justifyLastLine="0" shrinkToFit="0" readingOrder="0"/>
      <protection locked="0" hidden="0"/>
    </dxf>
    <dxf>
      <numFmt numFmtId="166" formatCode="h:mm;@"/>
      <alignment horizontal="center" vertical="center" textRotation="0" wrapText="0" indent="0" justifyLastLine="0" shrinkToFit="0" readingOrder="0"/>
      <protection locked="0" hidden="0"/>
    </dxf>
    <dxf>
      <numFmt numFmtId="166" formatCode="h:mm;@"/>
      <alignment horizontal="center" vertical="center" textRotation="0" wrapText="0" indent="0" justifyLastLine="0" shrinkToFit="0" readingOrder="0"/>
      <protection locked="0" hidden="0"/>
    </dxf>
    <dxf>
      <numFmt numFmtId="166" formatCode="h:mm;@"/>
      <alignment horizontal="center" vertical="center" textRotation="0" wrapText="0" indent="0" justifyLastLine="0" shrinkToFit="0" readingOrder="0"/>
      <protection locked="0" hidden="0"/>
    </dxf>
    <dxf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0" hidden="0"/>
    </dxf>
    <dxf>
      <numFmt numFmtId="0" formatCode="General"/>
      <alignment horizontal="center" vertical="center" textRotation="0" wrapText="0" indent="0" justifyLastLine="0" shrinkToFit="0" readingOrder="0"/>
      <protection locked="1" hidden="0"/>
    </dxf>
    <dxf>
      <numFmt numFmtId="165" formatCode="[$-416]d\-mmm;@"/>
      <alignment horizontal="center" vertical="center" textRotation="0" wrapText="0" indent="0" justifyLastLine="0" shrinkToFit="0" readingOrder="0"/>
      <protection locked="1" hidden="0"/>
    </dxf>
    <dxf>
      <alignment vertical="center" textRotation="0" wrapText="0" indent="0" justifyLastLine="0" shrinkToFit="0" readingOrder="0"/>
      <protection locked="1" hidden="0"/>
    </dxf>
    <dxf>
      <alignment horizontal="center" vertical="center" textRotation="0" wrapText="1" indent="0" justifyLastLine="0" shrinkToFit="0" readingOrder="0"/>
      <protection locked="1" hidden="0"/>
    </dxf>
    <dxf>
      <fill>
        <patternFill>
          <bgColor rgb="FFFFFFCC"/>
        </patternFill>
      </fill>
    </dxf>
    <dxf>
      <fill>
        <patternFill>
          <bgColor rgb="FFFFD5D6"/>
        </patternFill>
      </fill>
    </dxf>
    <dxf>
      <fill>
        <patternFill>
          <bgColor rgb="FFFFD1D2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D5D6"/>
        </patternFill>
      </fill>
    </dxf>
    <dxf>
      <fill>
        <patternFill>
          <bgColor rgb="FFFFD1D2"/>
        </patternFill>
      </fill>
    </dxf>
    <dxf>
      <fill>
        <patternFill>
          <bgColor rgb="FFFFFFCC"/>
        </patternFill>
      </fill>
    </dxf>
    <dxf>
      <font>
        <i/>
        <strike val="0"/>
        <outline val="0"/>
        <shadow val="0"/>
        <u val="none"/>
        <vertAlign val="baseline"/>
        <sz val="10"/>
        <color rgb="FFFF0000"/>
        <name val="Calibri"/>
        <scheme val="minor"/>
      </font>
      <numFmt numFmtId="0" formatCode="General"/>
      <alignment horizontal="left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6" formatCode="h:mm;@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1" hidden="0"/>
    </dxf>
    <dxf>
      <numFmt numFmtId="166" formatCode="h:mm;@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1" hidden="0"/>
    </dxf>
    <dxf>
      <numFmt numFmtId="166" formatCode="h:mm;@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1" hidden="0"/>
    </dxf>
    <dxf>
      <numFmt numFmtId="166" formatCode="h:mm;@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1" hidden="0"/>
    </dxf>
    <dxf>
      <numFmt numFmtId="0" formatCode="General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0" hidden="0"/>
    </dxf>
    <dxf>
      <numFmt numFmtId="166" formatCode="h:mm;@"/>
      <alignment horizontal="center" vertical="center" textRotation="0" wrapText="0" indent="0" justifyLastLine="0" shrinkToFit="0" readingOrder="0"/>
      <protection locked="0" hidden="0"/>
    </dxf>
    <dxf>
      <numFmt numFmtId="166" formatCode="h:mm;@"/>
      <alignment horizontal="center" vertical="center" textRotation="0" wrapText="0" indent="0" justifyLastLine="0" shrinkToFit="0" readingOrder="0"/>
      <protection locked="0" hidden="0"/>
    </dxf>
    <dxf>
      <numFmt numFmtId="166" formatCode="h:mm;@"/>
      <alignment horizontal="center" vertical="center" textRotation="0" wrapText="0" indent="0" justifyLastLine="0" shrinkToFit="0" readingOrder="0"/>
      <protection locked="0" hidden="0"/>
    </dxf>
    <dxf>
      <numFmt numFmtId="166" formatCode="h:mm;@"/>
      <alignment horizontal="center" vertical="center" textRotation="0" wrapText="0" indent="0" justifyLastLine="0" shrinkToFit="0" readingOrder="0"/>
      <protection locked="0" hidden="0"/>
    </dxf>
    <dxf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0" hidden="0"/>
    </dxf>
    <dxf>
      <numFmt numFmtId="0" formatCode="General"/>
      <alignment horizontal="center" vertical="center" textRotation="0" wrapText="0" indent="0" justifyLastLine="0" shrinkToFit="0" readingOrder="0"/>
      <protection locked="1" hidden="0"/>
    </dxf>
    <dxf>
      <numFmt numFmtId="165" formatCode="[$-416]d\-mmm;@"/>
      <alignment horizontal="center" vertical="center" textRotation="0" wrapText="0" indent="0" justifyLastLine="0" shrinkToFit="0" readingOrder="0"/>
      <protection locked="1" hidden="0"/>
    </dxf>
    <dxf>
      <alignment vertical="center" textRotation="0" wrapText="0" indent="0" justifyLastLine="0" shrinkToFit="0" readingOrder="0"/>
      <protection locked="1" hidden="0"/>
    </dxf>
    <dxf>
      <alignment horizontal="center" vertical="center" textRotation="0" wrapText="1" indent="0" justifyLastLine="0" shrinkToFit="0" readingOrder="0"/>
      <protection locked="1" hidden="0"/>
    </dxf>
    <dxf>
      <fill>
        <patternFill>
          <bgColor rgb="FFFFFFCC"/>
        </patternFill>
      </fill>
    </dxf>
    <dxf>
      <fill>
        <patternFill>
          <bgColor rgb="FFFFD5D6"/>
        </patternFill>
      </fill>
    </dxf>
    <dxf>
      <fill>
        <patternFill>
          <bgColor rgb="FFFFD1D2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D5D6"/>
        </patternFill>
      </fill>
    </dxf>
    <dxf>
      <fill>
        <patternFill>
          <bgColor rgb="FFFFD1D2"/>
        </patternFill>
      </fill>
    </dxf>
    <dxf>
      <fill>
        <patternFill>
          <bgColor rgb="FFFFFFCC"/>
        </patternFill>
      </fill>
    </dxf>
    <dxf>
      <font>
        <i/>
        <strike val="0"/>
        <outline val="0"/>
        <shadow val="0"/>
        <u val="none"/>
        <vertAlign val="baseline"/>
        <sz val="10"/>
        <color rgb="FFFF0000"/>
        <name val="Calibri"/>
        <scheme val="minor"/>
      </font>
      <numFmt numFmtId="0" formatCode="General"/>
      <alignment horizontal="left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6" formatCode="h:mm;@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1" hidden="0"/>
    </dxf>
    <dxf>
      <numFmt numFmtId="166" formatCode="h:mm;@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1" hidden="0"/>
    </dxf>
    <dxf>
      <numFmt numFmtId="166" formatCode="h:mm;@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1" hidden="0"/>
    </dxf>
    <dxf>
      <numFmt numFmtId="166" formatCode="h:mm;@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1" hidden="0"/>
    </dxf>
    <dxf>
      <numFmt numFmtId="0" formatCode="General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0" hidden="0"/>
    </dxf>
    <dxf>
      <numFmt numFmtId="166" formatCode="h:mm;@"/>
      <alignment horizontal="center" vertical="center" textRotation="0" wrapText="0" indent="0" justifyLastLine="0" shrinkToFit="0" readingOrder="0"/>
      <protection locked="0" hidden="0"/>
    </dxf>
    <dxf>
      <numFmt numFmtId="166" formatCode="h:mm;@"/>
      <alignment horizontal="center" vertical="center" textRotation="0" wrapText="0" indent="0" justifyLastLine="0" shrinkToFit="0" readingOrder="0"/>
      <protection locked="0" hidden="0"/>
    </dxf>
    <dxf>
      <numFmt numFmtId="166" formatCode="h:mm;@"/>
      <alignment horizontal="center" vertical="center" textRotation="0" wrapText="0" indent="0" justifyLastLine="0" shrinkToFit="0" readingOrder="0"/>
      <protection locked="0" hidden="0"/>
    </dxf>
    <dxf>
      <numFmt numFmtId="166" formatCode="h:mm;@"/>
      <alignment horizontal="center" vertical="center" textRotation="0" wrapText="0" indent="0" justifyLastLine="0" shrinkToFit="0" readingOrder="0"/>
      <protection locked="0" hidden="0"/>
    </dxf>
    <dxf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0" hidden="0"/>
    </dxf>
    <dxf>
      <numFmt numFmtId="0" formatCode="General"/>
      <alignment horizontal="center" vertical="center" textRotation="0" wrapText="0" indent="0" justifyLastLine="0" shrinkToFit="0" readingOrder="0"/>
      <protection locked="1" hidden="0"/>
    </dxf>
    <dxf>
      <numFmt numFmtId="165" formatCode="[$-416]d\-mmm;@"/>
      <alignment horizontal="center" vertical="center" textRotation="0" wrapText="0" indent="0" justifyLastLine="0" shrinkToFit="0" readingOrder="0"/>
      <protection locked="1" hidden="0"/>
    </dxf>
    <dxf>
      <alignment vertical="center" textRotation="0" wrapText="0" indent="0" justifyLastLine="0" shrinkToFit="0" readingOrder="0"/>
      <protection locked="1" hidden="0"/>
    </dxf>
    <dxf>
      <alignment horizontal="center" vertical="center" textRotation="0" wrapText="1" indent="0" justifyLastLine="0" shrinkToFit="0" readingOrder="0"/>
      <protection locked="1" hidden="0"/>
    </dxf>
    <dxf>
      <fill>
        <patternFill>
          <bgColor rgb="FFFFD5D6"/>
        </patternFill>
      </fill>
    </dxf>
    <dxf>
      <fill>
        <patternFill>
          <bgColor rgb="FFFFD1D2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D5D6"/>
        </patternFill>
      </fill>
    </dxf>
    <dxf>
      <fill>
        <patternFill>
          <bgColor rgb="FFFFD1D2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D5D6"/>
        </patternFill>
      </fill>
    </dxf>
    <dxf>
      <fill>
        <patternFill>
          <bgColor rgb="FFFFD1D2"/>
        </patternFill>
      </fill>
    </dxf>
    <dxf>
      <fill>
        <patternFill>
          <bgColor rgb="FFFFFFCC"/>
        </patternFill>
      </fill>
    </dxf>
    <dxf>
      <font>
        <i/>
        <strike val="0"/>
        <outline val="0"/>
        <shadow val="0"/>
        <u val="none"/>
        <vertAlign val="baseline"/>
        <sz val="10"/>
        <color rgb="FFFF0000"/>
        <name val="Calibri"/>
        <scheme val="minor"/>
      </font>
      <numFmt numFmtId="0" formatCode="General"/>
      <alignment horizontal="left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6" formatCode="h:mm;@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1" hidden="0"/>
    </dxf>
    <dxf>
      <numFmt numFmtId="166" formatCode="h:mm;@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1" hidden="0"/>
    </dxf>
    <dxf>
      <numFmt numFmtId="166" formatCode="h:mm;@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1" hidden="0"/>
    </dxf>
    <dxf>
      <numFmt numFmtId="166" formatCode="h:mm;@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1" hidden="0"/>
    </dxf>
    <dxf>
      <numFmt numFmtId="0" formatCode="General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0" hidden="0"/>
    </dxf>
    <dxf>
      <numFmt numFmtId="166" formatCode="h:mm;@"/>
      <alignment horizontal="center" vertical="center" textRotation="0" wrapText="0" indent="0" justifyLastLine="0" shrinkToFit="0" readingOrder="0"/>
      <protection locked="0" hidden="0"/>
    </dxf>
    <dxf>
      <numFmt numFmtId="166" formatCode="h:mm;@"/>
      <alignment horizontal="center" vertical="center" textRotation="0" wrapText="0" indent="0" justifyLastLine="0" shrinkToFit="0" readingOrder="0"/>
      <protection locked="0" hidden="0"/>
    </dxf>
    <dxf>
      <numFmt numFmtId="166" formatCode="h:mm;@"/>
      <alignment horizontal="center" vertical="center" textRotation="0" wrapText="0" indent="0" justifyLastLine="0" shrinkToFit="0" readingOrder="0"/>
      <protection locked="0" hidden="0"/>
    </dxf>
    <dxf>
      <numFmt numFmtId="166" formatCode="h:mm;@"/>
      <alignment horizontal="center" vertical="center" textRotation="0" wrapText="0" indent="0" justifyLastLine="0" shrinkToFit="0" readingOrder="0"/>
      <protection locked="0" hidden="0"/>
    </dxf>
    <dxf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0" hidden="0"/>
    </dxf>
    <dxf>
      <numFmt numFmtId="0" formatCode="General"/>
      <alignment horizontal="center" vertical="center" textRotation="0" wrapText="0" indent="0" justifyLastLine="0" shrinkToFit="0" readingOrder="0"/>
      <protection locked="1" hidden="0"/>
    </dxf>
    <dxf>
      <numFmt numFmtId="165" formatCode="[$-416]d\-mmm;@"/>
      <alignment horizontal="center" vertical="center" textRotation="0" wrapText="0" indent="0" justifyLastLine="0" shrinkToFit="0" readingOrder="0"/>
      <protection locked="1" hidden="0"/>
    </dxf>
    <dxf>
      <alignment vertical="center" textRotation="0" wrapText="0" indent="0" justifyLastLine="0" shrinkToFit="0" readingOrder="0"/>
      <protection locked="1" hidden="0"/>
    </dxf>
    <dxf>
      <alignment horizontal="center" vertical="center" textRotation="0" wrapText="1" indent="0" justifyLastLine="0" shrinkToFit="0" readingOrder="0"/>
      <protection locked="1" hidden="0"/>
    </dxf>
    <dxf>
      <fill>
        <patternFill>
          <bgColor rgb="FFFFD5D6"/>
        </patternFill>
      </fill>
    </dxf>
    <dxf>
      <fill>
        <patternFill>
          <bgColor rgb="FFFFD1D2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D5D6"/>
        </patternFill>
      </fill>
    </dxf>
    <dxf>
      <fill>
        <patternFill>
          <bgColor rgb="FFFFD1D2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D5D6"/>
        </patternFill>
      </fill>
    </dxf>
    <dxf>
      <fill>
        <patternFill>
          <bgColor rgb="FFFFD1D2"/>
        </patternFill>
      </fill>
    </dxf>
    <dxf>
      <fill>
        <patternFill>
          <bgColor rgb="FFFFFFCC"/>
        </patternFill>
      </fill>
    </dxf>
    <dxf>
      <font>
        <i/>
        <strike val="0"/>
        <outline val="0"/>
        <shadow val="0"/>
        <u val="none"/>
        <vertAlign val="baseline"/>
        <sz val="10"/>
        <color rgb="FFFF0000"/>
        <name val="Calibri"/>
        <scheme val="minor"/>
      </font>
      <numFmt numFmtId="0" formatCode="General"/>
      <alignment horizontal="left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6" formatCode="h:mm;@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1" hidden="0"/>
    </dxf>
    <dxf>
      <numFmt numFmtId="166" formatCode="h:mm;@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1" hidden="0"/>
    </dxf>
    <dxf>
      <numFmt numFmtId="166" formatCode="h:mm;@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1" hidden="0"/>
    </dxf>
    <dxf>
      <numFmt numFmtId="166" formatCode="h:mm;@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1" hidden="0"/>
    </dxf>
    <dxf>
      <numFmt numFmtId="0" formatCode="General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0" hidden="0"/>
    </dxf>
    <dxf>
      <numFmt numFmtId="166" formatCode="h:mm;@"/>
      <alignment horizontal="center" vertical="center" textRotation="0" wrapText="0" indent="0" justifyLastLine="0" shrinkToFit="0" readingOrder="0"/>
      <protection locked="0" hidden="0"/>
    </dxf>
    <dxf>
      <numFmt numFmtId="166" formatCode="h:mm;@"/>
      <alignment horizontal="center" vertical="center" textRotation="0" wrapText="0" indent="0" justifyLastLine="0" shrinkToFit="0" readingOrder="0"/>
      <protection locked="0" hidden="0"/>
    </dxf>
    <dxf>
      <numFmt numFmtId="166" formatCode="h:mm;@"/>
      <alignment horizontal="center" vertical="center" textRotation="0" wrapText="0" indent="0" justifyLastLine="0" shrinkToFit="0" readingOrder="0"/>
      <protection locked="0" hidden="0"/>
    </dxf>
    <dxf>
      <numFmt numFmtId="166" formatCode="h:mm;@"/>
      <alignment horizontal="center" vertical="center" textRotation="0" wrapText="0" indent="0" justifyLastLine="0" shrinkToFit="0" readingOrder="0"/>
      <protection locked="0" hidden="0"/>
    </dxf>
    <dxf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0" hidden="0"/>
    </dxf>
    <dxf>
      <numFmt numFmtId="0" formatCode="General"/>
      <alignment horizontal="center" vertical="center" textRotation="0" wrapText="0" indent="0" justifyLastLine="0" shrinkToFit="0" readingOrder="0"/>
      <protection locked="1" hidden="0"/>
    </dxf>
    <dxf>
      <numFmt numFmtId="165" formatCode="[$-416]d\-mmm;@"/>
      <alignment horizontal="center" vertical="center" textRotation="0" wrapText="0" indent="0" justifyLastLine="0" shrinkToFit="0" readingOrder="0"/>
      <protection locked="1" hidden="0"/>
    </dxf>
    <dxf>
      <alignment vertical="center" textRotation="0" wrapText="0" indent="0" justifyLastLine="0" shrinkToFit="0" readingOrder="0"/>
      <protection locked="1" hidden="0"/>
    </dxf>
    <dxf>
      <alignment horizontal="center" vertical="center" textRotation="0" wrapText="1" indent="0" justifyLastLine="0" shrinkToFit="0" readingOrder="0"/>
      <protection locked="1" hidden="0"/>
    </dxf>
    <dxf>
      <fill>
        <patternFill>
          <bgColor rgb="FFFFD5D6"/>
        </patternFill>
      </fill>
    </dxf>
    <dxf>
      <fill>
        <patternFill>
          <bgColor rgb="FFFFD1D2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D5D6"/>
        </patternFill>
      </fill>
    </dxf>
    <dxf>
      <fill>
        <patternFill>
          <bgColor rgb="FFFFD1D2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D5D6"/>
        </patternFill>
      </fill>
    </dxf>
    <dxf>
      <fill>
        <patternFill>
          <bgColor rgb="FFFFD1D2"/>
        </patternFill>
      </fill>
    </dxf>
    <dxf>
      <fill>
        <patternFill>
          <bgColor rgb="FFFFFFCC"/>
        </patternFill>
      </fill>
    </dxf>
    <dxf>
      <font>
        <i/>
        <strike val="0"/>
        <outline val="0"/>
        <shadow val="0"/>
        <u val="none"/>
        <vertAlign val="baseline"/>
        <sz val="10"/>
        <color rgb="FFFF0000"/>
        <name val="Calibri"/>
        <scheme val="minor"/>
      </font>
      <numFmt numFmtId="0" formatCode="General"/>
      <alignment horizontal="left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6" formatCode="h:mm;@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1" hidden="0"/>
    </dxf>
    <dxf>
      <numFmt numFmtId="166" formatCode="h:mm;@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1" hidden="0"/>
    </dxf>
    <dxf>
      <numFmt numFmtId="166" formatCode="h:mm;@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1" hidden="0"/>
    </dxf>
    <dxf>
      <numFmt numFmtId="166" formatCode="h:mm;@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1" hidden="0"/>
    </dxf>
    <dxf>
      <numFmt numFmtId="0" formatCode="General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0" hidden="0"/>
    </dxf>
    <dxf>
      <numFmt numFmtId="166" formatCode="h:mm;@"/>
      <alignment horizontal="center" vertical="center" textRotation="0" wrapText="0" indent="0" justifyLastLine="0" shrinkToFit="0" readingOrder="0"/>
      <protection locked="0" hidden="0"/>
    </dxf>
    <dxf>
      <numFmt numFmtId="166" formatCode="h:mm;@"/>
      <alignment horizontal="center" vertical="center" textRotation="0" wrapText="0" indent="0" justifyLastLine="0" shrinkToFit="0" readingOrder="0"/>
      <protection locked="0" hidden="0"/>
    </dxf>
    <dxf>
      <numFmt numFmtId="166" formatCode="h:mm;@"/>
      <alignment horizontal="center" vertical="center" textRotation="0" wrapText="0" indent="0" justifyLastLine="0" shrinkToFit="0" readingOrder="0"/>
      <protection locked="0" hidden="0"/>
    </dxf>
    <dxf>
      <numFmt numFmtId="166" formatCode="h:mm;@"/>
      <alignment horizontal="center" vertical="center" textRotation="0" wrapText="0" indent="0" justifyLastLine="0" shrinkToFit="0" readingOrder="0"/>
      <protection locked="0" hidden="0"/>
    </dxf>
    <dxf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0" hidden="0"/>
    </dxf>
    <dxf>
      <numFmt numFmtId="0" formatCode="General"/>
      <alignment horizontal="center" vertical="center" textRotation="0" wrapText="0" indent="0" justifyLastLine="0" shrinkToFit="0" readingOrder="0"/>
      <protection locked="1" hidden="0"/>
    </dxf>
    <dxf>
      <numFmt numFmtId="165" formatCode="[$-416]d\-mmm;@"/>
      <alignment horizontal="center" vertical="center" textRotation="0" wrapText="0" indent="0" justifyLastLine="0" shrinkToFit="0" readingOrder="0"/>
      <protection locked="1" hidden="0"/>
    </dxf>
    <dxf>
      <alignment vertical="center" textRotation="0" wrapText="0" indent="0" justifyLastLine="0" shrinkToFit="0" readingOrder="0"/>
      <protection locked="1" hidden="0"/>
    </dxf>
    <dxf>
      <alignment horizontal="center" vertical="center" textRotation="0" wrapText="1" indent="0" justifyLastLine="0" shrinkToFit="0" readingOrder="0"/>
      <protection locked="1" hidden="0"/>
    </dxf>
    <dxf>
      <fill>
        <patternFill>
          <bgColor rgb="FFFFFFCC"/>
        </patternFill>
      </fill>
    </dxf>
    <dxf>
      <fill>
        <patternFill>
          <bgColor rgb="FFFFD5D6"/>
        </patternFill>
      </fill>
    </dxf>
    <dxf>
      <fill>
        <patternFill>
          <bgColor rgb="FFFFD1D2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D5D6"/>
        </patternFill>
      </fill>
    </dxf>
    <dxf>
      <fill>
        <patternFill>
          <bgColor rgb="FFFFD1D2"/>
        </patternFill>
      </fill>
    </dxf>
    <dxf>
      <fill>
        <patternFill>
          <bgColor rgb="FFFFFFCC"/>
        </patternFill>
      </fill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bottom" textRotation="0" wrapText="0" indent="0" justifyLastLine="0" shrinkToFit="0" readingOrder="0"/>
      <protection locked="0" hidden="0"/>
    </dxf>
    <dxf>
      <alignment horizontal="center" vertical="bottom" textRotation="0" wrapText="0" indent="0" justifyLastLine="0" shrinkToFit="0" readingOrder="0"/>
      <protection locked="1" hidden="0"/>
    </dxf>
    <dxf>
      <alignment horizontal="center" vertical="bottom" textRotation="0" wrapText="0" indent="0" justifyLastLine="0" shrinkToFit="0" readingOrder="0"/>
      <protection locked="1" hidden="0"/>
    </dxf>
    <dxf>
      <alignment horizontal="center" vertical="bottom" textRotation="0" wrapText="0" indent="0" justifyLastLine="0" shrinkToFit="0" readingOrder="0"/>
      <protection locked="1" hidden="0"/>
    </dxf>
    <dxf>
      <alignment horizontal="center" vertical="center" textRotation="0" wrapText="1" indent="0" justifyLastLine="0" shrinkToFit="0" readingOrder="0"/>
      <protection locked="1" hidden="0"/>
    </dxf>
    <dxf>
      <alignment horizontal="center" vertical="bottom" textRotation="0" wrapText="0" indent="0" justifyLastLine="0" shrinkToFit="0" readingOrder="0"/>
      <border diagonalUp="0" diagonalDown="0">
        <left/>
        <right style="double">
          <color theme="5"/>
        </right>
        <top style="medium">
          <color auto="1"/>
        </top>
        <bottom style="medium">
          <color auto="1"/>
        </bottom>
        <vertical/>
        <horizontal style="medium">
          <color auto="1"/>
        </horizontal>
      </border>
      <protection locked="1" hidden="0"/>
    </dxf>
    <dxf>
      <alignment horizontal="center" vertical="bottom" textRotation="0" wrapText="0" indent="0" justifyLastLine="0" shrinkToFit="0" readingOrder="0"/>
      <border diagonalUp="0" diagonalDown="0">
        <left/>
        <right/>
        <top style="medium">
          <color auto="1"/>
        </top>
        <bottom style="medium">
          <color auto="1"/>
        </bottom>
        <vertical/>
        <horizontal style="medium">
          <color auto="1"/>
        </horizontal>
      </border>
      <protection locked="0" hidden="0"/>
    </dxf>
    <dxf>
      <numFmt numFmtId="166" formatCode="h:mm;@"/>
      <alignment horizontal="center" vertical="bottom" textRotation="0" wrapText="0" indent="0" justifyLastLine="0" shrinkToFit="0" readingOrder="0"/>
      <border diagonalUp="0" diagonalDown="0">
        <left style="double">
          <color theme="5"/>
        </left>
        <right/>
        <top style="medium">
          <color auto="1"/>
        </top>
        <bottom style="medium">
          <color auto="1"/>
        </bottom>
        <vertical/>
        <horizontal style="medium">
          <color auto="1"/>
        </horizontal>
      </border>
      <protection locked="0" hidden="0"/>
    </dxf>
    <dxf>
      <alignment horizontal="center" vertical="bottom" textRotation="0" wrapText="0" indent="0" justifyLastLine="0" shrinkToFit="0" readingOrder="0"/>
      <protection locked="0" hidden="0"/>
    </dxf>
    <dxf>
      <alignment horizontal="center" vertical="bottom" textRotation="0" wrapText="0" indent="0" justifyLastLine="0" shrinkToFit="0" readingOrder="0"/>
      <protection locked="1" hidden="0"/>
    </dxf>
    <dxf>
      <alignment horizontal="center" vertical="bottom" textRotation="0" wrapText="0" indent="0" justifyLastLine="0" shrinkToFit="0" readingOrder="0"/>
      <protection locked="1" hidden="0"/>
    </dxf>
    <dxf>
      <alignment horizontal="center" vertical="bottom" textRotation="0" wrapText="0" indent="0" justifyLastLine="0" shrinkToFit="0" readingOrder="0"/>
      <protection locked="1" hidden="0"/>
    </dxf>
    <dxf>
      <alignment horizontal="center" vertical="center" textRotation="0" wrapText="1" indent="0" justifyLastLine="0" shrinkToFit="0" readingOrder="0"/>
      <protection locked="1" hidden="0"/>
    </dxf>
    <dxf>
      <font>
        <color rgb="FF9C0006"/>
      </font>
      <fill>
        <patternFill>
          <bgColor rgb="FFFFC7CE"/>
        </patternFill>
      </fill>
    </dxf>
    <dxf>
      <numFmt numFmtId="30" formatCode="@"/>
      <alignment horizontal="center" vertical="bottom" textRotation="0" wrapText="0" indent="0" justifyLastLine="0" shrinkToFit="0" readingOrder="0"/>
      <protection locked="1" hidden="0"/>
    </dxf>
    <dxf>
      <numFmt numFmtId="30" formatCode="@"/>
      <alignment horizontal="center" vertical="bottom" textRotation="0" wrapText="0" indent="0" justifyLastLine="0" shrinkToFit="0" readingOrder="0"/>
      <protection locked="1" hidden="0"/>
    </dxf>
    <dxf>
      <alignment horizontal="center" vertical="center" textRotation="0" wrapText="1" indent="0" justifyLastLine="0" shrinkToFit="0" readingOrder="0"/>
      <protection locked="1" hidden="0"/>
    </dxf>
    <dxf>
      <numFmt numFmtId="166" formatCode="h:mm;@"/>
      <alignment horizontal="center" vertical="center" textRotation="0" wrapText="0" indent="0" justifyLastLine="0" shrinkToFit="0" readingOrder="0"/>
      <protection locked="1" hidden="0"/>
    </dxf>
    <dxf>
      <alignment horizontal="center" vertical="center" textRotation="0" wrapText="0" indent="0" justifyLastLine="0" shrinkToFit="0" readingOrder="0"/>
      <protection locked="1" hidden="0"/>
    </dxf>
    <dxf>
      <alignment horizontal="center" vertical="center" textRotation="0" wrapText="0" indent="0" justifyLastLine="0" shrinkToFit="0" readingOrder="0"/>
      <protection locked="1" hidden="0"/>
    </dxf>
    <dxf>
      <alignment horizontal="center" vertical="center" textRotation="0" wrapText="0" indent="0" justifyLastLine="0" shrinkToFit="0" readingOrder="0"/>
      <protection locked="1" hidden="0"/>
    </dxf>
    <dxf>
      <alignment horizontal="center" vertical="center" textRotation="0" wrapText="1" indent="0" justifyLastLine="0" shrinkToFit="0" readingOrder="0"/>
      <protection locked="1" hidden="0"/>
    </dxf>
    <dxf>
      <alignment horizontal="left" vertical="bottom" textRotation="0" wrapText="0" indent="0" justifyLastLine="0" shrinkToFit="0" readingOrder="0"/>
      <protection locked="1" hidden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protection locked="0" hidden="0"/>
    </dxf>
    <dxf>
      <protection locked="1" hidden="0"/>
    </dxf>
    <dxf>
      <protection locked="1" hidden="0"/>
    </dxf>
    <dxf>
      <alignment horizontal="center" vertical="center" textRotation="0" wrapText="1" indent="0" justifyLastLine="0" shrinkToFit="0" readingOrder="0"/>
      <protection locked="1" hidden="0"/>
    </dxf>
  </dxfs>
  <tableStyles count="1" defaultTableStyle="TableStyleLight18" defaultPivotStyle="PivotStyleLight16">
    <tableStyle name="MySqlDefault" pivot="0" table="0" count="0"/>
  </tableStyles>
  <colors>
    <mruColors>
      <color rgb="FFFFD5D6"/>
      <color rgb="FFFFCDCE"/>
      <color rgb="FFFFD1D2"/>
      <color rgb="FFFED2D8"/>
      <color rgb="FFAF2154"/>
      <color rgb="FFFF7C80"/>
      <color rgb="FFFF5050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ables/table1.xml><?xml version="1.0" encoding="utf-8"?>
<table xmlns="http://schemas.openxmlformats.org/spreadsheetml/2006/main" id="2" name="tblEvento" displayName="tblEvento" ref="A2:F13" totalsRowShown="0" headerRowDxfId="391" dataDxfId="390">
  <sortState ref="A3:F13">
    <sortCondition ref="A8"/>
  </sortState>
  <tableColumns count="6">
    <tableColumn id="1" name="Evento" dataDxfId="389"/>
    <tableColumn id="2" name="Colorir Linha" dataDxfId="388"/>
    <tableColumn id="5" name="Colorir Período" dataDxfId="387"/>
    <tableColumn id="6" name="Libera o Período" dataDxfId="386"/>
    <tableColumn id="4" name="Conta hora Extra" dataDxfId="385"/>
    <tableColumn id="3" name="Descrição" dataDxfId="384"/>
  </tableColumns>
  <tableStyleInfo name="TableStyleLight16" showFirstColumn="0" showLastColumn="0" showRowStripes="1" showColumnStripes="0"/>
</table>
</file>

<file path=xl/tables/table2.xml><?xml version="1.0" encoding="utf-8"?>
<table xmlns="http://schemas.openxmlformats.org/spreadsheetml/2006/main" id="3" name="tblLimiteHora" displayName="tblLimiteHora" ref="H2:J4" totalsRowShown="0" headerRowDxfId="383" dataDxfId="382">
  <autoFilter ref="H2:J4"/>
  <tableColumns count="3">
    <tableColumn id="1" name="Limite de horas" dataDxfId="381"/>
    <tableColumn id="3" name="Limite" dataDxfId="380"/>
    <tableColumn id="2" name="h" dataDxfId="379"/>
  </tableColumns>
  <tableStyleInfo name="TableStyleLight16" showFirstColumn="0" showLastColumn="0" showRowStripes="1" showColumnStripes="0"/>
</table>
</file>

<file path=xl/tables/table3.xml><?xml version="1.0" encoding="utf-8"?>
<table xmlns="http://schemas.openxmlformats.org/spreadsheetml/2006/main" id="5" name="tbl_Mes" displayName="tbl_Mes" ref="L2:L14" totalsRowShown="0" headerRowDxfId="378" dataDxfId="377">
  <autoFilter ref="L2:L14"/>
  <tableColumns count="1">
    <tableColumn id="1" name="Mês" dataDxfId="376"/>
  </tableColumns>
  <tableStyleInfo name="TableStyleLight18" showFirstColumn="0" showLastColumn="0" showRowStripes="1" showColumnStripes="0"/>
</table>
</file>

<file path=xl/tables/table4.xml><?xml version="1.0" encoding="utf-8"?>
<table xmlns="http://schemas.openxmlformats.org/spreadsheetml/2006/main" id="4" name="tblDiaUtil" displayName="tblDiaUtil" ref="B11:G18" totalsRowShown="0" headerRowDxfId="374" dataDxfId="373">
  <tableColumns count="6">
    <tableColumn id="1" name="Dia da Semana" dataDxfId="372"/>
    <tableColumn id="4" name="Abreviatura" dataDxfId="371"/>
    <tableColumn id="2" name="É dia util?" dataDxfId="370"/>
    <tableColumn id="3" name="1º Período" dataDxfId="369"/>
    <tableColumn id="5" name="2º Período" dataDxfId="368"/>
    <tableColumn id="6" name="Total Jornada" dataDxfId="367"/>
  </tableColumns>
  <tableStyleInfo name="TableStyleLight18" showFirstColumn="0" showLastColumn="0" showRowStripes="1" showColumnStripes="0"/>
</table>
</file>

<file path=xl/tables/table5.xml><?xml version="1.0" encoding="utf-8"?>
<table xmlns="http://schemas.openxmlformats.org/spreadsheetml/2006/main" id="18" name="tblDiaUtil7" displayName="tblDiaUtil7" ref="B21:D23" totalsRowShown="0" headerRowDxfId="366" dataDxfId="365">
  <tableColumns count="3">
    <tableColumn id="1" name="Período" dataDxfId="364"/>
    <tableColumn id="4" name="Abreviatura" dataDxfId="363"/>
    <tableColumn id="2" name="Qtd. Horas por Jornada" dataDxfId="362"/>
  </tableColumns>
  <tableStyleInfo name="TableStyleLight18" showFirstColumn="0" showLastColumn="0" showRowStripes="1" showColumnStripes="0"/>
</table>
</file>

<file path=xl/tables/table6.xml><?xml version="1.0" encoding="utf-8"?>
<table xmlns="http://schemas.openxmlformats.org/spreadsheetml/2006/main" id="17" name="Tabela17" displayName="Tabela17" ref="B4:C17" totalsRowCount="1" headerRowDxfId="361">
  <tableColumns count="2">
    <tableColumn id="1" name="Mês" totalsRowLabel="Total" dataDxfId="360" totalsRowDxfId="359"/>
    <tableColumn id="2" name="Saldo de Horas" totalsRowFunction="sum" dataDxfId="358" totalsRowDxfId="357">
      <calculatedColumnFormula>Janeiro!O39</calculatedColumnFormula>
    </tableColumn>
  </tableColumns>
  <tableStyleInfo name="TableStyleLight18" showFirstColumn="0" showLastColumn="0" showRowStripes="1" showColumnStripes="0"/>
</table>
</file>

<file path=xl/tables/table7.xml><?xml version="1.0" encoding="utf-8"?>
<table xmlns="http://schemas.openxmlformats.org/spreadsheetml/2006/main" id="1" name="tblHorasJan" displayName="tblHorasJan" ref="B8:T39" totalsRowShown="0" headerRowDxfId="348" dataDxfId="347">
  <tableColumns count="19">
    <tableColumn id="1" name="Data" dataDxfId="346">
      <calculatedColumnFormula>IF(B8&lt;&gt;"",IF(DAY(B8+1)=1,"",B8+1),"")</calculatedColumnFormula>
    </tableColumn>
    <tableColumn id="2" name="Dia" dataDxfId="345">
      <calculatedColumnFormula>TEXT(tblHorasJan[[#This Row],[Data]],"ddd")</calculatedColumnFormula>
    </tableColumn>
    <tableColumn id="3" name="Evento _x000a_(1º Período)" dataDxfId="344"/>
    <tableColumn id="4" name="Entrada - 1" dataDxfId="343"/>
    <tableColumn id="5" name="Saída - 1 (Almoço)" dataDxfId="342"/>
    <tableColumn id="6" name="Entrada - 2 (Almoço)" dataDxfId="341"/>
    <tableColumn id="7" name="Saída - 2" dataDxfId="340"/>
    <tableColumn id="13" name="Evento _x000a_(2º Período)" dataDxfId="339"/>
    <tableColumn id="15" name="Horas Trabalhadas (1º Período)" dataDxfId="338">
      <calculatedColumnFormula>IF($B$6&lt;&gt;"",
IF(AND(tblHorasJan[Evento 
(1º Período)]&lt;&gt;"",IF(ISERROR(VLOOKUP(tblHorasJan[Evento 
(1º Período)],tblEvento[],Tabelas!$D$1,FALSE)),FALSE,VLOOKUP(tblHorasJan[Evento 
(1º Período)],tblEvento[],Tabelas!$D$1,FALSE)="Sim")),
        IF(JORNADA_PERIODO_1&lt;&gt;"",
IF(VLOOKUP(tblHorasJan[Dia],tblDiaUtil[[Abreviatura]:[1º Período]],3,FALSE)&gt;0,VLOOKUP(tblHorasJan[Dia],tblDiaUtil[[Abreviatura]:[1º Período]],3,FALSE),JORNADA_PERIODO_1),
IF(VLOOKUP(tblHorasJan[Dia],tblDiaUtil[[Abreviatura]:[1º Período]],3,FALSE)&gt;0,VLOOKUP(tblHorasJan[Dia],tblDiaUtil[[Abreviatura]:[1º Período]],3,FALSE),JORNADA/2)),
        IF(AND(ISNUMBER(tblHorasJan[Saída - 1 (Almoço)]),ISNUMBER(tblHorasJan[Entrada - 1])),
              IF(OR(AND(tblHorasJan[Evento 
(1º Período)]&lt;&gt;"",IF(ISERROR(VLOOKUP(tblHorasJan[Evento 
(1º Período)],tblEvento[],Tabelas!$E$1,FALSE)),FALSE,VLOOKUP(tblHorasJan[Evento 
(1º Período)],tblEvento[],Tabelas!$E$1,FALSE)="Sim")),IF(VLOOKUP(TEXT(tblHorasJan[Data],"dddd"),tblDiaUtil[],2,FALSE)="Não",TRUE,FALSE)),
                   tblHorasJan[Saída - 1 (Almoço)]-tblHorasJan[Entrada - 1],
                   IF(OR(HOUR(tblHorasJan[Saída - 1 (Almoço)]-tblHorasJan[Entrada - 1])&gt;0,ROUND(tblHorasJan[Saída - 1 (Almoço)]-tblHorasJan[Entrada - 1],6)&gt;ROUND(CARENCIA,6)),
                          tblHorasJan[Saída - 1 (Almoço)]-tblHorasJan[Entrada - 1],
                          0)),
                    0)),0)</calculatedColumnFormula>
    </tableColumn>
    <tableColumn id="16" name="Horas Trabalhadas (2º Período)" dataDxfId="337">
      <calculatedColumnFormula>IF($B$6&lt;&gt;"",
IF(AND(tblHorasJan[Evento 
(2º Período)]&lt;&gt;"",IF(ISERROR(VLOOKUP(tblHorasJan[Evento 
(2º Período)],tblEvento[],Tabelas!$D$1,FALSE)),FALSE,VLOOKUP(tblHorasJan[Evento 
(2º Período)],tblEvento[],Tabelas!$D$1,FALSE)="Sim")),
        IF(JORNADA_PERIODO_2&lt;&gt;"",
IF(VLOOKUP(tblHorasJan[Dia],tblDiaUtil[[Abreviatura]:[2º Período]],4,FALSE)&gt;0,VLOOKUP(tblHorasJan[Dia],tblDiaUtil[[Abreviatura]:[2º Período]],4,FALSE),JORNADA_PERIODO_2),
IF(VLOOKUP(tblHorasJan[Dia],tblDiaUtil[[Abreviatura]:[2º Período]],4,FALSE)&gt;0,VLOOKUP(tblHorasJan[Dia],tblDiaUtil[[Abreviatura]:[2º Período]],4,FALSE),JORNADA/2)),
        IF(AND(ISNUMBER(tblHorasJan[Saída - 2]),ISNUMBER(tblHorasJan[Entrada - 2 (Almoço)])),
              IF(OR(AND(tblHorasJan[Evento 
(2º Período)]&lt;&gt;"",IF(ISERROR(VLOOKUP(tblHorasJan[Evento 
(2º Período)],tblEvento[],Tabelas!$E$1,FALSE)),FALSE,VLOOKUP(tblHorasJan[Evento 
(2º Período)],tblEvento[],Tabelas!$E$1,FALSE)="Sim")),IF(VLOOKUP(TEXT(tblHorasJan[Data],"dddd"),tblDiaUtil[],2,FALSE)="Não",TRUE,FALSE)),
                   tblHorasJan[Saída - 2]-tblHorasJan[Entrada - 2 (Almoço)],
                   IF(OR(HOUR(tblHorasJan[Saída - 2]-tblHorasJan[Entrada - 2 (Almoço)])&gt;0,MINUTE(tblHorasJan[Saída - 2]-tblHorasJan[Entrada - 2 (Almoço)])&gt;CARENCIA),
                         tblHorasJan[Saída - 2]-tblHorasJan[Entrada - 2 (Almoço)],
                         0)),
       0)),0)</calculatedColumnFormula>
    </tableColumn>
    <tableColumn id="8" name="Horas Trabalhadas" dataDxfId="336">
      <calculatedColumnFormula>tblHorasJan[[#This Row],[Horas Trabalhadas (1º Período)]]+tblHorasJan[[#This Row],[Horas Trabalhadas (2º Período)]]</calculatedColumnFormula>
    </tableColumn>
    <tableColumn id="17" name="Jornada Diária" dataDxfId="335">
      <calculatedColumnFormula>IF(tblHorasJan[[#This Row],[Data]]&lt;&gt;"",
        IF(
AND(VLOOKUP(TEXT(tblHorasJan[[#This Row],[Data]],"dddd"),tblDiaUtil[],3,FALSE)="Sim",IF(tblHorasJan[[#This Row],[Evento 
(1º Período)]]&lt;&gt;"",IF(VLOOKUP(tblHorasJan[[#This Row],[Evento 
(1º Período)]],tblEvento[],Tabelas!$E$1,FALSE)="Sim",FALSE,TRUE),TRUE),IF(tblHorasJan[[#This Row],[Evento 
(2º Período)]]&lt;&gt;"",IF(VLOOKUP(tblHorasJan[[#This Row],[Evento 
(2º Período)]],tblEvento[],Tabelas!$E$1,FALSE)="Sim",FALSE,TRUE),TRUE)),
              IF(VLOOKUP(tblHorasJan[[#This Row],[Dia]],tblDiaUtil[[Abreviatura]:[1º Período]],3,FALSE)&gt;0,VLOOKUP(tblHorasJan[[#This Row],[Dia]],tblDiaUtil[[Abreviatura]:[1º Período]],3,FALSE),JORNADA),
              ""),
         "")</calculatedColumnFormula>
    </tableColumn>
    <tableColumn id="11" name="Horas Trabalhadas Além Jornada" dataDxfId="334">
      <calculatedColumnFormula>IF(OR(tblHorasJan[Horas Trabalhadas (1º Período)]&lt;&gt;0,tblHorasJan[Horas Trabalhadas (2º Período)]&lt;&gt;0),
        IF(ISNUMBER(tblHorasJan[Jornada Diária]),
              IF(tblHorasJan[Jornada Diária]&gt;(tblHorasJan[Horas Trabalhadas (2º Período)]+tblHorasJan[Horas Trabalhadas (1º Período)]),
                     IF(ROUND((tblHorasJan[Jornada Diária]-(tblHorasJan[Horas Trabalhadas (2º Período)]+tblHorasJan[Horas Trabalhadas (1º Período)])),6)&gt;ROUND(CARENCIA,6),
                           -tblHorasJan[Jornada Diária]+(tblHorasJan[Horas Trabalhadas (2º Período)]+tblHorasJan[Horas Trabalhadas (1º Período)]),
                           0),
                      IF(ROUND((tblHorasJan[Jornada Diária]-(tblHorasJan[Horas Trabalhadas (2º Período)]+tblHorasJan[Horas Trabalhadas (1º Período)])),6)&lt;ROUND(-CARENCIA,6),
                           -tblHorasJan[Jornada Diária]+(tblHorasJan[Horas Trabalhadas (2º Período)]+tblHorasJan[Horas Trabalhadas (1º Período)]),
                           0)),
              tblHorasJan[Horas Trabalhadas (2º Período)]+tblHorasJan[Horas Trabalhadas (1º Período)]),
         IF(AND(IF(ISERROR(VLOOKUP(tblHorasJan[Evento 
(1º Período)],tblEvento[[Evento]:[Libera o Período]],4,FALSE)),FALSE,IF(VLOOKUP(tblHorasJan[Evento 
(1º Período)],tblEvento[[Evento]:[Libera o Período]],4,FALSE)="Não",TRUE,FALSE)),IF(ISERROR(VLOOKUP(tblHorasJan[Evento 
(2º Período)],tblEvento[[Evento]:[Libera o Período]],4,FALSE)),FALSE,IF(VLOOKUP(tblHorasJan[Evento 
(2º Período)],tblEvento[[Evento]:[Libera o Período]],4,FALSE)="Não",TRUE,FALSE))),
-IF(VLOOKUP(tblHorasJan[Dia],tblDiaUtil[[Abreviatura]:[Total Jornada]],5,FALSE)&lt;&gt;"",VLOOKUP(tblHorasJan[Dia],tblDiaUtil[[Abreviatura]:[Total Jornada]],5,FALSE),JORNADA),
IF(IF(ISERROR(VLOOKUP(tblHorasJan[Evento 
(1º Período)],tblEvento[[Evento]:[Libera o Período]],4,FALSE)),FALSE,
IF(VLOOKUP(tblHorasJan[Evento 
(1º Período)],tblEvento[[Evento]:[Libera o Período]],4,FALSE)="Não",TRUE,FALSE)
),
-IF(VLOOKUP(tblHorasJan[Dia],tblDiaUtil[[Abreviatura]:[1º Período]],3,FALSE)&lt;&gt;"",VLOOKUP(tblHorasJan[Dia],tblDiaUtil[[Abreviatura]:[1º Período]],3,FALSE),JORNADA_PERIODO_1),
IF(IF(ISERROR(VLOOKUP(tblHorasJan[Evento 
(2º Período)],tblEvento[[Evento]:[Libera o Período]],4,FALSE)),FALSE,IF(VLOOKUP(tblHorasJan[Evento 
(2º Período)],tblEvento[[Evento]:[Libera o Período]],4,FALSE)="Não",TRUE,FALSE)),
-IF(VLOOKUP(tblHorasJan[Dia],tblDiaUtil[[Abreviatura]:[2º Período]],4,FALSE)&lt;&gt;"",VLOOKUP(tblHorasJan[Dia],tblDiaUtil[[Abreviatura]:[2º Período]],4,FALSE),JORNADA_PERIODO_2),0))))</calculatedColumnFormula>
    </tableColumn>
    <tableColumn id="18" name="Saldo de Horas" dataDxfId="333">
      <calculatedColumnFormula>IF(tblHorasJan[[#This Row],[Horas Trabalhadas Além Jornada]]&gt;0,
        IF(tblHorasJan[[#This Row],[Jornada Diária]]&lt;&gt;"",
              IF(HOUR(tblHorasJan[[#This Row],[Horas Trabalhadas Além Jornada]])&gt;=VLOOKUP(LIMITE,tblLimiteHora[],Tabelas!$I$1,FALSE),
                    VLOOKUP(LIMITE,tblLimiteHora[],Tabelas!$J$1,FALSE),
                    tblHorasJan[[#This Row],[Horas Trabalhadas Além Jornada]]),
              tblHorasJan[[#This Row],[Horas Trabalhadas Além Jornada]]),
        0)</calculatedColumnFormula>
    </tableColumn>
    <tableColumn id="19" name="Atrasos_x000a_(horas)" dataDxfId="332">
      <calculatedColumnFormula>IF(tblHorasJan[[#This Row],[Horas Trabalhadas Além Jornada]]&lt;0,IF(OR(tblHorasJan[[#This Row],[Evento 
(1º Período)]]="",tblHorasJan[[#This Row],[Evento 
(2º Período)]]=""),tblHorasJan[[#This Row],[Horas Trabalhadas Além Jornada]],""),"")</calculatedColumnFormula>
    </tableColumn>
    <tableColumn id="14" name="Faltas_x000a_(dias)" dataDxfId="331">
      <calculatedColumnFormula>IF(tblHorasJan[[#This Row],[Jornada Diária]]&lt;&gt;"",IF((N(tblHorasJan[[#This Row],[Jornada Diária]])-ABS(N(tblHorasJan[[#This Row],[Horas Trabalhadas Além Jornada]])))=0,1,""),"")</calculatedColumnFormula>
    </tableColumn>
    <tableColumn id="10" name="Hora Extra Normal" dataDxfId="330">
      <calculatedColumnFormula>IF(tblHorasJan[[#This Row],[Horas Trabalhadas Além Jornada]]&gt;0,
IF(AND(VLOOKUP(TEXT(tblHorasJan[[#This Row],[Data]],"dddd"),tblDiaUtil[],3,FALSE)="Sim",IF(tblHorasJan[[#This Row],[Evento 
(1º Período)]]&lt;&gt;"",IF(VLOOKUP(tblHorasJan[[#This Row],[Evento 
(1º Período)]],tblEvento[],Tabelas!$E$1,FALSE)="Sim",FALSE,TRUE),TRUE),IF(tblHorasJan[[#This Row],[Evento 
(2º Período)]]&lt;&gt;"",IF(VLOOKUP(tblHorasJan[[#This Row],[Evento 
(2º Período)]],tblEvento[],Tabelas!$E$1,FALSE)="Sim",FALSE,TRUE),TRUE)),
tblHorasJan[[#This Row],[Horas Trabalhadas Além Jornada]],""),"")</calculatedColumnFormula>
    </tableColumn>
    <tableColumn id="9" name="Hora Extra _x000a_Especial" dataDxfId="329">
      <calculatedColumnFormula>IF(tblHorasJan[[#This Row],[Horas Trabalhadas Além Jornada]]&gt;0,
IF(OR(VLOOKUP(TEXT(tblHorasJan[[#This Row],[Data]],"dddd"),tblDiaUtil[],3,FALSE)="Não",IF(tblHorasJan[[#This Row],[Evento 
(1º Período)]]&lt;&gt;"",IF(VLOOKUP(tblHorasJan[[#This Row],[Evento 
(1º Período)]],tblEvento[],Tabelas!$E$1,FALSE)="Sim",TRUE,FALSE),FALSE),IF(tblHorasJan[[#This Row],[Evento 
(2º Período)]]&lt;&gt;"",IF(VLOOKUP(tblHorasJan[[#This Row],[Evento 
(2º Período)]],tblEvento[],Tabelas!$E$1,FALSE)="Sim",TRUE,FALSE),FALSE)),
tblHorasJan[[#This Row],[Horas Trabalhadas Além Jornada]],""),"")</calculatedColumnFormula>
    </tableColumn>
    <tableColumn id="12" name="Informação" dataDxfId="328">
      <calculatedColumnFormula>IF(tblHorasJan[[#This Row],[Evento 
(1º Período)]]&lt;&gt;""," - " &amp;VLOOKUP(tblHorasJan[[#This Row],[Evento 
(1º Período)]],tblEvento[],Tabelas!$F$1,FALSE),"")&amp;IF(AND(tblHorasJan[[#This Row],[Evento 
(2º Período)]]&lt;&gt;"",tblHorasJan[[#This Row],[Evento 
(2º Período)]]&lt;&gt;tblHorasJan[[#This Row],[Evento 
(1º Período)]])," - " &amp; VLOOKUP(tblHorasJan[[#This Row],[Evento 
(2º Período)]],tblEvento[],Tabelas!$F$1,FALSE),"")</calculatedColumnFormula>
    </tableColumn>
  </tableColumns>
  <tableStyleInfo name="TableStyleLight18" showFirstColumn="0" showLastColumn="0" showRowStripes="1" showColumnStripes="0"/>
</table>
</file>

<file path=xl/tables/table8.xml><?xml version="1.0" encoding="utf-8"?>
<table xmlns="http://schemas.openxmlformats.org/spreadsheetml/2006/main" id="6" name="tblHorasFev" displayName="tblHorasFev" ref="B8:T39" totalsRowShown="0" headerRowDxfId="316" dataDxfId="315">
  <tableColumns count="19">
    <tableColumn id="1" name="Data" dataDxfId="314">
      <calculatedColumnFormula>IF(B8&lt;&gt;"",IF(DAY(B8+1)=1,"",B8+1),"")</calculatedColumnFormula>
    </tableColumn>
    <tableColumn id="2" name="Dia" dataDxfId="313">
      <calculatedColumnFormula>TEXT(tblHorasFev[Data],"ddd")</calculatedColumnFormula>
    </tableColumn>
    <tableColumn id="3" name="Evento _x000a_(1º Período)" dataDxfId="312"/>
    <tableColumn id="4" name="Entrada - 1" dataDxfId="311"/>
    <tableColumn id="5" name="Saída - 1 (Almoço)" dataDxfId="310"/>
    <tableColumn id="6" name="Entrada - 2 (Almoço)" dataDxfId="309"/>
    <tableColumn id="7" name="Saída - 2" dataDxfId="308"/>
    <tableColumn id="13" name="Evento _x000a_(2º Período)" dataDxfId="307"/>
    <tableColumn id="15" name="Horas Trabalhadas (1º Período)" dataDxfId="306">
      <calculatedColumnFormula>IF($B$6&lt;&gt;"",
IF(AND(tblHorasFev[Evento 
(1º Período)]&lt;&gt;"",IF(ISERROR(VLOOKUP(tblHorasFev[Evento 
(1º Período)],tblEvento[],Tabelas!$D$1,FALSE)),FALSE,VLOOKUP(tblHorasFev[Evento 
(1º Período)],tblEvento[],Tabelas!$D$1,FALSE)="Sim")),
        IF(JORNADA_PERIODO_1&lt;&gt;"",
IF(VLOOKUP(tblHorasFev[Dia],tblDiaUtil[[Abreviatura]:[1º Período]],3,FALSE)&gt;0,VLOOKUP(tblHorasFev[Dia],tblDiaUtil[[Abreviatura]:[1º Período]],3,FALSE),JORNADA_PERIODO_1),
IF(VLOOKUP(tblHorasFev[Dia],tblDiaUtil[[Abreviatura]:[1º Período]],3,FALSE)&gt;0,VLOOKUP(tblHorasFev[Dia],tblDiaUtil[[Abreviatura]:[1º Período]],3,FALSE),JORNADA/2)),
        IF(AND(ISNUMBER(tblHorasFev[Saída - 1 (Almoço)]),ISNUMBER(tblHorasFev[Entrada - 1])),
              IF(OR(AND(tblHorasFev[Evento 
(1º Período)]&lt;&gt;"",IF(ISERROR(VLOOKUP(tblHorasFev[Evento 
(1º Período)],tblEvento[],Tabelas!$E$1,FALSE)),FALSE,VLOOKUP(tblHorasFev[Evento 
(1º Período)],tblEvento[],Tabelas!$E$1,FALSE)="Sim")),IF(VLOOKUP(TEXT(tblHorasFev[Data],"dddd"),tblDiaUtil[],2,FALSE)="Não",TRUE,FALSE)),
                   tblHorasFev[Saída - 1 (Almoço)]-tblHorasFev[Entrada - 1],
                   IF(OR(HOUR(tblHorasFev[Saída - 1 (Almoço)]-tblHorasFev[Entrada - 1])&gt;0,ROUND(tblHorasFev[Saída - 1 (Almoço)]-tblHorasFev[Entrada - 1],6)&gt;ROUND(CARENCIA,6)),
                          tblHorasFev[Saída - 1 (Almoço)]-tblHorasFev[Entrada - 1],
                          0)),
                    0)),0)</calculatedColumnFormula>
    </tableColumn>
    <tableColumn id="16" name="Horas Trabalhadas (2º Período)" dataDxfId="305">
      <calculatedColumnFormula>IF($B$6&lt;&gt;"",
IF(AND(tblHorasFev[Evento 
(2º Período)]&lt;&gt;"",IF(ISERROR(VLOOKUP(tblHorasFev[Evento 
(2º Período)],tblEvento[],Tabelas!$D$1,FALSE)),FALSE,VLOOKUP(tblHorasFev[Evento 
(2º Período)],tblEvento[],Tabelas!$D$1,FALSE)="Sim")),
        IF(JORNADA_PERIODO_2&lt;&gt;"",
IF(VLOOKUP(tblHorasFev[Dia],tblDiaUtil[[Abreviatura]:[2º Período]],4,FALSE)&gt;0,VLOOKUP(tblHorasFev[Dia],tblDiaUtil[[Abreviatura]:[2º Período]],4,FALSE),JORNADA_PERIODO_2),
IF(VLOOKUP(tblHorasFev[Dia],tblDiaUtil[[Abreviatura]:[2º Período]],4,FALSE)&gt;0,VLOOKUP(tblHorasFev[Dia],tblDiaUtil[[Abreviatura]:[2º Período]],4,FALSE),JORNADA/2)),
        IF(AND(ISNUMBER(tblHorasFev[Saída - 2]),ISNUMBER(tblHorasFev[Entrada - 2 (Almoço)])),
              IF(OR(AND(tblHorasFev[Evento 
(2º Período)]&lt;&gt;"",IF(ISERROR(VLOOKUP(tblHorasFev[Evento 
(2º Período)],tblEvento[],Tabelas!$E$1,FALSE)),FALSE,VLOOKUP(tblHorasFev[Evento 
(2º Período)],tblEvento[],Tabelas!$E$1,FALSE)="Sim")),IF(VLOOKUP(TEXT(tblHorasFev[Data],"dddd"),tblDiaUtil[],2,FALSE)="Não",TRUE,FALSE)),
                   tblHorasFev[Saída - 2]-tblHorasFev[Entrada - 2 (Almoço)],
                   IF(OR(HOUR(tblHorasFev[Saída - 2]-tblHorasFev[Entrada - 2 (Almoço)])&gt;0,MINUTE(tblHorasFev[Saída - 2]-tblHorasFev[Entrada - 2 (Almoço)])&gt;CARENCIA),
                         tblHorasFev[Saída - 2]-tblHorasFev[Entrada - 2 (Almoço)],
                         0)),
       0)),0)</calculatedColumnFormula>
    </tableColumn>
    <tableColumn id="8" name="Horas Trabalhadas" dataDxfId="304">
      <calculatedColumnFormula>tblHorasFev[Horas Trabalhadas (1º Período)]+tblHorasFev[Horas Trabalhadas (2º Período)]</calculatedColumnFormula>
    </tableColumn>
    <tableColumn id="17" name="Jornada Diária" dataDxfId="303">
      <calculatedColumnFormula>IF(tblHorasFev[Data]&lt;&gt;"",
        IF(
AND(VLOOKUP(TEXT(tblHorasFev[Data],"dddd"),tblDiaUtil[],3,FALSE)="Sim",IF(tblHorasFev[Evento 
(1º Período)]&lt;&gt;"",IF(VLOOKUP(tblHorasFev[Evento 
(1º Período)],tblEvento[],Tabelas!$E$1,FALSE)="Sim",FALSE,TRUE),TRUE),IF(tblHorasFev[Evento 
(2º Período)]&lt;&gt;"",IF(VLOOKUP(tblHorasFev[Evento 
(2º Período)],tblEvento[],Tabelas!$E$1,FALSE)="Sim",FALSE,TRUE),TRUE)),
              IF(VLOOKUP(tblHorasFev[Dia],tblDiaUtil[[Abreviatura]:[1º Período]],3,FALSE)&gt;0,VLOOKUP(tblHorasFev[Dia],tblDiaUtil[[Abreviatura]:[1º Período]],3,FALSE),JORNADA),
              ""),
         "")</calculatedColumnFormula>
    </tableColumn>
    <tableColumn id="11" name="Horas Trabalhadas Além Jornada" dataDxfId="10">
      <calculatedColumnFormula>IF(OR(tblHorasFev[Horas Trabalhadas (1º Período)]&lt;&gt;0,tblHorasFev[Horas Trabalhadas (2º Período)]&lt;&gt;0),
        IF(ISNUMBER(tblHorasFev[Jornada Diária]),
              IF(tblHorasFev[Jornada Diária]&gt;(tblHorasFev[Horas Trabalhadas (2º Período)]+tblHorasFev[Horas Trabalhadas (1º Período)]),
                     IF(ROUND((tblHorasFev[Jornada Diária]-(tblHorasFev[Horas Trabalhadas (2º Período)]+tblHorasFev[Horas Trabalhadas (1º Período)])),6)&gt;ROUND(CARENCIA,6),
                           -tblHorasFev[Jornada Diária]+(tblHorasFev[Horas Trabalhadas (2º Período)]+tblHorasFev[Horas Trabalhadas (1º Período)]),
                           0),
                      IF(ROUND((tblHorasFev[Jornada Diária]-(tblHorasFev[Horas Trabalhadas (2º Período)]+tblHorasFev[Horas Trabalhadas (1º Período)])),6)&lt;ROUND(-CARENCIA,6),
                           -tblHorasFev[Jornada Diária]+(tblHorasFev[Horas Trabalhadas (2º Período)]+tblHorasFev[Horas Trabalhadas (1º Período)]),
                           0)),
              tblHorasFev[Horas Trabalhadas (2º Período)]+tblHorasFev[Horas Trabalhadas (1º Período)]),
         IF(AND(IF(ISERROR(VLOOKUP(tblHorasFev[Evento 
(1º Período)],tblEvento[[Evento]:[Libera o Período]],4,FALSE)),FALSE,IF(VLOOKUP(tblHorasFev[Evento 
(1º Período)],tblEvento[[Evento]:[Libera o Período]],4,FALSE)="Não",TRUE,FALSE)),IF(ISERROR(VLOOKUP(tblHorasFev[Evento 
(2º Período)],tblEvento[[Evento]:[Libera o Período]],4,FALSE)),FALSE,IF(VLOOKUP(tblHorasFev[Evento 
(2º Período)],tblEvento[[Evento]:[Libera o Período]],4,FALSE)="Não",TRUE,FALSE))),
-IF(VLOOKUP(tblHorasFev[Dia],tblDiaUtil[[Abreviatura]:[Total Jornada]],5,FALSE)&lt;&gt;"",VLOOKUP(tblHorasFev[Dia],tblDiaUtil[[Abreviatura]:[Total Jornada]],5,FALSE),JORNADA),
IF(IF(ISERROR(VLOOKUP(tblHorasFev[Evento 
(1º Período)],tblEvento[[Evento]:[Libera o Período]],4,FALSE)),FALSE,
IF(VLOOKUP(tblHorasFev[Evento 
(1º Período)],tblEvento[[Evento]:[Libera o Período]],4,FALSE)="Não",TRUE,FALSE)
),
-IF(VLOOKUP(tblHorasFev[Dia],tblDiaUtil[[Abreviatura]:[1º Período]],3,FALSE)&lt;&gt;"",VLOOKUP(tblHorasFev[Dia],tblDiaUtil[[Abreviatura]:[1º Período]],3,FALSE),JORNADA_PERIODO_1),
IF(IF(ISERROR(VLOOKUP(tblHorasFev[Evento 
(2º Período)],tblEvento[[Evento]:[Libera o Período]],4,FALSE)),FALSE,IF(VLOOKUP(tblHorasFev[Evento 
(2º Período)],tblEvento[[Evento]:[Libera o Período]],4,FALSE)="Não",TRUE,FALSE)),
-IF(VLOOKUP(tblHorasFev[Dia],tblDiaUtil[[Abreviatura]:[2º Período]],4,FALSE)&lt;&gt;"",VLOOKUP(tblHorasFev[Dia],tblDiaUtil[[Abreviatura]:[2º Período]],4,FALSE),JORNADA_PERIODO_2),0))))</calculatedColumnFormula>
    </tableColumn>
    <tableColumn id="18" name="Saldo de Horas" dataDxfId="302">
      <calculatedColumnFormula>IF(tblHorasFev[[#This Row],[Horas Trabalhadas Além Jornada]]&gt;0,
        IF(tblHorasFev[[#This Row],[Jornada Diária]]&lt;&gt;"",
              IF(HOUR(tblHorasFev[[#This Row],[Horas Trabalhadas Além Jornada]])&gt;=VLOOKUP(LIMITE,tblLimiteHora[],Tabelas!$I$1,FALSE),
                    VLOOKUP(LIMITE,tblLimiteHora[],Tabelas!$J$1,FALSE),
                    tblHorasFev[[#This Row],[Horas Trabalhadas Além Jornada]]),
              tblHorasFev[[#This Row],[Horas Trabalhadas Além Jornada]]),
        0)</calculatedColumnFormula>
    </tableColumn>
    <tableColumn id="19" name="Atrasos_x000a_(horas)" dataDxfId="301">
      <calculatedColumnFormula>IF(tblHorasFev[Horas Trabalhadas Além Jornada]&lt;0,IF(OR(tblHorasFev[Evento 
(1º Período)]="",tblHorasFev[Evento 
(2º Período)]=""),tblHorasFev[Horas Trabalhadas Além Jornada],""),"")</calculatedColumnFormula>
    </tableColumn>
    <tableColumn id="14" name="Faltas_x000a_(dias)" dataDxfId="300">
      <calculatedColumnFormula>IF(tblHorasFev[Jornada Diária]&lt;&gt;"",IF((N(tblHorasFev[Jornada Diária])-ABS(N(tblHorasFev[Horas Trabalhadas Além Jornada])))=0,1,""),"")</calculatedColumnFormula>
    </tableColumn>
    <tableColumn id="10" name="Hora Extra Normal" dataDxfId="299">
      <calculatedColumnFormula>IF(tblHorasFev[Horas Trabalhadas Além Jornada]&gt;0,
IF(AND(VLOOKUP(TEXT(tblHorasFev[Data],"dddd"),tblDiaUtil[],3,FALSE)="Sim",IF(tblHorasFev[Evento 
(1º Período)]&lt;&gt;"",IF(VLOOKUP(tblHorasFev[Evento 
(1º Período)],tblEvento[],Tabelas!$E$1,FALSE)="Sim",FALSE,TRUE),TRUE),IF(tblHorasFev[Evento 
(2º Período)]&lt;&gt;"",IF(VLOOKUP(tblHorasFev[Evento 
(2º Período)],tblEvento[],Tabelas!$E$1,FALSE)="Sim",FALSE,TRUE),TRUE)),
tblHorasFev[Horas Trabalhadas Além Jornada],""),"")</calculatedColumnFormula>
    </tableColumn>
    <tableColumn id="9" name="Hora Extra _x000a_Especial" dataDxfId="298">
      <calculatedColumnFormula>IF(tblHorasFev[Horas Trabalhadas Além Jornada]&gt;0,
IF(OR(VLOOKUP(TEXT(tblHorasFev[Data],"dddd"),tblDiaUtil[],3,FALSE)="Não",IF(tblHorasFev[Evento 
(1º Período)]&lt;&gt;"",IF(VLOOKUP(tblHorasFev[Evento 
(1º Período)],tblEvento[],Tabelas!$E$1,FALSE)="Sim",TRUE,FALSE),FALSE),IF(tblHorasFev[Evento 
(2º Período)]&lt;&gt;"",IF(VLOOKUP(tblHorasFev[Evento 
(2º Período)],tblEvento[],Tabelas!$E$1,FALSE)="Sim",TRUE,FALSE),FALSE)),
tblHorasFev[Horas Trabalhadas Além Jornada],""),"")</calculatedColumnFormula>
    </tableColumn>
    <tableColumn id="12" name="Informação" dataDxfId="297">
      <calculatedColumnFormula>IF(tblHorasFev[Evento 
(1º Período)]&lt;&gt;""," - " &amp;VLOOKUP(tblHorasFev[Evento 
(1º Período)],tblEvento[],Tabelas!$F$1,FALSE),"")&amp;IF(AND(tblHorasFev[Evento 
(2º Período)]&lt;&gt;"",tblHorasFev[Evento 
(2º Período)]&lt;&gt;tblHorasFev[Evento 
(1º Período)])," - " &amp; VLOOKUP(tblHorasFev[Evento 
(2º Período)],tblEvento[],Tabelas!$F$1,FALSE),"")</calculatedColumnFormula>
    </tableColumn>
  </tableColumns>
  <tableStyleInfo name="TableStyleLight18" showFirstColumn="0" showLastColumn="0" showRowStripes="1" showColumnStripes="0"/>
</table>
</file>

<file path=xl/tables/table9.xml><?xml version="1.0" encoding="utf-8"?>
<table xmlns="http://schemas.openxmlformats.org/spreadsheetml/2006/main" id="7" name="tblHorasMar" displayName="tblHorasMar" ref="B8:T39" totalsRowShown="0" headerRowDxfId="285" dataDxfId="284">
  <tableColumns count="19">
    <tableColumn id="1" name="Data" dataDxfId="283">
      <calculatedColumnFormula>IF(B8&lt;&gt;"",IF(DAY(B8+1)=1,"",B8+1),"")</calculatedColumnFormula>
    </tableColumn>
    <tableColumn id="2" name="Dia" dataDxfId="282">
      <calculatedColumnFormula>TEXT(tblHorasMar[Data],"ddd")</calculatedColumnFormula>
    </tableColumn>
    <tableColumn id="3" name="Evento _x000a_(1º Período)" dataDxfId="281"/>
    <tableColumn id="4" name="Entrada - 1" dataDxfId="280"/>
    <tableColumn id="5" name="Saída - 1 (Almoço)" dataDxfId="279"/>
    <tableColumn id="6" name="Entrada - 2 (Almoço)" dataDxfId="278"/>
    <tableColumn id="7" name="Saída - 2" dataDxfId="277"/>
    <tableColumn id="13" name="Evento _x000a_(2º Período)" dataDxfId="276"/>
    <tableColumn id="15" name="Horas Trabalhadas (1º Período)" dataDxfId="275">
      <calculatedColumnFormula>IF($B$6&lt;&gt;"",
IF(AND(tblHorasMar[Evento 
(1º Período)]&lt;&gt;"",IF(ISERROR(VLOOKUP(tblHorasMar[Evento 
(1º Período)],tblEvento[],Tabelas!$D$1,FALSE)),FALSE,VLOOKUP(tblHorasMar[Evento 
(1º Período)],tblEvento[],Tabelas!$D$1,FALSE)="Sim")),
        IF(JORNADA_PERIODO_1&lt;&gt;"",
IF(VLOOKUP(tblHorasMar[Dia],tblDiaUtil[[Abreviatura]:[1º Período]],3,FALSE)&gt;0,VLOOKUP(tblHorasMar[Dia],tblDiaUtil[[Abreviatura]:[1º Período]],3,FALSE),JORNADA_PERIODO_1),
IF(VLOOKUP(tblHorasMar[Dia],tblDiaUtil[[Abreviatura]:[1º Período]],3,FALSE)&gt;0,VLOOKUP(tblHorasMar[Dia],tblDiaUtil[[Abreviatura]:[1º Período]],3,FALSE),JORNADA/2)),
        IF(AND(ISNUMBER(tblHorasMar[Saída - 1 (Almoço)]),ISNUMBER(tblHorasMar[Entrada - 1])),
              IF(OR(AND(tblHorasMar[Evento 
(1º Período)]&lt;&gt;"",IF(ISERROR(VLOOKUP(tblHorasMar[Evento 
(1º Período)],tblEvento[],Tabelas!$E$1,FALSE)),FALSE,VLOOKUP(tblHorasMar[Evento 
(1º Período)],tblEvento[],Tabelas!$E$1,FALSE)="Sim")),IF(VLOOKUP(TEXT(tblHorasMar[Data],"dddd"),tblDiaUtil[],2,FALSE)="Não",TRUE,FALSE)),
                   tblHorasMar[Saída - 1 (Almoço)]-tblHorasMar[Entrada - 1],
                   IF(OR(HOUR(tblHorasMar[Saída - 1 (Almoço)]-tblHorasMar[Entrada - 1])&gt;0,ROUND(tblHorasMar[Saída - 1 (Almoço)]-tblHorasMar[Entrada - 1],6)&gt;ROUND(CARENCIA,6)),
                          tblHorasMar[Saída - 1 (Almoço)]-tblHorasMar[Entrada - 1],
                          0)),
                    0)),0)</calculatedColumnFormula>
    </tableColumn>
    <tableColumn id="16" name="Horas Trabalhadas (2º Período)" dataDxfId="274">
      <calculatedColumnFormula>IF($B$6&lt;&gt;"",
IF(AND(tblHorasMar[Evento 
(2º Período)]&lt;&gt;"",IF(ISERROR(VLOOKUP(tblHorasMar[Evento 
(2º Período)],tblEvento[],Tabelas!$D$1,FALSE)),FALSE,VLOOKUP(tblHorasMar[Evento 
(2º Período)],tblEvento[],Tabelas!$D$1,FALSE)="Sim")),
        IF(JORNADA_PERIODO_2&lt;&gt;"",
IF(VLOOKUP(tblHorasMar[Dia],tblDiaUtil[[Abreviatura]:[2º Período]],4,FALSE)&gt;0,VLOOKUP(tblHorasMar[Dia],tblDiaUtil[[Abreviatura]:[2º Período]],4,FALSE),JORNADA_PERIODO_2),
IF(VLOOKUP(tblHorasMar[Dia],tblDiaUtil[[Abreviatura]:[2º Período]],4,FALSE)&gt;0,VLOOKUP(tblHorasMar[Dia],tblDiaUtil[[Abreviatura]:[2º Período]],4,FALSE),JORNADA/2)),
        IF(AND(ISNUMBER(tblHorasMar[Saída - 2]),ISNUMBER(tblHorasMar[Entrada - 2 (Almoço)])),
              IF(OR(AND(tblHorasMar[Evento 
(2º Período)]&lt;&gt;"",IF(ISERROR(VLOOKUP(tblHorasMar[Evento 
(2º Período)],tblEvento[],Tabelas!$E$1,FALSE)),FALSE,VLOOKUP(tblHorasMar[Evento 
(2º Período)],tblEvento[],Tabelas!$E$1,FALSE)="Sim")),IF(VLOOKUP(TEXT(tblHorasMar[Data],"dddd"),tblDiaUtil[],2,FALSE)="Não",TRUE,FALSE)),
                   tblHorasMar[Saída - 2]-tblHorasMar[Entrada - 2 (Almoço)],
                   IF(OR(HOUR(tblHorasMar[Saída - 2]-tblHorasMar[Entrada - 2 (Almoço)])&gt;0,MINUTE(tblHorasMar[Saída - 2]-tblHorasMar[Entrada - 2 (Almoço)])&gt;CARENCIA),
                         tblHorasMar[Saída - 2]-tblHorasMar[Entrada - 2 (Almoço)],
                         0)),
       0)),0)</calculatedColumnFormula>
    </tableColumn>
    <tableColumn id="8" name="Horas Trabalhadas" dataDxfId="273">
      <calculatedColumnFormula>tblHorasMar[Horas Trabalhadas (1º Período)]+tblHorasMar[Horas Trabalhadas (2º Período)]</calculatedColumnFormula>
    </tableColumn>
    <tableColumn id="17" name="Jornada Diária" dataDxfId="272">
      <calculatedColumnFormula>IF(tblHorasMar[Data]&lt;&gt;"",
        IF(
AND(VLOOKUP(TEXT(tblHorasMar[Data],"dddd"),tblDiaUtil[],3,FALSE)="Sim",IF(tblHorasMar[Evento 
(1º Período)]&lt;&gt;"",IF(VLOOKUP(tblHorasMar[Evento 
(1º Período)],tblEvento[],Tabelas!$E$1,FALSE)="Sim",FALSE,TRUE),TRUE),IF(tblHorasMar[Evento 
(2º Período)]&lt;&gt;"",IF(VLOOKUP(tblHorasMar[Evento 
(2º Período)],tblEvento[],Tabelas!$E$1,FALSE)="Sim",FALSE,TRUE),TRUE)),
              IF(VLOOKUP(tblHorasMar[Dia],tblDiaUtil[[Abreviatura]:[1º Período]],3,FALSE)&gt;0,VLOOKUP(tblHorasMar[Dia],tblDiaUtil[[Abreviatura]:[1º Período]],3,FALSE),JORNADA),
              ""),
         "")</calculatedColumnFormula>
    </tableColumn>
    <tableColumn id="11" name="Horas Trabalhadas Além Jornada" dataDxfId="9">
      <calculatedColumnFormula>IF(OR(tblHorasMar[Horas Trabalhadas (1º Período)]&lt;&gt;0,tblHorasMar[Horas Trabalhadas (2º Período)]&lt;&gt;0),
        IF(ISNUMBER(tblHorasMar[Jornada Diária]),
              IF(tblHorasMar[Jornada Diária]&gt;(tblHorasMar[Horas Trabalhadas (2º Período)]+tblHorasMar[Horas Trabalhadas (1º Período)]),
                     IF(ROUND((tblHorasMar[Jornada Diária]-(tblHorasMar[Horas Trabalhadas (2º Período)]+tblHorasMar[Horas Trabalhadas (1º Período)])),6)&gt;ROUND(CARENCIA,6),
                           -tblHorasMar[Jornada Diária]+(tblHorasMar[Horas Trabalhadas (2º Período)]+tblHorasMar[Horas Trabalhadas (1º Período)]),
                           0),
                      IF(ROUND((tblHorasMar[Jornada Diária]-(tblHorasMar[Horas Trabalhadas (2º Período)]+tblHorasMar[Horas Trabalhadas (1º Período)])),6)&lt;ROUND(-CARENCIA,6),
                           -tblHorasMar[Jornada Diária]+(tblHorasMar[Horas Trabalhadas (2º Período)]+tblHorasMar[Horas Trabalhadas (1º Período)]),
                           0)),
              tblHorasMar[Horas Trabalhadas (2º Período)]+tblHorasMar[Horas Trabalhadas (1º Período)]),
         IF(AND(IF(ISERROR(VLOOKUP(tblHorasMar[Evento 
(1º Período)],tblEvento[[Evento]:[Libera o Período]],4,FALSE)),FALSE,IF(VLOOKUP(tblHorasMar[Evento 
(1º Período)],tblEvento[[Evento]:[Libera o Período]],4,FALSE)="Não",TRUE,FALSE)),IF(ISERROR(VLOOKUP(tblHorasMar[Evento 
(2º Período)],tblEvento[[Evento]:[Libera o Período]],4,FALSE)),FALSE,IF(VLOOKUP(tblHorasMar[Evento 
(2º Período)],tblEvento[[Evento]:[Libera o Período]],4,FALSE)="Não",TRUE,FALSE))),
-IF(VLOOKUP(tblHorasMar[Dia],tblDiaUtil[[Abreviatura]:[Total Jornada]],5,FALSE)&lt;&gt;"",VLOOKUP(tblHorasMar[Dia],tblDiaUtil[[Abreviatura]:[Total Jornada]],5,FALSE),JORNADA),
IF(IF(ISERROR(VLOOKUP(tblHorasMar[Evento 
(1º Período)],tblEvento[[Evento]:[Libera o Período]],4,FALSE)),FALSE,
IF(VLOOKUP(tblHorasMar[Evento 
(1º Período)],tblEvento[[Evento]:[Libera o Período]],4,FALSE)="Não",TRUE,FALSE)
),
-IF(VLOOKUP(tblHorasMar[Dia],tblDiaUtil[[Abreviatura]:[1º Período]],3,FALSE)&lt;&gt;"",VLOOKUP(tblHorasMar[Dia],tblDiaUtil[[Abreviatura]:[1º Período]],3,FALSE),JORNADA_PERIODO_1),
IF(IF(ISERROR(VLOOKUP(tblHorasMar[Evento 
(2º Período)],tblEvento[[Evento]:[Libera o Período]],4,FALSE)),FALSE,IF(VLOOKUP(tblHorasMar[Evento 
(2º Período)],tblEvento[[Evento]:[Libera o Período]],4,FALSE)="Não",TRUE,FALSE)),
-IF(VLOOKUP(tblHorasMar[Dia],tblDiaUtil[[Abreviatura]:[2º Período]],4,FALSE)&lt;&gt;"",VLOOKUP(tblHorasMar[Dia],tblDiaUtil[[Abreviatura]:[2º Período]],4,FALSE),JORNADA_PERIODO_2),0))))</calculatedColumnFormula>
    </tableColumn>
    <tableColumn id="18" name="Saldo de Horas" dataDxfId="271">
      <calculatedColumnFormula>IF(tblHorasMar[[#This Row],[Horas Trabalhadas Além Jornada]]&gt;0,
        IF(tblHorasMar[[#This Row],[Jornada Diária]]&lt;&gt;"",
              IF(HOUR(tblHorasMar[[#This Row],[Horas Trabalhadas Além Jornada]])&gt;=VLOOKUP(LIMITE,tblLimiteHora[],Tabelas!$I$1,FALSE),
                    VLOOKUP(LIMITE,tblLimiteHora[],Tabelas!$J$1,FALSE),
                    tblHorasMar[[#This Row],[Horas Trabalhadas Além Jornada]]),
              tblHorasMar[[#This Row],[Horas Trabalhadas Além Jornada]]),
        0)</calculatedColumnFormula>
    </tableColumn>
    <tableColumn id="19" name="Atrasos_x000a_(horas)" dataDxfId="270">
      <calculatedColumnFormula>IF(tblHorasMar[Horas Trabalhadas Além Jornada]&lt;0,IF(OR(tblHorasMar[Evento 
(1º Período)]="",tblHorasMar[Evento 
(2º Período)]=""),tblHorasMar[Horas Trabalhadas Além Jornada],""),"")</calculatedColumnFormula>
    </tableColumn>
    <tableColumn id="14" name="Faltas_x000a_(dias)" dataDxfId="269">
      <calculatedColumnFormula>IF(tblHorasMar[Jornada Diária]&lt;&gt;"",IF((N(tblHorasMar[Jornada Diária])-ABS(N(tblHorasMar[Horas Trabalhadas Além Jornada])))=0,1,""),"")</calculatedColumnFormula>
    </tableColumn>
    <tableColumn id="10" name="Hora Extra Normal" dataDxfId="268">
      <calculatedColumnFormula>IF(tblHorasMar[Horas Trabalhadas Além Jornada]&gt;0,
IF(AND(VLOOKUP(TEXT(tblHorasMar[Data],"dddd"),tblDiaUtil[],3,FALSE)="Sim",IF(tblHorasMar[Evento 
(1º Período)]&lt;&gt;"",IF(VLOOKUP(tblHorasMar[Evento 
(1º Período)],tblEvento[],Tabelas!$E$1,FALSE)="Sim",FALSE,TRUE),TRUE),IF(tblHorasMar[Evento 
(2º Período)]&lt;&gt;"",IF(VLOOKUP(tblHorasMar[Evento 
(2º Período)],tblEvento[],Tabelas!$E$1,FALSE)="Sim",FALSE,TRUE),TRUE)),
tblHorasMar[Horas Trabalhadas Além Jornada],""),"")</calculatedColumnFormula>
    </tableColumn>
    <tableColumn id="9" name="Hora Extra _x000a_Especial" dataDxfId="267">
      <calculatedColumnFormula>IF(tblHorasMar[Horas Trabalhadas Além Jornada]&gt;0,
IF(OR(VLOOKUP(TEXT(tblHorasMar[Data],"dddd"),tblDiaUtil[],3,FALSE)="Não",IF(tblHorasMar[Evento 
(1º Período)]&lt;&gt;"",IF(VLOOKUP(tblHorasMar[Evento 
(1º Período)],tblEvento[],Tabelas!$E$1,FALSE)="Sim",TRUE,FALSE),FALSE),IF(tblHorasMar[Evento 
(2º Período)]&lt;&gt;"",IF(VLOOKUP(tblHorasMar[Evento 
(2º Período)],tblEvento[],Tabelas!$E$1,FALSE)="Sim",TRUE,FALSE),FALSE)),
tblHorasMar[Horas Trabalhadas Além Jornada],""),"")</calculatedColumnFormula>
    </tableColumn>
    <tableColumn id="12" name="Informação" dataDxfId="266">
      <calculatedColumnFormula>IF(tblHorasMar[Evento 
(1º Período)]&lt;&gt;""," - " &amp;VLOOKUP(tblHorasMar[Evento 
(1º Período)],tblEvento[],Tabelas!$F$1,FALSE),"")&amp;IF(AND(tblHorasMar[Evento 
(2º Período)]&lt;&gt;"",tblHorasMar[Evento 
(2º Período)]&lt;&gt;tblHorasMar[Evento 
(1º Período)])," - " &amp; VLOOKUP(tblHorasMar[Evento 
(2º Período)],tblEvento[],Tabelas!$F$1,FALSE),"")</calculatedColumnFormula>
    </tableColumn>
  </tableColumns>
  <tableStyleInfo name="TableStyleLight18" showFirstColumn="0" showLastColumn="0" showRowStripes="1" showColumnStripes="0"/>
</table>
</file>

<file path=xl/tables/table10.xml><?xml version="1.0" encoding="utf-8"?>
<table xmlns="http://schemas.openxmlformats.org/spreadsheetml/2006/main" id="8" name="tblHorasAbr" displayName="tblHorasAbr" ref="B8:T39" totalsRowShown="0" headerRowDxfId="254" dataDxfId="253">
  <tableColumns count="19">
    <tableColumn id="1" name="Data" dataDxfId="252">
      <calculatedColumnFormula>IF(B8&lt;&gt;"",IF(DAY(B8+1)=1,"",B8+1),"")</calculatedColumnFormula>
    </tableColumn>
    <tableColumn id="2" name="Dia" dataDxfId="251">
      <calculatedColumnFormula>TEXT(tblHorasAbr[Data],"ddd")</calculatedColumnFormula>
    </tableColumn>
    <tableColumn id="3" name="Evento _x000a_(1º Período)" dataDxfId="250"/>
    <tableColumn id="4" name="Entrada - 1" dataDxfId="249"/>
    <tableColumn id="5" name="Saída - 1 (Almoço)" dataDxfId="248"/>
    <tableColumn id="6" name="Entrada - 2 (Almoço)" dataDxfId="247"/>
    <tableColumn id="7" name="Saída - 2" dataDxfId="246"/>
    <tableColumn id="13" name="Evento _x000a_(2º Período)" dataDxfId="245"/>
    <tableColumn id="15" name="Horas Trabalhadas (1º Período)" dataDxfId="244">
      <calculatedColumnFormula>IF($B$6&lt;&gt;"",
IF(AND(tblHorasAbr[Evento 
(1º Período)]&lt;&gt;"",IF(ISERROR(VLOOKUP(tblHorasAbr[Evento 
(1º Período)],tblEvento[],Tabelas!$D$1,FALSE)),FALSE,VLOOKUP(tblHorasAbr[Evento 
(1º Período)],tblEvento[],Tabelas!$D$1,FALSE)="Sim")),
        IF(JORNADA_PERIODO_1&lt;&gt;"",
IF(VLOOKUP(tblHorasAbr[Dia],tblDiaUtil[[Abreviatura]:[1º Período]],3,FALSE)&gt;0,VLOOKUP(tblHorasAbr[Dia],tblDiaUtil[[Abreviatura]:[1º Período]],3,FALSE),JORNADA_PERIODO_1),
IF(VLOOKUP(tblHorasAbr[Dia],tblDiaUtil[[Abreviatura]:[1º Período]],3,FALSE)&gt;0,VLOOKUP(tblHorasAbr[Dia],tblDiaUtil[[Abreviatura]:[1º Período]],3,FALSE),JORNADA/2)),
        IF(AND(ISNUMBER(tblHorasAbr[Saída - 1 (Almoço)]),ISNUMBER(tblHorasAbr[Entrada - 1])),
              IF(OR(AND(tblHorasAbr[Evento 
(1º Período)]&lt;&gt;"",IF(ISERROR(VLOOKUP(tblHorasAbr[Evento 
(1º Período)],tblEvento[],Tabelas!$E$1,FALSE)),FALSE,VLOOKUP(tblHorasAbr[Evento 
(1º Período)],tblEvento[],Tabelas!$E$1,FALSE)="Sim")),IF(VLOOKUP(TEXT(tblHorasAbr[Data],"dddd"),tblDiaUtil[],2,FALSE)="Não",TRUE,FALSE)),
                   tblHorasAbr[Saída - 1 (Almoço)]-tblHorasAbr[Entrada - 1],
                   IF(OR(HOUR(tblHorasAbr[Saída - 1 (Almoço)]-tblHorasAbr[Entrada - 1])&gt;0,ROUND(tblHorasAbr[Saída - 1 (Almoço)]-tblHorasAbr[Entrada - 1],6)&gt;ROUND(CARENCIA,6)),
                          tblHorasAbr[Saída - 1 (Almoço)]-tblHorasAbr[Entrada - 1],
                          0)),
                    0)),0)</calculatedColumnFormula>
    </tableColumn>
    <tableColumn id="16" name="Horas Trabalhadas (2º Período)" dataDxfId="243">
      <calculatedColumnFormula>IF($B$6&lt;&gt;"",
IF(AND(tblHorasAbr[Evento 
(2º Período)]&lt;&gt;"",IF(ISERROR(VLOOKUP(tblHorasAbr[Evento 
(2º Período)],tblEvento[],Tabelas!$D$1,FALSE)),FALSE,VLOOKUP(tblHorasAbr[Evento 
(2º Período)],tblEvento[],Tabelas!$D$1,FALSE)="Sim")),
        IF(JORNADA_PERIODO_2&lt;&gt;"",
IF(VLOOKUP(tblHorasAbr[Dia],tblDiaUtil[[Abreviatura]:[2º Período]],4,FALSE)&gt;0,VLOOKUP(tblHorasAbr[Dia],tblDiaUtil[[Abreviatura]:[2º Período]],4,FALSE),JORNADA_PERIODO_2),
IF(VLOOKUP(tblHorasAbr[Dia],tblDiaUtil[[Abreviatura]:[2º Período]],4,FALSE)&gt;0,VLOOKUP(tblHorasAbr[Dia],tblDiaUtil[[Abreviatura]:[2º Período]],4,FALSE),JORNADA/2)),
        IF(AND(ISNUMBER(tblHorasAbr[Saída - 2]),ISNUMBER(tblHorasAbr[Entrada - 2 (Almoço)])),
              IF(OR(AND(tblHorasAbr[Evento 
(2º Período)]&lt;&gt;"",IF(ISERROR(VLOOKUP(tblHorasAbr[Evento 
(2º Período)],tblEvento[],Tabelas!$E$1,FALSE)),FALSE,VLOOKUP(tblHorasAbr[Evento 
(2º Período)],tblEvento[],Tabelas!$E$1,FALSE)="Sim")),IF(VLOOKUP(TEXT(tblHorasAbr[Data],"dddd"),tblDiaUtil[],2,FALSE)="Não",TRUE,FALSE)),
                   tblHorasAbr[Saída - 2]-tblHorasAbr[Entrada - 2 (Almoço)],
                   IF(OR(HOUR(tblHorasAbr[Saída - 2]-tblHorasAbr[Entrada - 2 (Almoço)])&gt;0,MINUTE(tblHorasAbr[Saída - 2]-tblHorasAbr[Entrada - 2 (Almoço)])&gt;CARENCIA),
                         tblHorasAbr[Saída - 2]-tblHorasAbr[Entrada - 2 (Almoço)],
                         0)),
       0)),0)</calculatedColumnFormula>
    </tableColumn>
    <tableColumn id="8" name="Horas Trabalhadas" dataDxfId="242">
      <calculatedColumnFormula>tblHorasAbr[Horas Trabalhadas (1º Período)]+tblHorasAbr[Horas Trabalhadas (2º Período)]</calculatedColumnFormula>
    </tableColumn>
    <tableColumn id="17" name="Jornada Diária" dataDxfId="241">
      <calculatedColumnFormula>IF(tblHorasAbr[Data]&lt;&gt;"",
        IF(
AND(VLOOKUP(TEXT(tblHorasAbr[Data],"dddd"),tblDiaUtil[],3,FALSE)="Sim",IF(tblHorasAbr[Evento 
(1º Período)]&lt;&gt;"",IF(VLOOKUP(tblHorasAbr[Evento 
(1º Período)],tblEvento[],Tabelas!$E$1,FALSE)="Sim",FALSE,TRUE),TRUE),IF(tblHorasAbr[Evento 
(2º Período)]&lt;&gt;"",IF(VLOOKUP(tblHorasAbr[Evento 
(2º Período)],tblEvento[],Tabelas!$E$1,FALSE)="Sim",FALSE,TRUE),TRUE)),
              IF(VLOOKUP(tblHorasAbr[Dia],tblDiaUtil[[Abreviatura]:[1º Período]],3,FALSE)&gt;0,VLOOKUP(tblHorasAbr[Dia],tblDiaUtil[[Abreviatura]:[1º Período]],3,FALSE),JORNADA),
              ""),
         "")</calculatedColumnFormula>
    </tableColumn>
    <tableColumn id="11" name="Horas Trabalhadas Além Jornada" dataDxfId="8">
      <calculatedColumnFormula>IF(OR(tblHorasAbr[Horas Trabalhadas (1º Período)]&lt;&gt;0,tblHorasAbr[Horas Trabalhadas (2º Período)]&lt;&gt;0),
        IF(ISNUMBER(tblHorasAbr[Jornada Diária]),
              IF(tblHorasAbr[Jornada Diária]&gt;(tblHorasAbr[Horas Trabalhadas (2º Período)]+tblHorasAbr[Horas Trabalhadas (1º Período)]),
                     IF(ROUND((tblHorasAbr[Jornada Diária]-(tblHorasAbr[Horas Trabalhadas (2º Período)]+tblHorasAbr[Horas Trabalhadas (1º Período)])),6)&gt;ROUND(CARENCIA,6),
                           -tblHorasAbr[Jornada Diária]+(tblHorasAbr[Horas Trabalhadas (2º Período)]+tblHorasAbr[Horas Trabalhadas (1º Período)]),
                           0),
                      IF(ROUND((tblHorasAbr[Jornada Diária]-(tblHorasAbr[Horas Trabalhadas (2º Período)]+tblHorasAbr[Horas Trabalhadas (1º Período)])),6)&lt;ROUND(-CARENCIA,6),
                           -tblHorasAbr[Jornada Diária]+(tblHorasAbr[Horas Trabalhadas (2º Período)]+tblHorasAbr[Horas Trabalhadas (1º Período)]),
                           0)),
              tblHorasAbr[Horas Trabalhadas (2º Período)]+tblHorasAbr[Horas Trabalhadas (1º Período)]),
         IF(AND(IF(ISERROR(VLOOKUP(tblHorasAbr[Evento 
(1º Período)],tblEvento[[Evento]:[Libera o Período]],4,FALSE)),FALSE,IF(VLOOKUP(tblHorasAbr[Evento 
(1º Período)],tblEvento[[Evento]:[Libera o Período]],4,FALSE)="Não",TRUE,FALSE)),IF(ISERROR(VLOOKUP(tblHorasAbr[Evento 
(2º Período)],tblEvento[[Evento]:[Libera o Período]],4,FALSE)),FALSE,IF(VLOOKUP(tblHorasAbr[Evento 
(2º Período)],tblEvento[[Evento]:[Libera o Período]],4,FALSE)="Não",TRUE,FALSE))),
-IF(VLOOKUP(tblHorasAbr[Dia],tblDiaUtil[[Abreviatura]:[Total Jornada]],5,FALSE)&lt;&gt;"",VLOOKUP(tblHorasAbr[Dia],tblDiaUtil[[Abreviatura]:[Total Jornada]],5,FALSE),JORNADA),
IF(IF(ISERROR(VLOOKUP(tblHorasAbr[Evento 
(1º Período)],tblEvento[[Evento]:[Libera o Período]],4,FALSE)),FALSE,
IF(VLOOKUP(tblHorasAbr[Evento 
(1º Período)],tblEvento[[Evento]:[Libera o Período]],4,FALSE)="Não",TRUE,FALSE)
),
-IF(VLOOKUP(tblHorasAbr[Dia],tblDiaUtil[[Abreviatura]:[1º Período]],3,FALSE)&lt;&gt;"",VLOOKUP(tblHorasAbr[Dia],tblDiaUtil[[Abreviatura]:[1º Período]],3,FALSE),JORNADA_PERIODO_1),
IF(IF(ISERROR(VLOOKUP(tblHorasAbr[Evento 
(2º Período)],tblEvento[[Evento]:[Libera o Período]],4,FALSE)),FALSE,IF(VLOOKUP(tblHorasAbr[Evento 
(2º Período)],tblEvento[[Evento]:[Libera o Período]],4,FALSE)="Não",TRUE,FALSE)),
-IF(VLOOKUP(tblHorasAbr[Dia],tblDiaUtil[[Abreviatura]:[2º Período]],4,FALSE)&lt;&gt;"",VLOOKUP(tblHorasAbr[Dia],tblDiaUtil[[Abreviatura]:[2º Período]],4,FALSE),JORNADA_PERIODO_2),0))))</calculatedColumnFormula>
    </tableColumn>
    <tableColumn id="18" name="Saldo de Horas" dataDxfId="240">
      <calculatedColumnFormula>IF(tblHorasAbr[[#This Row],[Horas Trabalhadas Além Jornada]]&gt;0,
        IF(tblHorasAbr[[#This Row],[Jornada Diária]]&lt;&gt;"",
              IF(HOUR(tblHorasAbr[[#This Row],[Horas Trabalhadas Além Jornada]])&gt;=VLOOKUP(LIMITE,tblLimiteHora[],Tabelas!$I$1,FALSE),
                    VLOOKUP(LIMITE,tblLimiteHora[],Tabelas!$J$1,FALSE),
                    tblHorasAbr[[#This Row],[Horas Trabalhadas Além Jornada]]),
              tblHorasAbr[[#This Row],[Horas Trabalhadas Além Jornada]]),
        0)</calculatedColumnFormula>
    </tableColumn>
    <tableColumn id="19" name="Atrasos_x000a_(horas)" dataDxfId="239">
      <calculatedColumnFormula>IF(tblHorasAbr[Horas Trabalhadas Além Jornada]&lt;0,IF(OR(tblHorasAbr[Evento 
(1º Período)]="",tblHorasAbr[Evento 
(2º Período)]=""),tblHorasAbr[Horas Trabalhadas Além Jornada],""),"")</calculatedColumnFormula>
    </tableColumn>
    <tableColumn id="14" name="Faltas_x000a_(dias)" dataDxfId="238">
      <calculatedColumnFormula>IF(tblHorasAbr[Jornada Diária]&lt;&gt;"",IF((N(tblHorasAbr[Jornada Diária])-ABS(N(tblHorasAbr[Horas Trabalhadas Além Jornada])))=0,1,""),"")</calculatedColumnFormula>
    </tableColumn>
    <tableColumn id="10" name="Hora Extra Normal" dataDxfId="237">
      <calculatedColumnFormula>IF(tblHorasAbr[Horas Trabalhadas Além Jornada]&gt;0,
IF(AND(VLOOKUP(TEXT(tblHorasAbr[Data],"dddd"),tblDiaUtil[],3,FALSE)="Sim",IF(tblHorasAbr[Evento 
(1º Período)]&lt;&gt;"",IF(VLOOKUP(tblHorasAbr[Evento 
(1º Período)],tblEvento[],Tabelas!$E$1,FALSE)="Sim",FALSE,TRUE),TRUE),IF(tblHorasAbr[Evento 
(2º Período)]&lt;&gt;"",IF(VLOOKUP(tblHorasAbr[Evento 
(2º Período)],tblEvento[],Tabelas!$E$1,FALSE)="Sim",FALSE,TRUE),TRUE)),
tblHorasAbr[Horas Trabalhadas Além Jornada],""),"")</calculatedColumnFormula>
    </tableColumn>
    <tableColumn id="9" name="Hora Extra _x000a_Especial" dataDxfId="236">
      <calculatedColumnFormula>IF(tblHorasAbr[Horas Trabalhadas Além Jornada]&gt;0,
IF(OR(VLOOKUP(TEXT(tblHorasAbr[Data],"dddd"),tblDiaUtil[],3,FALSE)="Não",IF(tblHorasAbr[Evento 
(1º Período)]&lt;&gt;"",IF(VLOOKUP(tblHorasAbr[Evento 
(1º Período)],tblEvento[],Tabelas!$E$1,FALSE)="Sim",TRUE,FALSE),FALSE),IF(tblHorasAbr[Evento 
(2º Período)]&lt;&gt;"",IF(VLOOKUP(tblHorasAbr[Evento 
(2º Período)],tblEvento[],Tabelas!$E$1,FALSE)="Sim",TRUE,FALSE),FALSE)),
tblHorasAbr[Horas Trabalhadas Além Jornada],""),"")</calculatedColumnFormula>
    </tableColumn>
    <tableColumn id="12" name="Informação" dataDxfId="235">
      <calculatedColumnFormula>IF(tblHorasAbr[Evento 
(1º Período)]&lt;&gt;""," - " &amp;VLOOKUP(tblHorasAbr[Evento 
(1º Período)],tblEvento[],Tabelas!$F$1,FALSE),"")&amp;IF(AND(tblHorasAbr[Evento 
(2º Período)]&lt;&gt;"",tblHorasAbr[Evento 
(2º Período)]&lt;&gt;tblHorasAbr[Evento 
(1º Período)])," - " &amp; VLOOKUP(tblHorasAbr[Evento 
(2º Período)],tblEvento[],Tabelas!$F$1,FALSE),"")</calculatedColumnFormula>
    </tableColumn>
  </tableColumns>
  <tableStyleInfo name="TableStyleLight18" showFirstColumn="0" showLastColumn="0" showRowStripes="1" showColumnStripes="0"/>
</table>
</file>

<file path=xl/tables/table11.xml><?xml version="1.0" encoding="utf-8"?>
<table xmlns="http://schemas.openxmlformats.org/spreadsheetml/2006/main" id="9" name="tblHorasMai" displayName="tblHorasMai" ref="B8:T39" totalsRowShown="0" headerRowDxfId="226" dataDxfId="225">
  <tableColumns count="19">
    <tableColumn id="1" name="Data" dataDxfId="224">
      <calculatedColumnFormula>IF(B8&lt;&gt;"",IF(DAY(B8+1)=1,"",B8+1),"")</calculatedColumnFormula>
    </tableColumn>
    <tableColumn id="2" name="Dia" dataDxfId="223">
      <calculatedColumnFormula>TEXT(tblHorasMai[Data],"ddd")</calculatedColumnFormula>
    </tableColumn>
    <tableColumn id="3" name="Evento _x000a_(1º Período)" dataDxfId="222"/>
    <tableColumn id="4" name="Entrada - 1" dataDxfId="221"/>
    <tableColumn id="5" name="Saída - 1 (Almoço)" dataDxfId="220"/>
    <tableColumn id="6" name="Entrada - 2 (Almoço)" dataDxfId="219"/>
    <tableColumn id="7" name="Saída - 2" dataDxfId="218"/>
    <tableColumn id="13" name="Evento _x000a_(2º Período)" dataDxfId="217"/>
    <tableColumn id="15" name="Horas Trabalhadas (1º Período)" dataDxfId="216">
      <calculatedColumnFormula>IF($B$6&lt;&gt;"",
IF(AND(tblHorasMai[Evento 
(1º Período)]&lt;&gt;"",IF(ISERROR(VLOOKUP(tblHorasMai[Evento 
(1º Período)],tblEvento[],Tabelas!$D$1,FALSE)),FALSE,VLOOKUP(tblHorasMai[Evento 
(1º Período)],tblEvento[],Tabelas!$D$1,FALSE)="Sim")),
        IF(JORNADA_PERIODO_1&lt;&gt;"",
IF(VLOOKUP(tblHorasMai[Dia],tblDiaUtil[[Abreviatura]:[1º Período]],3,FALSE)&gt;0,VLOOKUP(tblHorasMai[Dia],tblDiaUtil[[Abreviatura]:[1º Período]],3,FALSE),JORNADA_PERIODO_1),
IF(VLOOKUP(tblHorasMai[Dia],tblDiaUtil[[Abreviatura]:[1º Período]],3,FALSE)&gt;0,VLOOKUP(tblHorasMai[Dia],tblDiaUtil[[Abreviatura]:[1º Período]],3,FALSE),JORNADA/2)),
        IF(AND(ISNUMBER(tblHorasMai[Saída - 1 (Almoço)]),ISNUMBER(tblHorasMai[Entrada - 1])),
              IF(OR(AND(tblHorasMai[Evento 
(1º Período)]&lt;&gt;"",IF(ISERROR(VLOOKUP(tblHorasMai[Evento 
(1º Período)],tblEvento[],Tabelas!$E$1,FALSE)),FALSE,VLOOKUP(tblHorasMai[Evento 
(1º Período)],tblEvento[],Tabelas!$E$1,FALSE)="Sim")),IF(VLOOKUP(TEXT(tblHorasMai[Data],"dddd"),tblDiaUtil[],2,FALSE)="Não",TRUE,FALSE)),
                   tblHorasMai[Saída - 1 (Almoço)]-tblHorasMai[Entrada - 1],
                   IF(OR(HOUR(tblHorasMai[Saída - 1 (Almoço)]-tblHorasMai[Entrada - 1])&gt;0,ROUND(tblHorasMai[Saída - 1 (Almoço)]-tblHorasMai[Entrada - 1],6)&gt;ROUND(CARENCIA,6)),
                          tblHorasMai[Saída - 1 (Almoço)]-tblHorasMai[Entrada - 1],
                          0)),
                    0)),0)</calculatedColumnFormula>
    </tableColumn>
    <tableColumn id="16" name="Horas Trabalhadas (2º Período)" dataDxfId="215">
      <calculatedColumnFormula>IF($B$6&lt;&gt;"",
IF(AND(tblHorasMai[Evento 
(2º Período)]&lt;&gt;"",IF(ISERROR(VLOOKUP(tblHorasMai[Evento 
(2º Período)],tblEvento[],Tabelas!$D$1,FALSE)),FALSE,VLOOKUP(tblHorasMai[Evento 
(2º Período)],tblEvento[],Tabelas!$D$1,FALSE)="Sim")),
        IF(JORNADA_PERIODO_2&lt;&gt;"",
IF(VLOOKUP(tblHorasMai[Dia],tblDiaUtil[[Abreviatura]:[2º Período]],4,FALSE)&gt;0,VLOOKUP(tblHorasMai[Dia],tblDiaUtil[[Abreviatura]:[2º Período]],4,FALSE),JORNADA_PERIODO_2),
IF(VLOOKUP(tblHorasMai[Dia],tblDiaUtil[[Abreviatura]:[2º Período]],4,FALSE)&gt;0,VLOOKUP(tblHorasMai[Dia],tblDiaUtil[[Abreviatura]:[2º Período]],4,FALSE),JORNADA/2)),
        IF(AND(ISNUMBER(tblHorasMai[Saída - 2]),ISNUMBER(tblHorasMai[Entrada - 2 (Almoço)])),
              IF(OR(AND(tblHorasMai[Evento 
(2º Período)]&lt;&gt;"",IF(ISERROR(VLOOKUP(tblHorasMai[Evento 
(2º Período)],tblEvento[],Tabelas!$E$1,FALSE)),FALSE,VLOOKUP(tblHorasMai[Evento 
(2º Período)],tblEvento[],Tabelas!$E$1,FALSE)="Sim")),IF(VLOOKUP(TEXT(tblHorasMai[Data],"dddd"),tblDiaUtil[],2,FALSE)="Não",TRUE,FALSE)),
                   tblHorasMai[Saída - 2]-tblHorasMai[Entrada - 2 (Almoço)],
                   IF(OR(HOUR(tblHorasMai[Saída - 2]-tblHorasMai[Entrada - 2 (Almoço)])&gt;0,MINUTE(tblHorasMai[Saída - 2]-tblHorasMai[Entrada - 2 (Almoço)])&gt;CARENCIA),
                         tblHorasMai[Saída - 2]-tblHorasMai[Entrada - 2 (Almoço)],
                         0)),
       0)),0)</calculatedColumnFormula>
    </tableColumn>
    <tableColumn id="8" name="Horas Trabalhadas" dataDxfId="214">
      <calculatedColumnFormula>tblHorasMai[Horas Trabalhadas (1º Período)]+tblHorasMai[Horas Trabalhadas (2º Período)]</calculatedColumnFormula>
    </tableColumn>
    <tableColumn id="17" name="Jornada Diária" dataDxfId="213">
      <calculatedColumnFormula>IF(tblHorasMai[Data]&lt;&gt;"",
        IF(
AND(VLOOKUP(TEXT(tblHorasMai[Data],"dddd"),tblDiaUtil[],3,FALSE)="Sim",IF(tblHorasMai[Evento 
(1º Período)]&lt;&gt;"",IF(VLOOKUP(tblHorasMai[Evento 
(1º Período)],tblEvento[],Tabelas!$E$1,FALSE)="Sim",FALSE,TRUE),TRUE),IF(tblHorasMai[Evento 
(2º Período)]&lt;&gt;"",IF(VLOOKUP(tblHorasMai[Evento 
(2º Período)],tblEvento[],Tabelas!$E$1,FALSE)="Sim",FALSE,TRUE),TRUE)),
              IF(VLOOKUP(tblHorasMai[Dia],tblDiaUtil[[Abreviatura]:[1º Período]],3,FALSE)&gt;0,VLOOKUP(tblHorasMai[Dia],tblDiaUtil[[Abreviatura]:[1º Período]],3,FALSE),JORNADA),
              ""),
         "")</calculatedColumnFormula>
    </tableColumn>
    <tableColumn id="11" name="Horas Trabalhadas Além Jornada" dataDxfId="7">
      <calculatedColumnFormula>IF(OR(tblHorasMai[Horas Trabalhadas (1º Período)]&lt;&gt;0,tblHorasMai[Horas Trabalhadas (2º Período)]&lt;&gt;0),
        IF(ISNUMBER(tblHorasMai[Jornada Diária]),
              IF(tblHorasMai[Jornada Diária]&gt;(tblHorasMai[Horas Trabalhadas (2º Período)]+tblHorasMai[Horas Trabalhadas (1º Período)]),
                     IF(ROUND((tblHorasMai[Jornada Diária]-(tblHorasMai[Horas Trabalhadas (2º Período)]+tblHorasMai[Horas Trabalhadas (1º Período)])),6)&gt;ROUND(CARENCIA,6),
                           -tblHorasMai[Jornada Diária]+(tblHorasMai[Horas Trabalhadas (2º Período)]+tblHorasMai[Horas Trabalhadas (1º Período)]),
                           0),
                      IF(ROUND((tblHorasMai[Jornada Diária]-(tblHorasMai[Horas Trabalhadas (2º Período)]+tblHorasMai[Horas Trabalhadas (1º Período)])),6)&lt;ROUND(-CARENCIA,6),
                           -tblHorasMai[Jornada Diária]+(tblHorasMai[Horas Trabalhadas (2º Período)]+tblHorasMai[Horas Trabalhadas (1º Período)]),
                           0)),
              tblHorasMai[Horas Trabalhadas (2º Período)]+tblHorasMai[Horas Trabalhadas (1º Período)]),
         IF(AND(IF(ISERROR(VLOOKUP(tblHorasMai[Evento 
(1º Período)],tblEvento[[Evento]:[Libera o Período]],4,FALSE)),FALSE,IF(VLOOKUP(tblHorasMai[Evento 
(1º Período)],tblEvento[[Evento]:[Libera o Período]],4,FALSE)="Não",TRUE,FALSE)),IF(ISERROR(VLOOKUP(tblHorasMai[Evento 
(2º Período)],tblEvento[[Evento]:[Libera o Período]],4,FALSE)),FALSE,IF(VLOOKUP(tblHorasMai[Evento 
(2º Período)],tblEvento[[Evento]:[Libera o Período]],4,FALSE)="Não",TRUE,FALSE))),
-IF(VLOOKUP(tblHorasMai[Dia],tblDiaUtil[[Abreviatura]:[Total Jornada]],5,FALSE)&lt;&gt;"",VLOOKUP(tblHorasMai[Dia],tblDiaUtil[[Abreviatura]:[Total Jornada]],5,FALSE),JORNADA),
IF(IF(ISERROR(VLOOKUP(tblHorasMai[Evento 
(1º Período)],tblEvento[[Evento]:[Libera o Período]],4,FALSE)),FALSE,
IF(VLOOKUP(tblHorasMai[Evento 
(1º Período)],tblEvento[[Evento]:[Libera o Período]],4,FALSE)="Não",TRUE,FALSE)
),
-IF(VLOOKUP(tblHorasMai[Dia],tblDiaUtil[[Abreviatura]:[1º Período]],3,FALSE)&lt;&gt;"",VLOOKUP(tblHorasMai[Dia],tblDiaUtil[[Abreviatura]:[1º Período]],3,FALSE),JORNADA_PERIODO_1),
IF(IF(ISERROR(VLOOKUP(tblHorasMai[Evento 
(2º Período)],tblEvento[[Evento]:[Libera o Período]],4,FALSE)),FALSE,IF(VLOOKUP(tblHorasMai[Evento 
(2º Período)],tblEvento[[Evento]:[Libera o Período]],4,FALSE)="Não",TRUE,FALSE)),
-IF(VLOOKUP(tblHorasMai[Dia],tblDiaUtil[[Abreviatura]:[2º Período]],4,FALSE)&lt;&gt;"",VLOOKUP(tblHorasMai[Dia],tblDiaUtil[[Abreviatura]:[2º Período]],4,FALSE),JORNADA_PERIODO_2),0))))</calculatedColumnFormula>
    </tableColumn>
    <tableColumn id="18" name="Saldo de Horas" dataDxfId="212">
      <calculatedColumnFormula>IF(tblHorasMai[[#This Row],[Horas Trabalhadas Além Jornada]]&gt;0,
        IF(tblHorasMai[[#This Row],[Jornada Diária]]&lt;&gt;"",
              IF(HOUR(tblHorasMai[[#This Row],[Horas Trabalhadas Além Jornada]])&gt;=VLOOKUP(LIMITE,tblLimiteHora[],Tabelas!$I$1,FALSE),
                    VLOOKUP(LIMITE,tblLimiteHora[],Tabelas!$J$1,FALSE),
                    tblHorasMai[[#This Row],[Horas Trabalhadas Além Jornada]]),
              tblHorasMai[[#This Row],[Horas Trabalhadas Além Jornada]]),
        0)</calculatedColumnFormula>
    </tableColumn>
    <tableColumn id="19" name="Atrasos_x000a_(horas)" dataDxfId="211">
      <calculatedColumnFormula>IF(tblHorasMai[Horas Trabalhadas Além Jornada]&lt;0,IF(OR(tblHorasMai[Evento 
(1º Período)]="",tblHorasMai[Evento 
(2º Período)]=""),tblHorasMai[Horas Trabalhadas Além Jornada],""),"")</calculatedColumnFormula>
    </tableColumn>
    <tableColumn id="14" name="Faltas_x000a_(dias)" dataDxfId="210">
      <calculatedColumnFormula>IF(tblHorasMai[Jornada Diária]&lt;&gt;"",IF((N(tblHorasMai[Jornada Diária])-ABS(N(tblHorasMai[Horas Trabalhadas Além Jornada])))=0,1,""),"")</calculatedColumnFormula>
    </tableColumn>
    <tableColumn id="10" name="Hora Extra Normal" dataDxfId="209">
      <calculatedColumnFormula>IF(tblHorasMai[Horas Trabalhadas Além Jornada]&gt;0,
IF(AND(VLOOKUP(TEXT(tblHorasMai[Data],"dddd"),tblDiaUtil[],3,FALSE)="Sim",IF(tblHorasMai[Evento 
(1º Período)]&lt;&gt;"",IF(VLOOKUP(tblHorasMai[Evento 
(1º Período)],tblEvento[],Tabelas!$E$1,FALSE)="Sim",FALSE,TRUE),TRUE),IF(tblHorasMai[Evento 
(2º Período)]&lt;&gt;"",IF(VLOOKUP(tblHorasMai[Evento 
(2º Período)],tblEvento[],Tabelas!$E$1,FALSE)="Sim",FALSE,TRUE),TRUE)),
tblHorasMai[Horas Trabalhadas Além Jornada],""),"")</calculatedColumnFormula>
    </tableColumn>
    <tableColumn id="9" name="Hora Extra _x000a_Especial" dataDxfId="208">
      <calculatedColumnFormula>IF(tblHorasMai[Horas Trabalhadas Além Jornada]&gt;0,
IF(OR(VLOOKUP(TEXT(tblHorasMai[Data],"dddd"),tblDiaUtil[],3,FALSE)="Não",IF(tblHorasMai[Evento 
(1º Período)]&lt;&gt;"",IF(VLOOKUP(tblHorasMai[Evento 
(1º Período)],tblEvento[],Tabelas!$E$1,FALSE)="Sim",TRUE,FALSE),FALSE),IF(tblHorasMai[Evento 
(2º Período)]&lt;&gt;"",IF(VLOOKUP(tblHorasMai[Evento 
(2º Período)],tblEvento[],Tabelas!$E$1,FALSE)="Sim",TRUE,FALSE),FALSE)),
tblHorasMai[Horas Trabalhadas Além Jornada],""),"")</calculatedColumnFormula>
    </tableColumn>
    <tableColumn id="12" name="Informação" dataDxfId="207">
      <calculatedColumnFormula>IF(tblHorasMai[Evento 
(1º Período)]&lt;&gt;""," - " &amp;VLOOKUP(tblHorasMai[Evento 
(1º Período)],tblEvento[],Tabelas!$F$1,FALSE),"")&amp;IF(AND(tblHorasMai[Evento 
(2º Período)]&lt;&gt;"",tblHorasMai[Evento 
(2º Período)]&lt;&gt;tblHorasMai[Evento 
(1º Período)])," - " &amp; VLOOKUP(tblHorasMai[Evento 
(2º Período)],tblEvento[],Tabelas!$F$1,FALSE),"")</calculatedColumnFormula>
    </tableColumn>
  </tableColumns>
  <tableStyleInfo name="TableStyleLight18" showFirstColumn="0" showLastColumn="0" showRowStripes="1" showColumnStripes="0"/>
</table>
</file>

<file path=xl/tables/table12.xml><?xml version="1.0" encoding="utf-8"?>
<table xmlns="http://schemas.openxmlformats.org/spreadsheetml/2006/main" id="10" name="tblHorasJun" displayName="tblHorasJun" ref="B8:T39" totalsRowShown="0" headerRowDxfId="198" dataDxfId="197">
  <tableColumns count="19">
    <tableColumn id="1" name="Data" dataDxfId="196">
      <calculatedColumnFormula>IF(B8&lt;&gt;"",IF(DAY(B8+1)=1,"",B8+1),"")</calculatedColumnFormula>
    </tableColumn>
    <tableColumn id="2" name="Dia" dataDxfId="195">
      <calculatedColumnFormula>TEXT(tblHorasJun[Data],"ddd")</calculatedColumnFormula>
    </tableColumn>
    <tableColumn id="3" name="Evento _x000a_(1º Período)" dataDxfId="194"/>
    <tableColumn id="4" name="Entrada - 1" dataDxfId="193"/>
    <tableColumn id="5" name="Saída - 1 (Almoço)" dataDxfId="192"/>
    <tableColumn id="6" name="Entrada - 2 (Almoço)" dataDxfId="191"/>
    <tableColumn id="7" name="Saída - 2" dataDxfId="190"/>
    <tableColumn id="13" name="Evento _x000a_(2º Período)" dataDxfId="189"/>
    <tableColumn id="15" name="Horas Trabalhadas (1º Período)" dataDxfId="188">
      <calculatedColumnFormula>IF($B$6&lt;&gt;"",
IF(AND(tblHorasJun[Evento 
(1º Período)]&lt;&gt;"",IF(ISERROR(VLOOKUP(tblHorasJun[Evento 
(1º Período)],tblEvento[],Tabelas!$D$1,FALSE)),FALSE,VLOOKUP(tblHorasJun[Evento 
(1º Período)],tblEvento[],Tabelas!$D$1,FALSE)="Sim")),
        IF(JORNADA_PERIODO_1&lt;&gt;"",
IF(VLOOKUP(tblHorasJun[Dia],tblDiaUtil[[Abreviatura]:[1º Período]],3,FALSE)&gt;0,VLOOKUP(tblHorasJun[Dia],tblDiaUtil[[Abreviatura]:[1º Período]],3,FALSE),JORNADA_PERIODO_1),
IF(VLOOKUP(tblHorasJun[Dia],tblDiaUtil[[Abreviatura]:[1º Período]],3,FALSE)&gt;0,VLOOKUP(tblHorasJun[Dia],tblDiaUtil[[Abreviatura]:[1º Período]],3,FALSE),JORNADA/2)),
        IF(AND(ISNUMBER(tblHorasJun[Saída - 1 (Almoço)]),ISNUMBER(tblHorasJun[Entrada - 1])),
              IF(OR(AND(tblHorasJun[Evento 
(1º Período)]&lt;&gt;"",IF(ISERROR(VLOOKUP(tblHorasJun[Evento 
(1º Período)],tblEvento[],Tabelas!$E$1,FALSE)),FALSE,VLOOKUP(tblHorasJun[Evento 
(1º Período)],tblEvento[],Tabelas!$E$1,FALSE)="Sim")),IF(VLOOKUP(TEXT(tblHorasJun[Data],"dddd"),tblDiaUtil[],2,FALSE)="Não",TRUE,FALSE)),
                   tblHorasJun[Saída - 1 (Almoço)]-tblHorasJun[Entrada - 1],
                   IF(OR(HOUR(tblHorasJun[Saída - 1 (Almoço)]-tblHorasJun[Entrada - 1])&gt;0,ROUND(tblHorasJun[Saída - 1 (Almoço)]-tblHorasJun[Entrada - 1],6)&gt;ROUND(CARENCIA,6)),
                          tblHorasJun[Saída - 1 (Almoço)]-tblHorasJun[Entrada - 1],
                          0)),
                    0)),0)</calculatedColumnFormula>
    </tableColumn>
    <tableColumn id="16" name="Horas Trabalhadas (2º Período)" dataDxfId="187">
      <calculatedColumnFormula>IF($B$6&lt;&gt;"",
IF(AND(tblHorasJun[Evento 
(2º Período)]&lt;&gt;"",IF(ISERROR(VLOOKUP(tblHorasJun[Evento 
(2º Período)],tblEvento[],Tabelas!$D$1,FALSE)),FALSE,VLOOKUP(tblHorasJun[Evento 
(2º Período)],tblEvento[],Tabelas!$D$1,FALSE)="Sim")),
        IF(JORNADA_PERIODO_2&lt;&gt;"",
IF(VLOOKUP(tblHorasJun[Dia],tblDiaUtil[[Abreviatura]:[2º Período]],4,FALSE)&gt;0,VLOOKUP(tblHorasJun[Dia],tblDiaUtil[[Abreviatura]:[2º Período]],4,FALSE),JORNADA_PERIODO_2),
IF(VLOOKUP(tblHorasJun[Dia],tblDiaUtil[[Abreviatura]:[2º Período]],4,FALSE)&gt;0,VLOOKUP(tblHorasJun[Dia],tblDiaUtil[[Abreviatura]:[2º Período]],4,FALSE),JORNADA/2)),
        IF(AND(ISNUMBER(tblHorasJun[Saída - 2]),ISNUMBER(tblHorasJun[Entrada - 2 (Almoço)])),
              IF(OR(AND(tblHorasJun[Evento 
(2º Período)]&lt;&gt;"",IF(ISERROR(VLOOKUP(tblHorasJun[Evento 
(2º Período)],tblEvento[],Tabelas!$E$1,FALSE)),FALSE,VLOOKUP(tblHorasJun[Evento 
(2º Período)],tblEvento[],Tabelas!$E$1,FALSE)="Sim")),IF(VLOOKUP(TEXT(tblHorasJun[Data],"dddd"),tblDiaUtil[],2,FALSE)="Não",TRUE,FALSE)),
                   tblHorasJun[Saída - 2]-tblHorasJun[Entrada - 2 (Almoço)],
                   IF(OR(HOUR(tblHorasJun[Saída - 2]-tblHorasJun[Entrada - 2 (Almoço)])&gt;0,MINUTE(tblHorasJun[Saída - 2]-tblHorasJun[Entrada - 2 (Almoço)])&gt;CARENCIA),
                         tblHorasJun[Saída - 2]-tblHorasJun[Entrada - 2 (Almoço)],
                         0)),
       0)),0)</calculatedColumnFormula>
    </tableColumn>
    <tableColumn id="8" name="Horas Trabalhadas" dataDxfId="186">
      <calculatedColumnFormula>tblHorasJun[Horas Trabalhadas (1º Período)]+tblHorasJun[Horas Trabalhadas (2º Período)]</calculatedColumnFormula>
    </tableColumn>
    <tableColumn id="17" name="Jornada Diária" dataDxfId="185">
      <calculatedColumnFormula>IF(tblHorasJun[Data]&lt;&gt;"",
        IF(
AND(VLOOKUP(TEXT(tblHorasJun[Data],"dddd"),tblDiaUtil[],3,FALSE)="Sim",IF(tblHorasJun[Evento 
(1º Período)]&lt;&gt;"",IF(VLOOKUP(tblHorasJun[Evento 
(1º Período)],tblEvento[],Tabelas!$E$1,FALSE)="Sim",FALSE,TRUE),TRUE),IF(tblHorasJun[Evento 
(2º Período)]&lt;&gt;"",IF(VLOOKUP(tblHorasJun[Evento 
(2º Período)],tblEvento[],Tabelas!$E$1,FALSE)="Sim",FALSE,TRUE),TRUE)),
              IF(VLOOKUP(tblHorasJun[Dia],tblDiaUtil[[Abreviatura]:[1º Período]],3,FALSE)&gt;0,VLOOKUP(tblHorasJun[Dia],tblDiaUtil[[Abreviatura]:[1º Período]],3,FALSE),JORNADA),
              ""),
         "")</calculatedColumnFormula>
    </tableColumn>
    <tableColumn id="11" name="Horas Trabalhadas Além Jornada" dataDxfId="6">
      <calculatedColumnFormula>IF(OR(tblHorasJun[Horas Trabalhadas (1º Período)]&lt;&gt;0,tblHorasJun[Horas Trabalhadas (2º Período)]&lt;&gt;0),
        IF(ISNUMBER(tblHorasJun[Jornada Diária]),
              IF(tblHorasJun[Jornada Diária]&gt;(tblHorasJun[Horas Trabalhadas (2º Período)]+tblHorasJun[Horas Trabalhadas (1º Período)]),
                     IF(ROUND((tblHorasJun[Jornada Diária]-(tblHorasJun[Horas Trabalhadas (2º Período)]+tblHorasJun[Horas Trabalhadas (1º Período)])),6)&gt;ROUND(CARENCIA,6),
                           -tblHorasJun[Jornada Diária]+(tblHorasJun[Horas Trabalhadas (2º Período)]+tblHorasJun[Horas Trabalhadas (1º Período)]),
                           0),
                      IF(ROUND((tblHorasJun[Jornada Diária]-(tblHorasJun[Horas Trabalhadas (2º Período)]+tblHorasJun[Horas Trabalhadas (1º Período)])),6)&lt;ROUND(-CARENCIA,6),
                           -tblHorasJun[Jornada Diária]+(tblHorasJun[Horas Trabalhadas (2º Período)]+tblHorasJun[Horas Trabalhadas (1º Período)]),
                           0)),
              tblHorasJun[Horas Trabalhadas (2º Período)]+tblHorasJun[Horas Trabalhadas (1º Período)]),
         IF(AND(IF(ISERROR(VLOOKUP(tblHorasJun[Evento 
(1º Período)],tblEvento[[Evento]:[Libera o Período]],4,FALSE)),FALSE,IF(VLOOKUP(tblHorasJun[Evento 
(1º Período)],tblEvento[[Evento]:[Libera o Período]],4,FALSE)="Não",TRUE,FALSE)),IF(ISERROR(VLOOKUP(tblHorasJun[Evento 
(2º Período)],tblEvento[[Evento]:[Libera o Período]],4,FALSE)),FALSE,IF(VLOOKUP(tblHorasJun[Evento 
(2º Período)],tblEvento[[Evento]:[Libera o Período]],4,FALSE)="Não",TRUE,FALSE))),
-IF(VLOOKUP(tblHorasJun[Dia],tblDiaUtil[[Abreviatura]:[Total Jornada]],5,FALSE)&lt;&gt;"",VLOOKUP(tblHorasJun[Dia],tblDiaUtil[[Abreviatura]:[Total Jornada]],5,FALSE),JORNADA),
IF(IF(ISERROR(VLOOKUP(tblHorasJun[Evento 
(1º Período)],tblEvento[[Evento]:[Libera o Período]],4,FALSE)),FALSE,
IF(VLOOKUP(tblHorasJun[Evento 
(1º Período)],tblEvento[[Evento]:[Libera o Período]],4,FALSE)="Não",TRUE,FALSE)
),
-IF(VLOOKUP(tblHorasJun[Dia],tblDiaUtil[[Abreviatura]:[1º Período]],3,FALSE)&lt;&gt;"",VLOOKUP(tblHorasJun[Dia],tblDiaUtil[[Abreviatura]:[1º Período]],3,FALSE),JORNADA_PERIODO_1),
IF(IF(ISERROR(VLOOKUP(tblHorasJun[Evento 
(2º Período)],tblEvento[[Evento]:[Libera o Período]],4,FALSE)),FALSE,IF(VLOOKUP(tblHorasJun[Evento 
(2º Período)],tblEvento[[Evento]:[Libera o Período]],4,FALSE)="Não",TRUE,FALSE)),
-IF(VLOOKUP(tblHorasJun[Dia],tblDiaUtil[[Abreviatura]:[2º Período]],4,FALSE)&lt;&gt;"",VLOOKUP(tblHorasJun[Dia],tblDiaUtil[[Abreviatura]:[2º Período]],4,FALSE),JORNADA_PERIODO_2),0))))</calculatedColumnFormula>
    </tableColumn>
    <tableColumn id="18" name="Saldo de Horas" dataDxfId="184">
      <calculatedColumnFormula>IF(tblHorasJun[[#This Row],[Horas Trabalhadas Além Jornada]]&gt;0,
        IF(tblHorasJun[[#This Row],[Jornada Diária]]&lt;&gt;"",
              IF(HOUR(tblHorasJun[[#This Row],[Horas Trabalhadas Além Jornada]])&gt;=VLOOKUP(LIMITE,tblLimiteHora[],Tabelas!$I$1,FALSE),
                    VLOOKUP(LIMITE,tblLimiteHora[],Tabelas!$J$1,FALSE),
                    tblHorasJun[[#This Row],[Horas Trabalhadas Além Jornada]]),
              tblHorasJun[[#This Row],[Horas Trabalhadas Além Jornada]]),
        0)</calculatedColumnFormula>
    </tableColumn>
    <tableColumn id="19" name="Atrasos_x000a_(horas)" dataDxfId="183">
      <calculatedColumnFormula>IF(tblHorasJun[Horas Trabalhadas Além Jornada]&lt;0,IF(OR(tblHorasJun[Evento 
(1º Período)]="",tblHorasJun[Evento 
(2º Período)]=""),tblHorasJun[Horas Trabalhadas Além Jornada],""),"")</calculatedColumnFormula>
    </tableColumn>
    <tableColumn id="14" name="Faltas_x000a_(dias)" dataDxfId="182">
      <calculatedColumnFormula>IF(tblHorasJun[Jornada Diária]&lt;&gt;"",IF((N(tblHorasJun[Jornada Diária])-ABS(N(tblHorasJun[Horas Trabalhadas Além Jornada])))=0,1,""),"")</calculatedColumnFormula>
    </tableColumn>
    <tableColumn id="10" name="Hora Extra Normal" dataDxfId="181">
      <calculatedColumnFormula>IF(tblHorasJun[Horas Trabalhadas Além Jornada]&gt;0,
IF(AND(VLOOKUP(TEXT(tblHorasJun[Data],"dddd"),tblDiaUtil[],3,FALSE)="Sim",IF(tblHorasJun[Evento 
(1º Período)]&lt;&gt;"",IF(VLOOKUP(tblHorasJun[Evento 
(1º Período)],tblEvento[],Tabelas!$E$1,FALSE)="Sim",FALSE,TRUE),TRUE),IF(tblHorasJun[Evento 
(2º Período)]&lt;&gt;"",IF(VLOOKUP(tblHorasJun[Evento 
(2º Período)],tblEvento[],Tabelas!$E$1,FALSE)="Sim",FALSE,TRUE),TRUE)),
tblHorasJun[Horas Trabalhadas Além Jornada],""),"")</calculatedColumnFormula>
    </tableColumn>
    <tableColumn id="9" name="Hora Extra _x000a_Especial" dataDxfId="180">
      <calculatedColumnFormula>IF(tblHorasJun[Horas Trabalhadas Além Jornada]&gt;0,
IF(OR(VLOOKUP(TEXT(tblHorasJun[Data],"dddd"),tblDiaUtil[],3,FALSE)="Não",IF(tblHorasJun[Evento 
(1º Período)]&lt;&gt;"",IF(VLOOKUP(tblHorasJun[Evento 
(1º Período)],tblEvento[],Tabelas!$E$1,FALSE)="Sim",TRUE,FALSE),FALSE),IF(tblHorasJun[Evento 
(2º Período)]&lt;&gt;"",IF(VLOOKUP(tblHorasJun[Evento 
(2º Período)],tblEvento[],Tabelas!$E$1,FALSE)="Sim",TRUE,FALSE),FALSE)),
tblHorasJun[Horas Trabalhadas Além Jornada],""),"")</calculatedColumnFormula>
    </tableColumn>
    <tableColumn id="12" name="Informação" dataDxfId="179">
      <calculatedColumnFormula>IF(tblHorasJun[Evento 
(1º Período)]&lt;&gt;""," - " &amp;VLOOKUP(tblHorasJun[Evento 
(1º Período)],tblEvento[],Tabelas!$F$1,FALSE),"")&amp;IF(AND(tblHorasJun[Evento 
(2º Período)]&lt;&gt;"",tblHorasJun[Evento 
(2º Período)]&lt;&gt;tblHorasJun[Evento 
(1º Período)])," - " &amp; VLOOKUP(tblHorasJun[Evento 
(2º Período)],tblEvento[],Tabelas!$F$1,FALSE),"")</calculatedColumnFormula>
    </tableColumn>
  </tableColumns>
  <tableStyleInfo name="TableStyleLight18" showFirstColumn="0" showLastColumn="0" showRowStripes="1" showColumnStripes="0"/>
</table>
</file>

<file path=xl/tables/table13.xml><?xml version="1.0" encoding="utf-8"?>
<table xmlns="http://schemas.openxmlformats.org/spreadsheetml/2006/main" id="11" name="tblHorasJul" displayName="tblHorasJul" ref="B8:T39" totalsRowShown="0" headerRowDxfId="170" dataDxfId="169">
  <tableColumns count="19">
    <tableColumn id="1" name="Data" dataDxfId="168">
      <calculatedColumnFormula>IF(B8&lt;&gt;"",IF(DAY(B8+1)=1,"",B8+1),"")</calculatedColumnFormula>
    </tableColumn>
    <tableColumn id="2" name="Dia" dataDxfId="167">
      <calculatedColumnFormula>TEXT(tblHorasJul[Data],"ddd")</calculatedColumnFormula>
    </tableColumn>
    <tableColumn id="3" name="Evento _x000a_(1º Período)" dataDxfId="166"/>
    <tableColumn id="4" name="Entrada - 1" dataDxfId="165"/>
    <tableColumn id="5" name="Saída - 1 (Almoço)" dataDxfId="164"/>
    <tableColumn id="6" name="Entrada - 2 (Almoço)" dataDxfId="163"/>
    <tableColumn id="7" name="Saída - 2" dataDxfId="162"/>
    <tableColumn id="13" name="Evento _x000a_(2º Período)" dataDxfId="161"/>
    <tableColumn id="15" name="Horas Trabalhadas (1º Período)" dataDxfId="160">
      <calculatedColumnFormula>IF($B$6&lt;&gt;"",
IF(AND(tblHorasJul[Evento 
(1º Período)]&lt;&gt;"",IF(ISERROR(VLOOKUP(tblHorasJul[Evento 
(1º Período)],tblEvento[],Tabelas!$D$1,FALSE)),FALSE,VLOOKUP(tblHorasJul[Evento 
(1º Período)],tblEvento[],Tabelas!$D$1,FALSE)="Sim")),
        IF(JORNADA_PERIODO_1&lt;&gt;"",
IF(VLOOKUP(tblHorasJul[Dia],tblDiaUtil[[Abreviatura]:[1º Período]],3,FALSE)&gt;0,VLOOKUP(tblHorasJul[Dia],tblDiaUtil[[Abreviatura]:[1º Período]],3,FALSE),JORNADA_PERIODO_1),
IF(VLOOKUP(tblHorasJul[Dia],tblDiaUtil[[Abreviatura]:[1º Período]],3,FALSE)&gt;0,VLOOKUP(tblHorasJul[Dia],tblDiaUtil[[Abreviatura]:[1º Período]],3,FALSE),JORNADA/2)),
        IF(AND(ISNUMBER(tblHorasJul[Saída - 1 (Almoço)]),ISNUMBER(tblHorasJul[Entrada - 1])),
              IF(OR(AND(tblHorasJul[Evento 
(1º Período)]&lt;&gt;"",IF(ISERROR(VLOOKUP(tblHorasJul[Evento 
(1º Período)],tblEvento[],Tabelas!$E$1,FALSE)),FALSE,VLOOKUP(tblHorasJul[Evento 
(1º Período)],tblEvento[],Tabelas!$E$1,FALSE)="Sim")),IF(VLOOKUP(TEXT(tblHorasJul[Data],"dddd"),tblDiaUtil[],2,FALSE)="Não",TRUE,FALSE)),
                   tblHorasJul[Saída - 1 (Almoço)]-tblHorasJul[Entrada - 1],
                   IF(OR(HOUR(tblHorasJul[Saída - 1 (Almoço)]-tblHorasJul[Entrada - 1])&gt;0,ROUND(tblHorasJul[Saída - 1 (Almoço)]-tblHorasJul[Entrada - 1],6)&gt;ROUND(CARENCIA,6)),
                          tblHorasJul[Saída - 1 (Almoço)]-tblHorasJul[Entrada - 1],
                          0)),
                    0)),0)</calculatedColumnFormula>
    </tableColumn>
    <tableColumn id="16" name="Horas Trabalhadas (2º Período)" dataDxfId="159">
      <calculatedColumnFormula>IF($B$6&lt;&gt;"",
IF(AND(tblHorasJul[Evento 
(2º Período)]&lt;&gt;"",IF(ISERROR(VLOOKUP(tblHorasJul[Evento 
(2º Período)],tblEvento[],Tabelas!$D$1,FALSE)),FALSE,VLOOKUP(tblHorasJul[Evento 
(2º Período)],tblEvento[],Tabelas!$D$1,FALSE)="Sim")),
        IF(JORNADA_PERIODO_2&lt;&gt;"",
IF(VLOOKUP(tblHorasJul[Dia],tblDiaUtil[[Abreviatura]:[2º Período]],4,FALSE)&gt;0,VLOOKUP(tblHorasJul[Dia],tblDiaUtil[[Abreviatura]:[2º Período]],4,FALSE),JORNADA_PERIODO_2),
IF(VLOOKUP(tblHorasJul[Dia],tblDiaUtil[[Abreviatura]:[2º Período]],4,FALSE)&gt;0,VLOOKUP(tblHorasJul[Dia],tblDiaUtil[[Abreviatura]:[2º Período]],4,FALSE),JORNADA/2)),
        IF(AND(ISNUMBER(tblHorasJul[Saída - 2]),ISNUMBER(tblHorasJul[Entrada - 2 (Almoço)])),
              IF(OR(AND(tblHorasJul[Evento 
(2º Período)]&lt;&gt;"",IF(ISERROR(VLOOKUP(tblHorasJul[Evento 
(2º Período)],tblEvento[],Tabelas!$E$1,FALSE)),FALSE,VLOOKUP(tblHorasJul[Evento 
(2º Período)],tblEvento[],Tabelas!$E$1,FALSE)="Sim")),IF(VLOOKUP(TEXT(tblHorasJul[Data],"dddd"),tblDiaUtil[],2,FALSE)="Não",TRUE,FALSE)),
                   tblHorasJul[Saída - 2]-tblHorasJul[Entrada - 2 (Almoço)],
                   IF(OR(HOUR(tblHorasJul[Saída - 2]-tblHorasJul[Entrada - 2 (Almoço)])&gt;0,MINUTE(tblHorasJul[Saída - 2]-tblHorasJul[Entrada - 2 (Almoço)])&gt;CARENCIA),
                         tblHorasJul[Saída - 2]-tblHorasJul[Entrada - 2 (Almoço)],
                         0)),
       0)),0)</calculatedColumnFormula>
    </tableColumn>
    <tableColumn id="8" name="Horas Trabalhadas" dataDxfId="158">
      <calculatedColumnFormula>tblHorasJul[Horas Trabalhadas (1º Período)]+tblHorasJul[Horas Trabalhadas (2º Período)]</calculatedColumnFormula>
    </tableColumn>
    <tableColumn id="17" name="Jornada Diária" dataDxfId="157">
      <calculatedColumnFormula>IF(tblHorasJul[Data]&lt;&gt;"",
        IF(
AND(VLOOKUP(TEXT(tblHorasJul[Data],"dddd"),tblDiaUtil[],3,FALSE)="Sim",IF(tblHorasJul[Evento 
(1º Período)]&lt;&gt;"",IF(VLOOKUP(tblHorasJul[Evento 
(1º Período)],tblEvento[],Tabelas!$E$1,FALSE)="Sim",FALSE,TRUE),TRUE),IF(tblHorasJul[Evento 
(2º Período)]&lt;&gt;"",IF(VLOOKUP(tblHorasJul[Evento 
(2º Período)],tblEvento[],Tabelas!$E$1,FALSE)="Sim",FALSE,TRUE),TRUE)),
              IF(VLOOKUP(tblHorasJul[Dia],tblDiaUtil[[Abreviatura]:[1º Período]],3,FALSE)&gt;0,VLOOKUP(tblHorasJul[Dia],tblDiaUtil[[Abreviatura]:[1º Período]],3,FALSE),JORNADA),
              ""),
         "")</calculatedColumnFormula>
    </tableColumn>
    <tableColumn id="11" name="Horas Trabalhadas Além Jornada" dataDxfId="5">
      <calculatedColumnFormula>IF(OR(tblHorasJul[Horas Trabalhadas (1º Período)]&lt;&gt;0,tblHorasJul[Horas Trabalhadas (2º Período)]&lt;&gt;0),
        IF(ISNUMBER(tblHorasJul[Jornada Diária]),
              IF(tblHorasJul[Jornada Diária]&gt;(tblHorasJul[Horas Trabalhadas (2º Período)]+tblHorasJul[Horas Trabalhadas (1º Período)]),
                     IF(ROUND((tblHorasJul[Jornada Diária]-(tblHorasJul[Horas Trabalhadas (2º Período)]+tblHorasJul[Horas Trabalhadas (1º Período)])),6)&gt;ROUND(CARENCIA,6),
                           -tblHorasJul[Jornada Diária]+(tblHorasJul[Horas Trabalhadas (2º Período)]+tblHorasJul[Horas Trabalhadas (1º Período)]),
                           0),
                      IF(ROUND((tblHorasJul[Jornada Diária]-(tblHorasJul[Horas Trabalhadas (2º Período)]+tblHorasJul[Horas Trabalhadas (1º Período)])),6)&lt;ROUND(-CARENCIA,6),
                           -tblHorasJul[Jornada Diária]+(tblHorasJul[Horas Trabalhadas (2º Período)]+tblHorasJul[Horas Trabalhadas (1º Período)]),
                           0)),
              tblHorasJul[Horas Trabalhadas (2º Período)]+tblHorasJul[Horas Trabalhadas (1º Período)]),
         IF(AND(IF(ISERROR(VLOOKUP(tblHorasJul[Evento 
(1º Período)],tblEvento[[Evento]:[Libera o Período]],4,FALSE)),FALSE,IF(VLOOKUP(tblHorasJul[Evento 
(1º Período)],tblEvento[[Evento]:[Libera o Período]],4,FALSE)="Não",TRUE,FALSE)),IF(ISERROR(VLOOKUP(tblHorasJul[Evento 
(2º Período)],tblEvento[[Evento]:[Libera o Período]],4,FALSE)),FALSE,IF(VLOOKUP(tblHorasJul[Evento 
(2º Período)],tblEvento[[Evento]:[Libera o Período]],4,FALSE)="Não",TRUE,FALSE))),
-IF(VLOOKUP(tblHorasJul[Dia],tblDiaUtil[[Abreviatura]:[Total Jornada]],5,FALSE)&lt;&gt;"",VLOOKUP(tblHorasJul[Dia],tblDiaUtil[[Abreviatura]:[Total Jornada]],5,FALSE),JORNADA),
IF(IF(ISERROR(VLOOKUP(tblHorasJul[Evento 
(1º Período)],tblEvento[[Evento]:[Libera o Período]],4,FALSE)),FALSE,
IF(VLOOKUP(tblHorasJul[Evento 
(1º Período)],tblEvento[[Evento]:[Libera o Período]],4,FALSE)="Não",TRUE,FALSE)
),
-IF(VLOOKUP(tblHorasJul[Dia],tblDiaUtil[[Abreviatura]:[1º Período]],3,FALSE)&lt;&gt;"",VLOOKUP(tblHorasJul[Dia],tblDiaUtil[[Abreviatura]:[1º Período]],3,FALSE),JORNADA_PERIODO_1),
IF(IF(ISERROR(VLOOKUP(tblHorasJul[Evento 
(2º Período)],tblEvento[[Evento]:[Libera o Período]],4,FALSE)),FALSE,IF(VLOOKUP(tblHorasJul[Evento 
(2º Período)],tblEvento[[Evento]:[Libera o Período]],4,FALSE)="Não",TRUE,FALSE)),
-IF(VLOOKUP(tblHorasJul[Dia],tblDiaUtil[[Abreviatura]:[2º Período]],4,FALSE)&lt;&gt;"",VLOOKUP(tblHorasJul[Dia],tblDiaUtil[[Abreviatura]:[2º Período]],4,FALSE),JORNADA_PERIODO_2),0))))</calculatedColumnFormula>
    </tableColumn>
    <tableColumn id="18" name="Saldo de Horas" dataDxfId="156">
      <calculatedColumnFormula>IF(tblHorasJul[[#This Row],[Horas Trabalhadas Além Jornada]]&gt;0,
        IF(tblHorasJul[[#This Row],[Jornada Diária]]&lt;&gt;"",
              IF(HOUR(tblHorasJul[[#This Row],[Horas Trabalhadas Além Jornada]])&gt;=VLOOKUP(LIMITE,tblLimiteHora[],Tabelas!$I$1,FALSE),
                    VLOOKUP(LIMITE,tblLimiteHora[],Tabelas!$J$1,FALSE),
                    tblHorasJul[[#This Row],[Horas Trabalhadas Além Jornada]]),
              tblHorasJul[[#This Row],[Horas Trabalhadas Além Jornada]]),
        0)</calculatedColumnFormula>
    </tableColumn>
    <tableColumn id="19" name="Atrasos_x000a_(horas)" dataDxfId="155">
      <calculatedColumnFormula>IF(tblHorasJul[Horas Trabalhadas Além Jornada]&lt;0,IF(OR(tblHorasJul[Evento 
(1º Período)]="",tblHorasJul[Evento 
(2º Período)]=""),tblHorasJul[Horas Trabalhadas Além Jornada],""),"")</calculatedColumnFormula>
    </tableColumn>
    <tableColumn id="14" name="Faltas_x000a_(dias)" dataDxfId="154">
      <calculatedColumnFormula>IF(tblHorasJul[Jornada Diária]&lt;&gt;"",IF((N(tblHorasJul[Jornada Diária])-ABS(N(tblHorasJul[Horas Trabalhadas Além Jornada])))=0,1,""),"")</calculatedColumnFormula>
    </tableColumn>
    <tableColumn id="10" name="Hora Extra Normal" dataDxfId="153">
      <calculatedColumnFormula>IF(tblHorasJul[Horas Trabalhadas Além Jornada]&gt;0,
IF(AND(VLOOKUP(TEXT(tblHorasJul[Data],"dddd"),tblDiaUtil[],3,FALSE)="Sim",IF(tblHorasJul[Evento 
(1º Período)]&lt;&gt;"",IF(VLOOKUP(tblHorasJul[Evento 
(1º Período)],tblEvento[],Tabelas!$E$1,FALSE)="Sim",FALSE,TRUE),TRUE),IF(tblHorasJul[Evento 
(2º Período)]&lt;&gt;"",IF(VLOOKUP(tblHorasJul[Evento 
(2º Período)],tblEvento[],Tabelas!$E$1,FALSE)="Sim",FALSE,TRUE),TRUE)),
tblHorasJul[Horas Trabalhadas Além Jornada],""),"")</calculatedColumnFormula>
    </tableColumn>
    <tableColumn id="9" name="Hora Extra _x000a_Especial" dataDxfId="152">
      <calculatedColumnFormula>IF(tblHorasJul[Horas Trabalhadas Além Jornada]&gt;0,
IF(OR(VLOOKUP(TEXT(tblHorasJul[Data],"dddd"),tblDiaUtil[],3,FALSE)="Não",IF(tblHorasJul[Evento 
(1º Período)]&lt;&gt;"",IF(VLOOKUP(tblHorasJul[Evento 
(1º Período)],tblEvento[],Tabelas!$E$1,FALSE)="Sim",TRUE,FALSE),FALSE),IF(tblHorasJul[Evento 
(2º Período)]&lt;&gt;"",IF(VLOOKUP(tblHorasJul[Evento 
(2º Período)],tblEvento[],Tabelas!$E$1,FALSE)="Sim",TRUE,FALSE),FALSE)),
tblHorasJul[Horas Trabalhadas Além Jornada],""),"")</calculatedColumnFormula>
    </tableColumn>
    <tableColumn id="12" name="Informação" dataDxfId="151">
      <calculatedColumnFormula>IF(tblHorasJul[Evento 
(1º Período)]&lt;&gt;""," - " &amp;VLOOKUP(tblHorasJul[Evento 
(1º Período)],tblEvento[],Tabelas!$F$1,FALSE),"")&amp;IF(AND(tblHorasJul[Evento 
(2º Período)]&lt;&gt;"",tblHorasJul[Evento 
(2º Período)]&lt;&gt;tblHorasJul[Evento 
(1º Período)])," - " &amp; VLOOKUP(tblHorasJul[Evento 
(2º Período)],tblEvento[],Tabelas!$F$1,FALSE),"")</calculatedColumnFormula>
    </tableColumn>
  </tableColumns>
  <tableStyleInfo name="TableStyleLight18" showFirstColumn="0" showLastColumn="0" showRowStripes="1" showColumnStripes="0"/>
</table>
</file>

<file path=xl/tables/table14.xml><?xml version="1.0" encoding="utf-8"?>
<table xmlns="http://schemas.openxmlformats.org/spreadsheetml/2006/main" id="12" name="tblHorasAgo" displayName="tblHorasAgo" ref="B8:T39" totalsRowShown="0" headerRowDxfId="142" dataDxfId="141">
  <tableColumns count="19">
    <tableColumn id="1" name="Data" dataDxfId="140">
      <calculatedColumnFormula>IF(B8&lt;&gt;"",IF(DAY(B8+1)=1,"",B8+1),"")</calculatedColumnFormula>
    </tableColumn>
    <tableColumn id="2" name="Dia" dataDxfId="139">
      <calculatedColumnFormula>TEXT(tblHorasAgo[Data],"ddd")</calculatedColumnFormula>
    </tableColumn>
    <tableColumn id="3" name="Evento _x000a_(1º Período)" dataDxfId="138"/>
    <tableColumn id="4" name="Entrada - 1" dataDxfId="137"/>
    <tableColumn id="5" name="Saída - 1 (Almoço)" dataDxfId="136"/>
    <tableColumn id="6" name="Entrada - 2 (Almoço)" dataDxfId="135"/>
    <tableColumn id="7" name="Saída - 2" dataDxfId="134"/>
    <tableColumn id="13" name="Evento _x000a_(2º Período)" dataDxfId="133"/>
    <tableColumn id="15" name="Horas Trabalhadas (1º Período)" dataDxfId="132">
      <calculatedColumnFormula>IF($B$6&lt;&gt;"",
IF(AND(tblHorasAgo[Evento 
(1º Período)]&lt;&gt;"",IF(ISERROR(VLOOKUP(tblHorasAgo[Evento 
(1º Período)],tblEvento[],Tabelas!$D$1,FALSE)),FALSE,VLOOKUP(tblHorasAgo[Evento 
(1º Período)],tblEvento[],Tabelas!$D$1,FALSE)="Sim")),
        IF(JORNADA_PERIODO_1&lt;&gt;"",
IF(VLOOKUP(tblHorasAgo[Dia],tblDiaUtil[[Abreviatura]:[1º Período]],3,FALSE)&gt;0,VLOOKUP(tblHorasAgo[Dia],tblDiaUtil[[Abreviatura]:[1º Período]],3,FALSE),JORNADA_PERIODO_1),
IF(VLOOKUP(tblHorasAgo[Dia],tblDiaUtil[[Abreviatura]:[1º Período]],3,FALSE)&gt;0,VLOOKUP(tblHorasAgo[Dia],tblDiaUtil[[Abreviatura]:[1º Período]],3,FALSE),JORNADA/2)),
        IF(AND(ISNUMBER(tblHorasAgo[Saída - 1 (Almoço)]),ISNUMBER(tblHorasAgo[Entrada - 1])),
              IF(OR(AND(tblHorasAgo[Evento 
(1º Período)]&lt;&gt;"",IF(ISERROR(VLOOKUP(tblHorasAgo[Evento 
(1º Período)],tblEvento[],Tabelas!$E$1,FALSE)),FALSE,VLOOKUP(tblHorasAgo[Evento 
(1º Período)],tblEvento[],Tabelas!$E$1,FALSE)="Sim")),IF(VLOOKUP(TEXT(tblHorasAgo[Data],"dddd"),tblDiaUtil[],2,FALSE)="Não",TRUE,FALSE)),
                   tblHorasAgo[Saída - 1 (Almoço)]-tblHorasAgo[Entrada - 1],
                   IF(OR(HOUR(tblHorasAgo[Saída - 1 (Almoço)]-tblHorasAgo[Entrada - 1])&gt;0,ROUND(tblHorasAgo[Saída - 1 (Almoço)]-tblHorasAgo[Entrada - 1],6)&gt;ROUND(CARENCIA,6)),
                          tblHorasAgo[Saída - 1 (Almoço)]-tblHorasAgo[Entrada - 1],
                          0)),
                    0)),0)</calculatedColumnFormula>
    </tableColumn>
    <tableColumn id="16" name="Horas Trabalhadas (2º Período)" dataDxfId="131">
      <calculatedColumnFormula>IF($B$6&lt;&gt;"",
IF(AND(tblHorasAgo[Evento 
(2º Período)]&lt;&gt;"",IF(ISERROR(VLOOKUP(tblHorasAgo[Evento 
(2º Período)],tblEvento[],Tabelas!$D$1,FALSE)),FALSE,VLOOKUP(tblHorasAgo[Evento 
(2º Período)],tblEvento[],Tabelas!$D$1,FALSE)="Sim")),
        IF(JORNADA_PERIODO_2&lt;&gt;"",
IF(VLOOKUP(tblHorasAgo[Dia],tblDiaUtil[[Abreviatura]:[2º Período]],4,FALSE)&gt;0,VLOOKUP(tblHorasAgo[Dia],tblDiaUtil[[Abreviatura]:[2º Período]],4,FALSE),JORNADA_PERIODO_2),
IF(VLOOKUP(tblHorasAgo[Dia],tblDiaUtil[[Abreviatura]:[2º Período]],4,FALSE)&gt;0,VLOOKUP(tblHorasAgo[Dia],tblDiaUtil[[Abreviatura]:[2º Período]],4,FALSE),JORNADA/2)),
        IF(AND(ISNUMBER(tblHorasAgo[Saída - 2]),ISNUMBER(tblHorasAgo[Entrada - 2 (Almoço)])),
              IF(OR(AND(tblHorasAgo[Evento 
(2º Período)]&lt;&gt;"",IF(ISERROR(VLOOKUP(tblHorasAgo[Evento 
(2º Período)],tblEvento[],Tabelas!$E$1,FALSE)),FALSE,VLOOKUP(tblHorasAgo[Evento 
(2º Período)],tblEvento[],Tabelas!$E$1,FALSE)="Sim")),IF(VLOOKUP(TEXT(tblHorasAgo[Data],"dddd"),tblDiaUtil[],2,FALSE)="Não",TRUE,FALSE)),
                   tblHorasAgo[Saída - 2]-tblHorasAgo[Entrada - 2 (Almoço)],
                   IF(OR(HOUR(tblHorasAgo[Saída - 2]-tblHorasAgo[Entrada - 2 (Almoço)])&gt;0,MINUTE(tblHorasAgo[Saída - 2]-tblHorasAgo[Entrada - 2 (Almoço)])&gt;CARENCIA),
                         tblHorasAgo[Saída - 2]-tblHorasAgo[Entrada - 2 (Almoço)],
                         0)),
       0)),0)</calculatedColumnFormula>
    </tableColumn>
    <tableColumn id="8" name="Horas Trabalhadas" dataDxfId="130">
      <calculatedColumnFormula>tblHorasAgo[Horas Trabalhadas (1º Período)]+tblHorasAgo[Horas Trabalhadas (2º Período)]</calculatedColumnFormula>
    </tableColumn>
    <tableColumn id="17" name="Jornada Diária" dataDxfId="129">
      <calculatedColumnFormula>IF(tblHorasAgo[Data]&lt;&gt;"",
        IF(
AND(VLOOKUP(TEXT(tblHorasAgo[Data],"dddd"),tblDiaUtil[],3,FALSE)="Sim",IF(tblHorasAgo[Evento 
(1º Período)]&lt;&gt;"",IF(VLOOKUP(tblHorasAgo[Evento 
(1º Período)],tblEvento[],Tabelas!$E$1,FALSE)="Sim",FALSE,TRUE),TRUE),IF(tblHorasAgo[Evento 
(2º Período)]&lt;&gt;"",IF(VLOOKUP(tblHorasAgo[Evento 
(2º Período)],tblEvento[],Tabelas!$E$1,FALSE)="Sim",FALSE,TRUE),TRUE)),
              IF(VLOOKUP(tblHorasAgo[Dia],tblDiaUtil[[Abreviatura]:[1º Período]],3,FALSE)&gt;0,VLOOKUP(tblHorasAgo[Dia],tblDiaUtil[[Abreviatura]:[1º Período]],3,FALSE),JORNADA),
              ""),
         "")</calculatedColumnFormula>
    </tableColumn>
    <tableColumn id="11" name="Horas Trabalhadas Além Jornada" dataDxfId="4">
      <calculatedColumnFormula>IF(OR(tblHorasAgo[Horas Trabalhadas (1º Período)]&lt;&gt;0,tblHorasAgo[Horas Trabalhadas (2º Período)]&lt;&gt;0),
        IF(ISNUMBER(tblHorasAgo[Jornada Diária]),
              IF(tblHorasAgo[Jornada Diária]&gt;(tblHorasAgo[Horas Trabalhadas (2º Período)]+tblHorasAgo[Horas Trabalhadas (1º Período)]),
                     IF(ROUND((tblHorasAgo[Jornada Diária]-(tblHorasAgo[Horas Trabalhadas (2º Período)]+tblHorasAgo[Horas Trabalhadas (1º Período)])),6)&gt;ROUND(CARENCIA,6),
                           -tblHorasAgo[Jornada Diária]+(tblHorasAgo[Horas Trabalhadas (2º Período)]+tblHorasAgo[Horas Trabalhadas (1º Período)]),
                           0),
                      IF(ROUND((tblHorasAgo[Jornada Diária]-(tblHorasAgo[Horas Trabalhadas (2º Período)]+tblHorasAgo[Horas Trabalhadas (1º Período)])),6)&lt;ROUND(-CARENCIA,6),
                           -tblHorasAgo[Jornada Diária]+(tblHorasAgo[Horas Trabalhadas (2º Período)]+tblHorasAgo[Horas Trabalhadas (1º Período)]),
                           0)),
              tblHorasAgo[Horas Trabalhadas (2º Período)]+tblHorasAgo[Horas Trabalhadas (1º Período)]),
         IF(AND(IF(ISERROR(VLOOKUP(tblHorasAgo[Evento 
(1º Período)],tblEvento[[Evento]:[Libera o Período]],4,FALSE)),FALSE,IF(VLOOKUP(tblHorasAgo[Evento 
(1º Período)],tblEvento[[Evento]:[Libera o Período]],4,FALSE)="Não",TRUE,FALSE)),IF(ISERROR(VLOOKUP(tblHorasAgo[Evento 
(2º Período)],tblEvento[[Evento]:[Libera o Período]],4,FALSE)),FALSE,IF(VLOOKUP(tblHorasAgo[Evento 
(2º Período)],tblEvento[[Evento]:[Libera o Período]],4,FALSE)="Não",TRUE,FALSE))),
-IF(VLOOKUP(tblHorasAgo[Dia],tblDiaUtil[[Abreviatura]:[Total Jornada]],5,FALSE)&lt;&gt;"",VLOOKUP(tblHorasAgo[Dia],tblDiaUtil[[Abreviatura]:[Total Jornada]],5,FALSE),JORNADA),
IF(IF(ISERROR(VLOOKUP(tblHorasAgo[Evento 
(1º Período)],tblEvento[[Evento]:[Libera o Período]],4,FALSE)),FALSE,
IF(VLOOKUP(tblHorasAgo[Evento 
(1º Período)],tblEvento[[Evento]:[Libera o Período]],4,FALSE)="Não",TRUE,FALSE)
),
-IF(VLOOKUP(tblHorasAgo[Dia],tblDiaUtil[[Abreviatura]:[1º Período]],3,FALSE)&lt;&gt;"",VLOOKUP(tblHorasAgo[Dia],tblDiaUtil[[Abreviatura]:[1º Período]],3,FALSE),JORNADA_PERIODO_1),
IF(IF(ISERROR(VLOOKUP(tblHorasAgo[Evento 
(2º Período)],tblEvento[[Evento]:[Libera o Período]],4,FALSE)),FALSE,IF(VLOOKUP(tblHorasAgo[Evento 
(2º Período)],tblEvento[[Evento]:[Libera o Período]],4,FALSE)="Não",TRUE,FALSE)),
-IF(VLOOKUP(tblHorasAgo[Dia],tblDiaUtil[[Abreviatura]:[2º Período]],4,FALSE)&lt;&gt;"",VLOOKUP(tblHorasAgo[Dia],tblDiaUtil[[Abreviatura]:[2º Período]],4,FALSE),JORNADA_PERIODO_2),0))))</calculatedColumnFormula>
    </tableColumn>
    <tableColumn id="18" name="Saldo de Horas" dataDxfId="128">
      <calculatedColumnFormula>IF(tblHorasAgo[[#This Row],[Horas Trabalhadas Além Jornada]]&gt;0,
        IF(tblHorasAgo[[#This Row],[Jornada Diária]]&lt;&gt;"",
              IF(HOUR(tblHorasAgo[[#This Row],[Horas Trabalhadas Além Jornada]])&gt;=VLOOKUP(LIMITE,tblLimiteHora[],Tabelas!$I$1,FALSE),
                    VLOOKUP(LIMITE,tblLimiteHora[],Tabelas!$J$1,FALSE),
                    tblHorasAgo[[#This Row],[Horas Trabalhadas Além Jornada]]),
              tblHorasAgo[[#This Row],[Horas Trabalhadas Além Jornada]]),
        0)</calculatedColumnFormula>
    </tableColumn>
    <tableColumn id="19" name="Atrasos_x000a_(horas)" dataDxfId="127">
      <calculatedColumnFormula>IF(tblHorasAgo[Horas Trabalhadas Além Jornada]&lt;0,IF(OR(tblHorasAgo[Evento 
(1º Período)]="",tblHorasAgo[Evento 
(2º Período)]=""),tblHorasAgo[Horas Trabalhadas Além Jornada],""),"")</calculatedColumnFormula>
    </tableColumn>
    <tableColumn id="14" name="Faltas_x000a_(dias)" dataDxfId="126">
      <calculatedColumnFormula>IF(tblHorasAgo[Jornada Diária]&lt;&gt;"",IF((N(tblHorasAgo[Jornada Diária])-ABS(N(tblHorasAgo[Horas Trabalhadas Além Jornada])))=0,1,""),"")</calculatedColumnFormula>
    </tableColumn>
    <tableColumn id="10" name="Hora Extra Normal" dataDxfId="125">
      <calculatedColumnFormula>IF(tblHorasAgo[Horas Trabalhadas Além Jornada]&gt;0,
IF(AND(VLOOKUP(TEXT(tblHorasAgo[Data],"dddd"),tblDiaUtil[],3,FALSE)="Sim",IF(tblHorasAgo[Evento 
(1º Período)]&lt;&gt;"",IF(VLOOKUP(tblHorasAgo[Evento 
(1º Período)],tblEvento[],Tabelas!$E$1,FALSE)="Sim",FALSE,TRUE),TRUE),IF(tblHorasAgo[Evento 
(2º Período)]&lt;&gt;"",IF(VLOOKUP(tblHorasAgo[Evento 
(2º Período)],tblEvento[],Tabelas!$E$1,FALSE)="Sim",FALSE,TRUE),TRUE)),
tblHorasAgo[Horas Trabalhadas Além Jornada],""),"")</calculatedColumnFormula>
    </tableColumn>
    <tableColumn id="9" name="Hora Extra _x000a_Especial" dataDxfId="124">
      <calculatedColumnFormula>IF(tblHorasAgo[Horas Trabalhadas Além Jornada]&gt;0,
IF(OR(VLOOKUP(TEXT(tblHorasAgo[Data],"dddd"),tblDiaUtil[],3,FALSE)="Não",IF(tblHorasAgo[Evento 
(1º Período)]&lt;&gt;"",IF(VLOOKUP(tblHorasAgo[Evento 
(1º Período)],tblEvento[],Tabelas!$E$1,FALSE)="Sim",TRUE,FALSE),FALSE),IF(tblHorasAgo[Evento 
(2º Período)]&lt;&gt;"",IF(VLOOKUP(tblHorasAgo[Evento 
(2º Período)],tblEvento[],Tabelas!$E$1,FALSE)="Sim",TRUE,FALSE),FALSE)),
tblHorasAgo[Horas Trabalhadas Além Jornada],""),"")</calculatedColumnFormula>
    </tableColumn>
    <tableColumn id="12" name="Informação" dataDxfId="123">
      <calculatedColumnFormula>IF(tblHorasAgo[Evento 
(1º Período)]&lt;&gt;""," - " &amp;VLOOKUP(tblHorasAgo[Evento 
(1º Período)],tblEvento[],Tabelas!$F$1,FALSE),"")&amp;IF(AND(tblHorasAgo[Evento 
(2º Período)]&lt;&gt;"",tblHorasAgo[Evento 
(2º Período)]&lt;&gt;tblHorasAgo[Evento 
(1º Período)])," - " &amp; VLOOKUP(tblHorasAgo[Evento 
(2º Período)],tblEvento[],Tabelas!$F$1,FALSE),"")</calculatedColumnFormula>
    </tableColumn>
  </tableColumns>
  <tableStyleInfo name="TableStyleLight18" showFirstColumn="0" showLastColumn="0" showRowStripes="1" showColumnStripes="0"/>
</table>
</file>

<file path=xl/tables/table15.xml><?xml version="1.0" encoding="utf-8"?>
<table xmlns="http://schemas.openxmlformats.org/spreadsheetml/2006/main" id="13" name="tblHorasSet" displayName="tblHorasSet" ref="B8:T39" totalsRowShown="0" headerRowDxfId="114" dataDxfId="113">
  <tableColumns count="19">
    <tableColumn id="1" name="Data" dataDxfId="112">
      <calculatedColumnFormula>IF(B8&lt;&gt;"",IF(DAY(B8+1)=1,"",B8+1),"")</calculatedColumnFormula>
    </tableColumn>
    <tableColumn id="2" name="Dia" dataDxfId="111">
      <calculatedColumnFormula>TEXT(tblHorasSet[Data],"ddd")</calculatedColumnFormula>
    </tableColumn>
    <tableColumn id="3" name="Evento _x000a_(1º Período)" dataDxfId="110"/>
    <tableColumn id="4" name="Entrada - 1" dataDxfId="109"/>
    <tableColumn id="5" name="Saída - 1 (Almoço)" dataDxfId="108"/>
    <tableColumn id="6" name="Entrada - 2 (Almoço)" dataDxfId="107"/>
    <tableColumn id="7" name="Saída - 2" dataDxfId="106"/>
    <tableColumn id="13" name="Evento _x000a_(2º Período)" dataDxfId="105"/>
    <tableColumn id="15" name="Horas Trabalhadas (1º Período)" dataDxfId="104">
      <calculatedColumnFormula>IF($B$6&lt;&gt;"",
IF(AND(tblHorasSet[Evento 
(1º Período)]&lt;&gt;"",IF(ISERROR(VLOOKUP(tblHorasSet[Evento 
(1º Período)],tblEvento[],Tabelas!$D$1,FALSE)),FALSE,VLOOKUP(tblHorasSet[Evento 
(1º Período)],tblEvento[],Tabelas!$D$1,FALSE)="Sim")),
        IF(JORNADA_PERIODO_1&lt;&gt;"",
IF(VLOOKUP(tblHorasSet[Dia],tblDiaUtil[[Abreviatura]:[1º Período]],3,FALSE)&gt;0,VLOOKUP(tblHorasSet[Dia],tblDiaUtil[[Abreviatura]:[1º Período]],3,FALSE),JORNADA_PERIODO_1),
IF(VLOOKUP(tblHorasSet[Dia],tblDiaUtil[[Abreviatura]:[1º Período]],3,FALSE)&gt;0,VLOOKUP(tblHorasSet[Dia],tblDiaUtil[[Abreviatura]:[1º Período]],3,FALSE),JORNADA/2)),
        IF(AND(ISNUMBER(tblHorasSet[Saída - 1 (Almoço)]),ISNUMBER(tblHorasSet[Entrada - 1])),
              IF(OR(AND(tblHorasSet[Evento 
(1º Período)]&lt;&gt;"",IF(ISERROR(VLOOKUP(tblHorasSet[Evento 
(1º Período)],tblEvento[],Tabelas!$E$1,FALSE)),FALSE,VLOOKUP(tblHorasSet[Evento 
(1º Período)],tblEvento[],Tabelas!$E$1,FALSE)="Sim")),IF(VLOOKUP(TEXT(tblHorasSet[Data],"dddd"),tblDiaUtil[],2,FALSE)="Não",TRUE,FALSE)),
                   tblHorasSet[Saída - 1 (Almoço)]-tblHorasSet[Entrada - 1],
                   IF(OR(HOUR(tblHorasSet[Saída - 1 (Almoço)]-tblHorasSet[Entrada - 1])&gt;0,ROUND(tblHorasSet[Saída - 1 (Almoço)]-tblHorasSet[Entrada - 1],6)&gt;ROUND(CARENCIA,6)),
                          tblHorasSet[Saída - 1 (Almoço)]-tblHorasSet[Entrada - 1],
                          0)),
                    0)),0)</calculatedColumnFormula>
    </tableColumn>
    <tableColumn id="16" name="Horas Trabalhadas (2º Período)" dataDxfId="103">
      <calculatedColumnFormula>IF($B$6&lt;&gt;"",
IF(AND(tblHorasSet[Evento 
(2º Período)]&lt;&gt;"",IF(ISERROR(VLOOKUP(tblHorasSet[Evento 
(2º Período)],tblEvento[],Tabelas!$D$1,FALSE)),FALSE,VLOOKUP(tblHorasSet[Evento 
(2º Período)],tblEvento[],Tabelas!$D$1,FALSE)="Sim")),
        IF(JORNADA_PERIODO_2&lt;&gt;"",
IF(VLOOKUP(tblHorasSet[Dia],tblDiaUtil[[Abreviatura]:[2º Período]],4,FALSE)&gt;0,VLOOKUP(tblHorasSet[Dia],tblDiaUtil[[Abreviatura]:[2º Período]],4,FALSE),JORNADA_PERIODO_2),
IF(VLOOKUP(tblHorasSet[Dia],tblDiaUtil[[Abreviatura]:[2º Período]],4,FALSE)&gt;0,VLOOKUP(tblHorasSet[Dia],tblDiaUtil[[Abreviatura]:[2º Período]],4,FALSE),JORNADA/2)),
        IF(AND(ISNUMBER(tblHorasSet[Saída - 2]),ISNUMBER(tblHorasSet[Entrada - 2 (Almoço)])),
              IF(OR(AND(tblHorasSet[Evento 
(2º Período)]&lt;&gt;"",IF(ISERROR(VLOOKUP(tblHorasSet[Evento 
(2º Período)],tblEvento[],Tabelas!$E$1,FALSE)),FALSE,VLOOKUP(tblHorasSet[Evento 
(2º Período)],tblEvento[],Tabelas!$E$1,FALSE)="Sim")),IF(VLOOKUP(TEXT(tblHorasSet[Data],"dddd"),tblDiaUtil[],2,FALSE)="Não",TRUE,FALSE)),
                   tblHorasSet[Saída - 2]-tblHorasSet[Entrada - 2 (Almoço)],
                   IF(OR(HOUR(tblHorasSet[Saída - 2]-tblHorasSet[Entrada - 2 (Almoço)])&gt;0,MINUTE(tblHorasSet[Saída - 2]-tblHorasSet[Entrada - 2 (Almoço)])&gt;CARENCIA),
                         tblHorasSet[Saída - 2]-tblHorasSet[Entrada - 2 (Almoço)],
                         0)),
       0)),0)</calculatedColumnFormula>
    </tableColumn>
    <tableColumn id="8" name="Horas Trabalhadas" dataDxfId="102">
      <calculatedColumnFormula>tblHorasSet[Horas Trabalhadas (1º Período)]+tblHorasSet[Horas Trabalhadas (2º Período)]</calculatedColumnFormula>
    </tableColumn>
    <tableColumn id="17" name="Jornada Diária" dataDxfId="101">
      <calculatedColumnFormula>IF(tblHorasSet[Data]&lt;&gt;"",
        IF(
AND(VLOOKUP(TEXT(tblHorasSet[Data],"dddd"),tblDiaUtil[],3,FALSE)="Sim",IF(tblHorasSet[Evento 
(1º Período)]&lt;&gt;"",IF(VLOOKUP(tblHorasSet[Evento 
(1º Período)],tblEvento[],Tabelas!$E$1,FALSE)="Sim",FALSE,TRUE),TRUE),IF(tblHorasSet[Evento 
(2º Período)]&lt;&gt;"",IF(VLOOKUP(tblHorasSet[Evento 
(2º Período)],tblEvento[],Tabelas!$E$1,FALSE)="Sim",FALSE,TRUE),TRUE)),
              IF(VLOOKUP(tblHorasSet[Dia],tblDiaUtil[[Abreviatura]:[1º Período]],3,FALSE)&gt;0,VLOOKUP(tblHorasSet[Dia],tblDiaUtil[[Abreviatura]:[1º Período]],3,FALSE),JORNADA),
              ""),
         "")</calculatedColumnFormula>
    </tableColumn>
    <tableColumn id="11" name="Horas Trabalhadas Além Jornada" dataDxfId="3">
      <calculatedColumnFormula>IF(OR(tblHorasSet[Horas Trabalhadas (1º Período)]&lt;&gt;0,tblHorasSet[Horas Trabalhadas (2º Período)]&lt;&gt;0),
        IF(ISNUMBER(tblHorasSet[Jornada Diária]),
              IF(tblHorasSet[Jornada Diária]&gt;(tblHorasSet[Horas Trabalhadas (2º Período)]+tblHorasSet[Horas Trabalhadas (1º Período)]),
                     IF(ROUND((tblHorasSet[Jornada Diária]-(tblHorasSet[Horas Trabalhadas (2º Período)]+tblHorasSet[Horas Trabalhadas (1º Período)])),6)&gt;ROUND(CARENCIA,6),
                           -tblHorasSet[Jornada Diária]+(tblHorasSet[Horas Trabalhadas (2º Período)]+tblHorasSet[Horas Trabalhadas (1º Período)]),
                           0),
                      IF(ROUND((tblHorasSet[Jornada Diária]-(tblHorasSet[Horas Trabalhadas (2º Período)]+tblHorasSet[Horas Trabalhadas (1º Período)])),6)&lt;ROUND(-CARENCIA,6),
                           -tblHorasSet[Jornada Diária]+(tblHorasSet[Horas Trabalhadas (2º Período)]+tblHorasSet[Horas Trabalhadas (1º Período)]),
                           0)),
              tblHorasSet[Horas Trabalhadas (2º Período)]+tblHorasSet[Horas Trabalhadas (1º Período)]),
         IF(AND(IF(ISERROR(VLOOKUP(tblHorasSet[Evento 
(1º Período)],tblEvento[[Evento]:[Libera o Período]],4,FALSE)),FALSE,IF(VLOOKUP(tblHorasSet[Evento 
(1º Período)],tblEvento[[Evento]:[Libera o Período]],4,FALSE)="Não",TRUE,FALSE)),IF(ISERROR(VLOOKUP(tblHorasSet[Evento 
(2º Período)],tblEvento[[Evento]:[Libera o Período]],4,FALSE)),FALSE,IF(VLOOKUP(tblHorasSet[Evento 
(2º Período)],tblEvento[[Evento]:[Libera o Período]],4,FALSE)="Não",TRUE,FALSE))),
-IF(VLOOKUP(tblHorasSet[Dia],tblDiaUtil[[Abreviatura]:[Total Jornada]],5,FALSE)&lt;&gt;"",VLOOKUP(tblHorasSet[Dia],tblDiaUtil[[Abreviatura]:[Total Jornada]],5,FALSE),JORNADA),
IF(IF(ISERROR(VLOOKUP(tblHorasSet[Evento 
(1º Período)],tblEvento[[Evento]:[Libera o Período]],4,FALSE)),FALSE,
IF(VLOOKUP(tblHorasSet[Evento 
(1º Período)],tblEvento[[Evento]:[Libera o Período]],4,FALSE)="Não",TRUE,FALSE)
),
-IF(VLOOKUP(tblHorasSet[Dia],tblDiaUtil[[Abreviatura]:[1º Período]],3,FALSE)&lt;&gt;"",VLOOKUP(tblHorasSet[Dia],tblDiaUtil[[Abreviatura]:[1º Período]],3,FALSE),JORNADA_PERIODO_1),
IF(IF(ISERROR(VLOOKUP(tblHorasSet[Evento 
(2º Período)],tblEvento[[Evento]:[Libera o Período]],4,FALSE)),FALSE,IF(VLOOKUP(tblHorasSet[Evento 
(2º Período)],tblEvento[[Evento]:[Libera o Período]],4,FALSE)="Não",TRUE,FALSE)),
-IF(VLOOKUP(tblHorasSet[Dia],tblDiaUtil[[Abreviatura]:[2º Período]],4,FALSE)&lt;&gt;"",VLOOKUP(tblHorasSet[Dia],tblDiaUtil[[Abreviatura]:[2º Período]],4,FALSE),JORNADA_PERIODO_2),0))))</calculatedColumnFormula>
    </tableColumn>
    <tableColumn id="18" name="Saldo de Horas" dataDxfId="100">
      <calculatedColumnFormula>IF(tblHorasSet[[#This Row],[Horas Trabalhadas Além Jornada]]&gt;0,
        IF(tblHorasSet[[#This Row],[Jornada Diária]]&lt;&gt;"",
              IF(HOUR(tblHorasSet[[#This Row],[Horas Trabalhadas Além Jornada]])&gt;=VLOOKUP(LIMITE,tblLimiteHora[],Tabelas!$I$1,FALSE),
                    VLOOKUP(LIMITE,tblLimiteHora[],Tabelas!$J$1,FALSE),
                    tblHorasSet[[#This Row],[Horas Trabalhadas Além Jornada]]),
              tblHorasSet[[#This Row],[Horas Trabalhadas Além Jornada]]),
        0)</calculatedColumnFormula>
    </tableColumn>
    <tableColumn id="19" name="Atrasos_x000a_(horas)" dataDxfId="99">
      <calculatedColumnFormula>IF(tblHorasSet[Horas Trabalhadas Além Jornada]&lt;0,IF(OR(tblHorasSet[Evento 
(1º Período)]="",tblHorasSet[Evento 
(2º Período)]=""),tblHorasSet[Horas Trabalhadas Além Jornada],""),"")</calculatedColumnFormula>
    </tableColumn>
    <tableColumn id="14" name="Faltas_x000a_(dias)" dataDxfId="98">
      <calculatedColumnFormula>IF(tblHorasSet[Jornada Diária]&lt;&gt;"",IF((N(tblHorasSet[Jornada Diária])-ABS(N(tblHorasSet[Horas Trabalhadas Além Jornada])))=0,1,""),"")</calculatedColumnFormula>
    </tableColumn>
    <tableColumn id="10" name="Hora Extra Normal" dataDxfId="97">
      <calculatedColumnFormula>IF(tblHorasSet[Horas Trabalhadas Além Jornada]&gt;0,
IF(AND(VLOOKUP(TEXT(tblHorasSet[Data],"dddd"),tblDiaUtil[],3,FALSE)="Sim",IF(tblHorasSet[Evento 
(1º Período)]&lt;&gt;"",IF(VLOOKUP(tblHorasSet[Evento 
(1º Período)],tblEvento[],Tabelas!$E$1,FALSE)="Sim",FALSE,TRUE),TRUE),IF(tblHorasSet[Evento 
(2º Período)]&lt;&gt;"",IF(VLOOKUP(tblHorasSet[Evento 
(2º Período)],tblEvento[],Tabelas!$E$1,FALSE)="Sim",FALSE,TRUE),TRUE)),
tblHorasSet[Horas Trabalhadas Além Jornada],""),"")</calculatedColumnFormula>
    </tableColumn>
    <tableColumn id="9" name="Hora Extra _x000a_Especial" dataDxfId="96">
      <calculatedColumnFormula>IF(tblHorasSet[Horas Trabalhadas Além Jornada]&gt;0,
IF(OR(VLOOKUP(TEXT(tblHorasSet[Data],"dddd"),tblDiaUtil[],3,FALSE)="Não",IF(tblHorasSet[Evento 
(1º Período)]&lt;&gt;"",IF(VLOOKUP(tblHorasSet[Evento 
(1º Período)],tblEvento[],Tabelas!$E$1,FALSE)="Sim",TRUE,FALSE),FALSE),IF(tblHorasSet[Evento 
(2º Período)]&lt;&gt;"",IF(VLOOKUP(tblHorasSet[Evento 
(2º Período)],tblEvento[],Tabelas!$E$1,FALSE)="Sim",TRUE,FALSE),FALSE)),
tblHorasSet[Horas Trabalhadas Além Jornada],""),"")</calculatedColumnFormula>
    </tableColumn>
    <tableColumn id="12" name="Informação" dataDxfId="95">
      <calculatedColumnFormula>IF(tblHorasSet[Evento 
(1º Período)]&lt;&gt;""," - " &amp;VLOOKUP(tblHorasSet[Evento 
(1º Período)],tblEvento[],Tabelas!$F$1,FALSE),"")&amp;IF(AND(tblHorasSet[Evento 
(2º Período)]&lt;&gt;"",tblHorasSet[Evento 
(2º Período)]&lt;&gt;tblHorasSet[Evento 
(1º Período)])," - " &amp; VLOOKUP(tblHorasSet[Evento 
(2º Período)],tblEvento[],Tabelas!$F$1,FALSE),"")</calculatedColumnFormula>
    </tableColumn>
  </tableColumns>
  <tableStyleInfo name="TableStyleLight18" showFirstColumn="0" showLastColumn="0" showRowStripes="1" showColumnStripes="0"/>
</table>
</file>

<file path=xl/tables/table16.xml><?xml version="1.0" encoding="utf-8"?>
<table xmlns="http://schemas.openxmlformats.org/spreadsheetml/2006/main" id="14" name="tblHorasOut" displayName="tblHorasOut" ref="B8:T39" totalsRowShown="0" headerRowDxfId="86" dataDxfId="85">
  <tableColumns count="19">
    <tableColumn id="1" name="Data" dataDxfId="84">
      <calculatedColumnFormula>IF(B8&lt;&gt;"",IF(DAY(B8+1)=1,"",B8+1),"")</calculatedColumnFormula>
    </tableColumn>
    <tableColumn id="2" name="Dia" dataDxfId="83">
      <calculatedColumnFormula>TEXT(tblHorasOut[Data],"ddd")</calculatedColumnFormula>
    </tableColumn>
    <tableColumn id="3" name="Evento _x000a_(1º Período)" dataDxfId="82"/>
    <tableColumn id="4" name="Entrada - 1" dataDxfId="81"/>
    <tableColumn id="5" name="Saída - 1 (Almoço)" dataDxfId="80"/>
    <tableColumn id="6" name="Entrada - 2 (Almoço)" dataDxfId="79"/>
    <tableColumn id="7" name="Saída - 2" dataDxfId="78"/>
    <tableColumn id="13" name="Evento _x000a_(2º Período)" dataDxfId="77"/>
    <tableColumn id="15" name="Horas Trabalhadas (1º Período)" dataDxfId="76">
      <calculatedColumnFormula>IF($B$6&lt;&gt;"",
IF(AND(tblHorasOut[Evento 
(1º Período)]&lt;&gt;"",IF(ISERROR(VLOOKUP(tblHorasOut[Evento 
(1º Período)],tblEvento[],Tabelas!$D$1,FALSE)),FALSE,VLOOKUP(tblHorasOut[Evento 
(1º Período)],tblEvento[],Tabelas!$D$1,FALSE)="Sim")),
        IF(JORNADA_PERIODO_1&lt;&gt;"",
IF(VLOOKUP(tblHorasOut[Dia],tblDiaUtil[[Abreviatura]:[1º Período]],3,FALSE)&gt;0,VLOOKUP(tblHorasOut[Dia],tblDiaUtil[[Abreviatura]:[1º Período]],3,FALSE),JORNADA_PERIODO_1),
IF(VLOOKUP(tblHorasOut[Dia],tblDiaUtil[[Abreviatura]:[1º Período]],3,FALSE)&gt;0,VLOOKUP(tblHorasOut[Dia],tblDiaUtil[[Abreviatura]:[1º Período]],3,FALSE),JORNADA/2)),
        IF(AND(ISNUMBER(tblHorasOut[Saída - 1 (Almoço)]),ISNUMBER(tblHorasOut[Entrada - 1])),
              IF(OR(AND(tblHorasOut[Evento 
(1º Período)]&lt;&gt;"",IF(ISERROR(VLOOKUP(tblHorasOut[Evento 
(1º Período)],tblEvento[],Tabelas!$E$1,FALSE)),FALSE,VLOOKUP(tblHorasOut[Evento 
(1º Período)],tblEvento[],Tabelas!$E$1,FALSE)="Sim")),IF(VLOOKUP(TEXT(tblHorasOut[Data],"dddd"),tblDiaUtil[],2,FALSE)="Não",TRUE,FALSE)),
                   tblHorasOut[Saída - 1 (Almoço)]-tblHorasOut[Entrada - 1],
                   IF(OR(HOUR(tblHorasOut[Saída - 1 (Almoço)]-tblHorasOut[Entrada - 1])&gt;0,ROUND(tblHorasOut[Saída - 1 (Almoço)]-tblHorasOut[Entrada - 1],6)&gt;ROUND(CARENCIA,6)),
                          tblHorasOut[Saída - 1 (Almoço)]-tblHorasOut[Entrada - 1],
                          0)),
                    0)),0)</calculatedColumnFormula>
    </tableColumn>
    <tableColumn id="16" name="Horas Trabalhadas (2º Período)" dataDxfId="75">
      <calculatedColumnFormula>IF($B$6&lt;&gt;"",
IF(AND(tblHorasOut[Evento 
(2º Período)]&lt;&gt;"",IF(ISERROR(VLOOKUP(tblHorasOut[Evento 
(2º Período)],tblEvento[],Tabelas!$D$1,FALSE)),FALSE,VLOOKUP(tblHorasOut[Evento 
(2º Período)],tblEvento[],Tabelas!$D$1,FALSE)="Sim")),
        IF(JORNADA_PERIODO_2&lt;&gt;"",
IF(VLOOKUP(tblHorasOut[Dia],tblDiaUtil[[Abreviatura]:[2º Período]],4,FALSE)&gt;0,VLOOKUP(tblHorasOut[Dia],tblDiaUtil[[Abreviatura]:[2º Período]],4,FALSE),JORNADA_PERIODO_2),
IF(VLOOKUP(tblHorasOut[Dia],tblDiaUtil[[Abreviatura]:[2º Período]],4,FALSE)&gt;0,VLOOKUP(tblHorasOut[Dia],tblDiaUtil[[Abreviatura]:[2º Período]],4,FALSE),JORNADA/2)),
        IF(AND(ISNUMBER(tblHorasOut[Saída - 2]),ISNUMBER(tblHorasOut[Entrada - 2 (Almoço)])),
              IF(OR(AND(tblHorasOut[Evento 
(2º Período)]&lt;&gt;"",IF(ISERROR(VLOOKUP(tblHorasOut[Evento 
(2º Período)],tblEvento[],Tabelas!$E$1,FALSE)),FALSE,VLOOKUP(tblHorasOut[Evento 
(2º Período)],tblEvento[],Tabelas!$E$1,FALSE)="Sim")),IF(VLOOKUP(TEXT(tblHorasOut[Data],"dddd"),tblDiaUtil[],2,FALSE)="Não",TRUE,FALSE)),
                   tblHorasOut[Saída - 2]-tblHorasOut[Entrada - 2 (Almoço)],
                   IF(OR(HOUR(tblHorasOut[Saída - 2]-tblHorasOut[Entrada - 2 (Almoço)])&gt;0,MINUTE(tblHorasOut[Saída - 2]-tblHorasOut[Entrada - 2 (Almoço)])&gt;CARENCIA),
                         tblHorasOut[Saída - 2]-tblHorasOut[Entrada - 2 (Almoço)],
                         0)),
       0)),0)</calculatedColumnFormula>
    </tableColumn>
    <tableColumn id="8" name="Horas Trabalhadas" dataDxfId="74">
      <calculatedColumnFormula>tblHorasOut[Horas Trabalhadas (1º Período)]+tblHorasOut[Horas Trabalhadas (2º Período)]</calculatedColumnFormula>
    </tableColumn>
    <tableColumn id="17" name="Jornada Diária" dataDxfId="73">
      <calculatedColumnFormula>IF(tblHorasOut[Data]&lt;&gt;"",
        IF(
AND(VLOOKUP(TEXT(tblHorasOut[Data],"dddd"),tblDiaUtil[],3,FALSE)="Sim",IF(tblHorasOut[Evento 
(1º Período)]&lt;&gt;"",IF(VLOOKUP(tblHorasOut[Evento 
(1º Período)],tblEvento[],Tabelas!$E$1,FALSE)="Sim",FALSE,TRUE),TRUE),IF(tblHorasOut[Evento 
(2º Período)]&lt;&gt;"",IF(VLOOKUP(tblHorasOut[Evento 
(2º Período)],tblEvento[],Tabelas!$E$1,FALSE)="Sim",FALSE,TRUE),TRUE)),
              IF(VLOOKUP(tblHorasOut[Dia],tblDiaUtil[[Abreviatura]:[1º Período]],3,FALSE)&gt;0,VLOOKUP(tblHorasOut[Dia],tblDiaUtil[[Abreviatura]:[1º Período]],3,FALSE),JORNADA),
              ""),
         "")</calculatedColumnFormula>
    </tableColumn>
    <tableColumn id="11" name="Horas Trabalhadas Além Jornada" dataDxfId="2">
      <calculatedColumnFormula>IF(OR(tblHorasOut[Horas Trabalhadas (1º Período)]&lt;&gt;0,tblHorasOut[Horas Trabalhadas (2º Período)]&lt;&gt;0),
        IF(ISNUMBER(tblHorasOut[Jornada Diária]),
              IF(tblHorasOut[Jornada Diária]&gt;(tblHorasOut[Horas Trabalhadas (2º Período)]+tblHorasOut[Horas Trabalhadas (1º Período)]),
                     IF(ROUND((tblHorasOut[Jornada Diária]-(tblHorasOut[Horas Trabalhadas (2º Período)]+tblHorasOut[Horas Trabalhadas (1º Período)])),6)&gt;ROUND(CARENCIA,6),
                           -tblHorasOut[Jornada Diária]+(tblHorasOut[Horas Trabalhadas (2º Período)]+tblHorasOut[Horas Trabalhadas (1º Período)]),
                           0),
                      IF(ROUND((tblHorasOut[Jornada Diária]-(tblHorasOut[Horas Trabalhadas (2º Período)]+tblHorasOut[Horas Trabalhadas (1º Período)])),6)&lt;ROUND(-CARENCIA,6),
                           -tblHorasOut[Jornada Diária]+(tblHorasOut[Horas Trabalhadas (2º Período)]+tblHorasOut[Horas Trabalhadas (1º Período)]),
                           0)),
              tblHorasOut[Horas Trabalhadas (2º Período)]+tblHorasOut[Horas Trabalhadas (1º Período)]),
         IF(AND(IF(ISERROR(VLOOKUP(tblHorasOut[Evento 
(1º Período)],tblEvento[[Evento]:[Libera o Período]],4,FALSE)),FALSE,IF(VLOOKUP(tblHorasOut[Evento 
(1º Período)],tblEvento[[Evento]:[Libera o Período]],4,FALSE)="Não",TRUE,FALSE)),IF(ISERROR(VLOOKUP(tblHorasOut[Evento 
(2º Período)],tblEvento[[Evento]:[Libera o Período]],4,FALSE)),FALSE,IF(VLOOKUP(tblHorasOut[Evento 
(2º Período)],tblEvento[[Evento]:[Libera o Período]],4,FALSE)="Não",TRUE,FALSE))),
-IF(VLOOKUP(tblHorasOut[Dia],tblDiaUtil[[Abreviatura]:[Total Jornada]],5,FALSE)&lt;&gt;"",VLOOKUP(tblHorasOut[Dia],tblDiaUtil[[Abreviatura]:[Total Jornada]],5,FALSE),JORNADA),
IF(IF(ISERROR(VLOOKUP(tblHorasOut[Evento 
(1º Período)],tblEvento[[Evento]:[Libera o Período]],4,FALSE)),FALSE,
IF(VLOOKUP(tblHorasOut[Evento 
(1º Período)],tblEvento[[Evento]:[Libera o Período]],4,FALSE)="Não",TRUE,FALSE)
),
-IF(VLOOKUP(tblHorasOut[Dia],tblDiaUtil[[Abreviatura]:[1º Período]],3,FALSE)&lt;&gt;"",VLOOKUP(tblHorasOut[Dia],tblDiaUtil[[Abreviatura]:[1º Período]],3,FALSE),JORNADA_PERIODO_1),
IF(IF(ISERROR(VLOOKUP(tblHorasOut[Evento 
(2º Período)],tblEvento[[Evento]:[Libera o Período]],4,FALSE)),FALSE,IF(VLOOKUP(tblHorasOut[Evento 
(2º Período)],tblEvento[[Evento]:[Libera o Período]],4,FALSE)="Não",TRUE,FALSE)),
-IF(VLOOKUP(tblHorasOut[Dia],tblDiaUtil[[Abreviatura]:[2º Período]],4,FALSE)&lt;&gt;"",VLOOKUP(tblHorasOut[Dia],tblDiaUtil[[Abreviatura]:[2º Período]],4,FALSE),JORNADA_PERIODO_2),0))))</calculatedColumnFormula>
    </tableColumn>
    <tableColumn id="18" name="Saldo de Horas" dataDxfId="72">
      <calculatedColumnFormula>IF(tblHorasOut[[#This Row],[Horas Trabalhadas Além Jornada]]&gt;0,
        IF(tblHorasOut[[#This Row],[Jornada Diária]]&lt;&gt;"",
              IF(HOUR(tblHorasOut[[#This Row],[Horas Trabalhadas Além Jornada]])&gt;=VLOOKUP(LIMITE,tblLimiteHora[],Tabelas!$I$1,FALSE),
                    VLOOKUP(LIMITE,tblLimiteHora[],Tabelas!$J$1,FALSE),
                    tblHorasOut[[#This Row],[Horas Trabalhadas Além Jornada]]),
              tblHorasOut[[#This Row],[Horas Trabalhadas Além Jornada]]),
        0)</calculatedColumnFormula>
    </tableColumn>
    <tableColumn id="19" name="Atrasos_x000a_(horas)" dataDxfId="71">
      <calculatedColumnFormula>IF(tblHorasOut[Horas Trabalhadas Além Jornada]&lt;0,IF(OR(tblHorasOut[Evento 
(1º Período)]="",tblHorasOut[Evento 
(2º Período)]=""),tblHorasOut[Horas Trabalhadas Além Jornada],""),"")</calculatedColumnFormula>
    </tableColumn>
    <tableColumn id="14" name="Faltas_x000a_(dias)" dataDxfId="70">
      <calculatedColumnFormula>IF(tblHorasOut[Jornada Diária]&lt;&gt;"",IF((N(tblHorasOut[Jornada Diária])-ABS(N(tblHorasOut[Horas Trabalhadas Além Jornada])))=0,1,""),"")</calculatedColumnFormula>
    </tableColumn>
    <tableColumn id="10" name="Hora Extra Normal" dataDxfId="69">
      <calculatedColumnFormula>IF(tblHorasOut[Horas Trabalhadas Além Jornada]&gt;0,
IF(AND(VLOOKUP(TEXT(tblHorasOut[Data],"dddd"),tblDiaUtil[],3,FALSE)="Sim",IF(tblHorasOut[Evento 
(1º Período)]&lt;&gt;"",IF(VLOOKUP(tblHorasOut[Evento 
(1º Período)],tblEvento[],Tabelas!$E$1,FALSE)="Sim",FALSE,TRUE),TRUE),IF(tblHorasOut[Evento 
(2º Período)]&lt;&gt;"",IF(VLOOKUP(tblHorasOut[Evento 
(2º Período)],tblEvento[],Tabelas!$E$1,FALSE)="Sim",FALSE,TRUE),TRUE)),
tblHorasOut[Horas Trabalhadas Além Jornada],""),"")</calculatedColumnFormula>
    </tableColumn>
    <tableColumn id="9" name="Hora Extra _x000a_Especial" dataDxfId="68">
      <calculatedColumnFormula>IF(tblHorasOut[Horas Trabalhadas Além Jornada]&gt;0,
IF(OR(VLOOKUP(TEXT(tblHorasOut[Data],"dddd"),tblDiaUtil[],3,FALSE)="Não",IF(tblHorasOut[Evento 
(1º Período)]&lt;&gt;"",IF(VLOOKUP(tblHorasOut[Evento 
(1º Período)],tblEvento[],Tabelas!$E$1,FALSE)="Sim",TRUE,FALSE),FALSE),IF(tblHorasOut[Evento 
(2º Período)]&lt;&gt;"",IF(VLOOKUP(tblHorasOut[Evento 
(2º Período)],tblEvento[],Tabelas!$E$1,FALSE)="Sim",TRUE,FALSE),FALSE)),
tblHorasOut[Horas Trabalhadas Além Jornada],""),"")</calculatedColumnFormula>
    </tableColumn>
    <tableColumn id="12" name="Informação" dataDxfId="67">
      <calculatedColumnFormula>IF(tblHorasOut[Evento 
(1º Período)]&lt;&gt;""," - " &amp;VLOOKUP(tblHorasOut[Evento 
(1º Período)],tblEvento[],Tabelas!$F$1,FALSE),"")&amp;IF(AND(tblHorasOut[Evento 
(2º Período)]&lt;&gt;"",tblHorasOut[Evento 
(2º Período)]&lt;&gt;tblHorasOut[Evento 
(1º Período)])," - " &amp; VLOOKUP(tblHorasOut[Evento 
(2º Período)],tblEvento[],Tabelas!$F$1,FALSE),"")</calculatedColumnFormula>
    </tableColumn>
  </tableColumns>
  <tableStyleInfo name="TableStyleLight18" showFirstColumn="0" showLastColumn="0" showRowStripes="1" showColumnStripes="0"/>
</table>
</file>

<file path=xl/tables/table17.xml><?xml version="1.0" encoding="utf-8"?>
<table xmlns="http://schemas.openxmlformats.org/spreadsheetml/2006/main" id="15" name="tblHorasNov" displayName="tblHorasNov" ref="B8:T39" totalsRowShown="0" headerRowDxfId="58" dataDxfId="57">
  <tableColumns count="19">
    <tableColumn id="1" name="Data" dataDxfId="56">
      <calculatedColumnFormula>IF(B8&lt;&gt;"",IF(DAY(B8+1)=1,"",B8+1),"")</calculatedColumnFormula>
    </tableColumn>
    <tableColumn id="2" name="Dia" dataDxfId="55">
      <calculatedColumnFormula>TEXT(tblHorasNov[Data],"ddd")</calculatedColumnFormula>
    </tableColumn>
    <tableColumn id="3" name="Evento _x000a_(1º Período)" dataDxfId="54"/>
    <tableColumn id="4" name="Entrada - 1" dataDxfId="53"/>
    <tableColumn id="5" name="Saída - 1 (Almoço)" dataDxfId="52"/>
    <tableColumn id="6" name="Entrada - 2 (Almoço)" dataDxfId="51"/>
    <tableColumn id="7" name="Saída - 2" dataDxfId="50"/>
    <tableColumn id="13" name="Evento _x000a_(2º Período)" dataDxfId="49"/>
    <tableColumn id="15" name="Horas Trabalhadas (1º Período)" dataDxfId="48">
      <calculatedColumnFormula>IF($B$6&lt;&gt;"",
IF(AND(tblHorasNov[Evento 
(1º Período)]&lt;&gt;"",IF(ISERROR(VLOOKUP(tblHorasNov[Evento 
(1º Período)],tblEvento[],Tabelas!$D$1,FALSE)),FALSE,VLOOKUP(tblHorasNov[Evento 
(1º Período)],tblEvento[],Tabelas!$D$1,FALSE)="Sim")),
        IF(JORNADA_PERIODO_1&lt;&gt;"",
IF(VLOOKUP(tblHorasNov[Dia],tblDiaUtil[[Abreviatura]:[1º Período]],3,FALSE)&gt;0,VLOOKUP(tblHorasNov[Dia],tblDiaUtil[[Abreviatura]:[1º Período]],3,FALSE),JORNADA_PERIODO_1),
IF(VLOOKUP(tblHorasNov[Dia],tblDiaUtil[[Abreviatura]:[1º Período]],3,FALSE)&gt;0,VLOOKUP(tblHorasNov[Dia],tblDiaUtil[[Abreviatura]:[1º Período]],3,FALSE),JORNADA/2)),
        IF(AND(ISNUMBER(tblHorasNov[Saída - 1 (Almoço)]),ISNUMBER(tblHorasNov[Entrada - 1])),
              IF(OR(AND(tblHorasNov[Evento 
(1º Período)]&lt;&gt;"",IF(ISERROR(VLOOKUP(tblHorasNov[Evento 
(1º Período)],tblEvento[],Tabelas!$E$1,FALSE)),FALSE,VLOOKUP(tblHorasNov[Evento 
(1º Período)],tblEvento[],Tabelas!$E$1,FALSE)="Sim")),IF(VLOOKUP(TEXT(tblHorasNov[Data],"dddd"),tblDiaUtil[],2,FALSE)="Não",TRUE,FALSE)),
                   tblHorasNov[Saída - 1 (Almoço)]-tblHorasNov[Entrada - 1],
                   IF(OR(HOUR(tblHorasNov[Saída - 1 (Almoço)]-tblHorasNov[Entrada - 1])&gt;0,ROUND(tblHorasNov[Saída - 1 (Almoço)]-tblHorasNov[Entrada - 1],6)&gt;ROUND(CARENCIA,6)),
                          tblHorasNov[Saída - 1 (Almoço)]-tblHorasNov[Entrada - 1],
                          0)),
                    0)),0)</calculatedColumnFormula>
    </tableColumn>
    <tableColumn id="16" name="Horas Trabalhadas (2º Período)" dataDxfId="47">
      <calculatedColumnFormula>IF($B$6&lt;&gt;"",
IF(AND(tblHorasNov[Evento 
(2º Período)]&lt;&gt;"",IF(ISERROR(VLOOKUP(tblHorasNov[Evento 
(2º Período)],tblEvento[],Tabelas!$D$1,FALSE)),FALSE,VLOOKUP(tblHorasNov[Evento 
(2º Período)],tblEvento[],Tabelas!$D$1,FALSE)="Sim")),
        IF(JORNADA_PERIODO_2&lt;&gt;"",
IF(VLOOKUP(tblHorasNov[Dia],tblDiaUtil[[Abreviatura]:[2º Período]],4,FALSE)&gt;0,VLOOKUP(tblHorasNov[Dia],tblDiaUtil[[Abreviatura]:[2º Período]],4,FALSE),JORNADA_PERIODO_2),
IF(VLOOKUP(tblHorasNov[Dia],tblDiaUtil[[Abreviatura]:[2º Período]],4,FALSE)&gt;0,VLOOKUP(tblHorasNov[Dia],tblDiaUtil[[Abreviatura]:[2º Período]],4,FALSE),JORNADA/2)),
        IF(AND(ISNUMBER(tblHorasNov[Saída - 2]),ISNUMBER(tblHorasNov[Entrada - 2 (Almoço)])),
              IF(OR(AND(tblHorasNov[Evento 
(2º Período)]&lt;&gt;"",IF(ISERROR(VLOOKUP(tblHorasNov[Evento 
(2º Período)],tblEvento[],Tabelas!$E$1,FALSE)),FALSE,VLOOKUP(tblHorasNov[Evento 
(2º Período)],tblEvento[],Tabelas!$E$1,FALSE)="Sim")),IF(VLOOKUP(TEXT(tblHorasNov[Data],"dddd"),tblDiaUtil[],2,FALSE)="Não",TRUE,FALSE)),
                   tblHorasNov[Saída - 2]-tblHorasNov[Entrada - 2 (Almoço)],
                   IF(OR(HOUR(tblHorasNov[Saída - 2]-tblHorasNov[Entrada - 2 (Almoço)])&gt;0,MINUTE(tblHorasNov[Saída - 2]-tblHorasNov[Entrada - 2 (Almoço)])&gt;CARENCIA),
                         tblHorasNov[Saída - 2]-tblHorasNov[Entrada - 2 (Almoço)],
                         0)),
       0)),0)</calculatedColumnFormula>
    </tableColumn>
    <tableColumn id="8" name="Horas Trabalhadas" dataDxfId="46">
      <calculatedColumnFormula>tblHorasNov[Horas Trabalhadas (1º Período)]+tblHorasNov[Horas Trabalhadas (2º Período)]</calculatedColumnFormula>
    </tableColumn>
    <tableColumn id="17" name="Jornada Diária" dataDxfId="45">
      <calculatedColumnFormula>IF(tblHorasNov[Data]&lt;&gt;"",
        IF(
AND(VLOOKUP(TEXT(tblHorasNov[Data],"dddd"),tblDiaUtil[],3,FALSE)="Sim",IF(tblHorasNov[Evento 
(1º Período)]&lt;&gt;"",IF(VLOOKUP(tblHorasNov[Evento 
(1º Período)],tblEvento[],Tabelas!$E$1,FALSE)="Sim",FALSE,TRUE),TRUE),IF(tblHorasNov[Evento 
(2º Período)]&lt;&gt;"",IF(VLOOKUP(tblHorasNov[Evento 
(2º Período)],tblEvento[],Tabelas!$E$1,FALSE)="Sim",FALSE,TRUE),TRUE)),
              IF(VLOOKUP(tblHorasNov[Dia],tblDiaUtil[[Abreviatura]:[1º Período]],3,FALSE)&gt;0,VLOOKUP(tblHorasNov[Dia],tblDiaUtil[[Abreviatura]:[1º Período]],3,FALSE),JORNADA),
              ""),
         "")</calculatedColumnFormula>
    </tableColumn>
    <tableColumn id="11" name="Horas Trabalhadas Além Jornada" dataDxfId="1">
      <calculatedColumnFormula>IF(OR(tblHorasNov[Horas Trabalhadas (1º Período)]&lt;&gt;0,tblHorasNov[Horas Trabalhadas (2º Período)]&lt;&gt;0),
        IF(ISNUMBER(tblHorasNov[Jornada Diária]),
              IF(tblHorasNov[Jornada Diária]&gt;(tblHorasNov[Horas Trabalhadas (2º Período)]+tblHorasNov[Horas Trabalhadas (1º Período)]),
                     IF(ROUND((tblHorasNov[Jornada Diária]-(tblHorasNov[Horas Trabalhadas (2º Período)]+tblHorasNov[Horas Trabalhadas (1º Período)])),6)&gt;ROUND(CARENCIA,6),
                           -tblHorasNov[Jornada Diária]+(tblHorasNov[Horas Trabalhadas (2º Período)]+tblHorasNov[Horas Trabalhadas (1º Período)]),
                           0),
                      IF(ROUND((tblHorasNov[Jornada Diária]-(tblHorasNov[Horas Trabalhadas (2º Período)]+tblHorasNov[Horas Trabalhadas (1º Período)])),6)&lt;ROUND(-CARENCIA,6),
                           -tblHorasNov[Jornada Diária]+(tblHorasNov[Horas Trabalhadas (2º Período)]+tblHorasNov[Horas Trabalhadas (1º Período)]),
                           0)),
              tblHorasNov[Horas Trabalhadas (2º Período)]+tblHorasNov[Horas Trabalhadas (1º Período)]),
         IF(AND(IF(ISERROR(VLOOKUP(tblHorasNov[Evento 
(1º Período)],tblEvento[[Evento]:[Libera o Período]],4,FALSE)),FALSE,IF(VLOOKUP(tblHorasNov[Evento 
(1º Período)],tblEvento[[Evento]:[Libera o Período]],4,FALSE)="Não",TRUE,FALSE)),IF(ISERROR(VLOOKUP(tblHorasNov[Evento 
(2º Período)],tblEvento[[Evento]:[Libera o Período]],4,FALSE)),FALSE,IF(VLOOKUP(tblHorasNov[Evento 
(2º Período)],tblEvento[[Evento]:[Libera o Período]],4,FALSE)="Não",TRUE,FALSE))),
-IF(VLOOKUP(tblHorasNov[Dia],tblDiaUtil[[Abreviatura]:[Total Jornada]],5,FALSE)&lt;&gt;"",VLOOKUP(tblHorasNov[Dia],tblDiaUtil[[Abreviatura]:[Total Jornada]],5,FALSE),JORNADA),
IF(IF(ISERROR(VLOOKUP(tblHorasNov[Evento 
(1º Período)],tblEvento[[Evento]:[Libera o Período]],4,FALSE)),FALSE,
IF(VLOOKUP(tblHorasNov[Evento 
(1º Período)],tblEvento[[Evento]:[Libera o Período]],4,FALSE)="Não",TRUE,FALSE)
),
-IF(VLOOKUP(tblHorasNov[Dia],tblDiaUtil[[Abreviatura]:[1º Período]],3,FALSE)&lt;&gt;"",VLOOKUP(tblHorasNov[Dia],tblDiaUtil[[Abreviatura]:[1º Período]],3,FALSE),JORNADA_PERIODO_1),
IF(IF(ISERROR(VLOOKUP(tblHorasNov[Evento 
(2º Período)],tblEvento[[Evento]:[Libera o Período]],4,FALSE)),FALSE,IF(VLOOKUP(tblHorasNov[Evento 
(2º Período)],tblEvento[[Evento]:[Libera o Período]],4,FALSE)="Não",TRUE,FALSE)),
-IF(VLOOKUP(tblHorasNov[Dia],tblDiaUtil[[Abreviatura]:[2º Período]],4,FALSE)&lt;&gt;"",VLOOKUP(tblHorasNov[Dia],tblDiaUtil[[Abreviatura]:[2º Período]],4,FALSE),JORNADA_PERIODO_2),0))))</calculatedColumnFormula>
    </tableColumn>
    <tableColumn id="18" name="Saldo de Horas" dataDxfId="44">
      <calculatedColumnFormula>IF(tblHorasNov[[#This Row],[Horas Trabalhadas Além Jornada]]&gt;0,
        IF(tblHorasNov[[#This Row],[Jornada Diária]]&lt;&gt;"",
              IF(HOUR(tblHorasNov[[#This Row],[Horas Trabalhadas Além Jornada]])&gt;=VLOOKUP(LIMITE,tblLimiteHora[],Tabelas!$I$1,FALSE),
                    VLOOKUP(LIMITE,tblLimiteHora[],Tabelas!$J$1,FALSE),
                    tblHorasNov[[#This Row],[Horas Trabalhadas Além Jornada]]),
              tblHorasNov[[#This Row],[Horas Trabalhadas Além Jornada]]),
        0)</calculatedColumnFormula>
    </tableColumn>
    <tableColumn id="19" name="Atrasos_x000a_(horas)" dataDxfId="43">
      <calculatedColumnFormula>IF(tblHorasNov[Horas Trabalhadas Além Jornada]&lt;0,IF(OR(tblHorasNov[Evento 
(1º Período)]="",tblHorasNov[Evento 
(2º Período)]=""),tblHorasNov[Horas Trabalhadas Além Jornada],""),"")</calculatedColumnFormula>
    </tableColumn>
    <tableColumn id="14" name="Faltas_x000a_(dias)" dataDxfId="42">
      <calculatedColumnFormula>IF(tblHorasNov[Jornada Diária]&lt;&gt;"",IF((N(tblHorasNov[Jornada Diária])-ABS(N(tblHorasNov[Horas Trabalhadas Além Jornada])))=0,1,""),"")</calculatedColumnFormula>
    </tableColumn>
    <tableColumn id="10" name="Hora Extra Normal" dataDxfId="41">
      <calculatedColumnFormula>IF(tblHorasNov[Horas Trabalhadas Além Jornada]&gt;0,
IF(AND(VLOOKUP(TEXT(tblHorasNov[Data],"dddd"),tblDiaUtil[],3,FALSE)="Sim",IF(tblHorasNov[Evento 
(1º Período)]&lt;&gt;"",IF(VLOOKUP(tblHorasNov[Evento 
(1º Período)],tblEvento[],Tabelas!$E$1,FALSE)="Sim",FALSE,TRUE),TRUE),IF(tblHorasNov[Evento 
(2º Período)]&lt;&gt;"",IF(VLOOKUP(tblHorasNov[Evento 
(2º Período)],tblEvento[],Tabelas!$E$1,FALSE)="Sim",FALSE,TRUE),TRUE)),
tblHorasNov[Horas Trabalhadas Além Jornada],""),"")</calculatedColumnFormula>
    </tableColumn>
    <tableColumn id="9" name="Hora Extra _x000a_Especial" dataDxfId="40">
      <calculatedColumnFormula>IF(tblHorasNov[Horas Trabalhadas Além Jornada]&gt;0,
IF(OR(VLOOKUP(TEXT(tblHorasNov[Data],"dddd"),tblDiaUtil[],3,FALSE)="Não",IF(tblHorasNov[Evento 
(1º Período)]&lt;&gt;"",IF(VLOOKUP(tblHorasNov[Evento 
(1º Período)],tblEvento[],Tabelas!$E$1,FALSE)="Sim",TRUE,FALSE),FALSE),IF(tblHorasNov[Evento 
(2º Período)]&lt;&gt;"",IF(VLOOKUP(tblHorasNov[Evento 
(2º Período)],tblEvento[],Tabelas!$E$1,FALSE)="Sim",TRUE,FALSE),FALSE)),
tblHorasNov[Horas Trabalhadas Além Jornada],""),"")</calculatedColumnFormula>
    </tableColumn>
    <tableColumn id="12" name="Informação" dataDxfId="39">
      <calculatedColumnFormula>IF(tblHorasNov[Evento 
(1º Período)]&lt;&gt;""," - " &amp;VLOOKUP(tblHorasNov[Evento 
(1º Período)],tblEvento[],Tabelas!$F$1,FALSE),"")&amp;IF(AND(tblHorasNov[Evento 
(2º Período)]&lt;&gt;"",tblHorasNov[Evento 
(2º Período)]&lt;&gt;tblHorasNov[Evento 
(1º Período)])," - " &amp; VLOOKUP(tblHorasNov[Evento 
(2º Período)],tblEvento[],Tabelas!$F$1,FALSE),"")</calculatedColumnFormula>
    </tableColumn>
  </tableColumns>
  <tableStyleInfo name="TableStyleLight18" showFirstColumn="0" showLastColumn="0" showRowStripes="1" showColumnStripes="0"/>
</table>
</file>

<file path=xl/tables/table18.xml><?xml version="1.0" encoding="utf-8"?>
<table xmlns="http://schemas.openxmlformats.org/spreadsheetml/2006/main" id="16" name="tblHorasDez" displayName="tblHorasDez" ref="B8:T39" totalsRowShown="0" headerRowDxfId="30" dataDxfId="29">
  <tableColumns count="19">
    <tableColumn id="1" name="Data" dataDxfId="28">
      <calculatedColumnFormula>IF(B8&lt;&gt;"",IF(DAY(B8+1)=1,"",B8+1),"")</calculatedColumnFormula>
    </tableColumn>
    <tableColumn id="2" name="Dia" dataDxfId="27">
      <calculatedColumnFormula>TEXT(tblHorasDez[Data],"ddd")</calculatedColumnFormula>
    </tableColumn>
    <tableColumn id="3" name="Evento _x000a_(1º Período)" dataDxfId="26"/>
    <tableColumn id="4" name="Entrada - 1" dataDxfId="25"/>
    <tableColumn id="5" name="Saída - 1 (Almoço)" dataDxfId="24"/>
    <tableColumn id="6" name="Entrada - 2 (Almoço)" dataDxfId="23"/>
    <tableColumn id="7" name="Saída - 2" dataDxfId="22"/>
    <tableColumn id="13" name="Evento _x000a_(2º Período)" dataDxfId="21"/>
    <tableColumn id="15" name="Horas Trabalhadas (1º Período)" dataDxfId="20">
      <calculatedColumnFormula>IF($B$6&lt;&gt;"",
IF(AND(tblHorasDez[Evento 
(1º Período)]&lt;&gt;"",IF(ISERROR(VLOOKUP(tblHorasDez[Evento 
(1º Período)],tblEvento[],Tabelas!$D$1,FALSE)),FALSE,VLOOKUP(tblHorasDez[Evento 
(1º Período)],tblEvento[],Tabelas!$D$1,FALSE)="Sim")),
        IF(JORNADA_PERIODO_1&lt;&gt;"",
IF(VLOOKUP(tblHorasDez[Dia],tblDiaUtil[[Abreviatura]:[1º Período]],3,FALSE)&gt;0,VLOOKUP(tblHorasDez[Dia],tblDiaUtil[[Abreviatura]:[1º Período]],3,FALSE),JORNADA_PERIODO_1),
IF(VLOOKUP(tblHorasDez[Dia],tblDiaUtil[[Abreviatura]:[1º Período]],3,FALSE)&gt;0,VLOOKUP(tblHorasDez[Dia],tblDiaUtil[[Abreviatura]:[1º Período]],3,FALSE),JORNADA/2)),
        IF(AND(ISNUMBER(tblHorasDez[Saída - 1 (Almoço)]),ISNUMBER(tblHorasDez[Entrada - 1])),
              IF(OR(AND(tblHorasDez[Evento 
(1º Período)]&lt;&gt;"",IF(ISERROR(VLOOKUP(tblHorasDez[Evento 
(1º Período)],tblEvento[],Tabelas!$E$1,FALSE)),FALSE,VLOOKUP(tblHorasDez[Evento 
(1º Período)],tblEvento[],Tabelas!$E$1,FALSE)="Sim")),IF(VLOOKUP(TEXT(tblHorasDez[Data],"dddd"),tblDiaUtil[],2,FALSE)="Não",TRUE,FALSE)),
                   tblHorasDez[Saída - 1 (Almoço)]-tblHorasDez[Entrada - 1],
                   IF(OR(HOUR(tblHorasDez[Saída - 1 (Almoço)]-tblHorasDez[Entrada - 1])&gt;0,ROUND(tblHorasDez[Saída - 1 (Almoço)]-tblHorasDez[Entrada - 1],6)&gt;ROUND(CARENCIA,6)),
                          tblHorasDez[Saída - 1 (Almoço)]-tblHorasDez[Entrada - 1],
                          0)),
                    0)),0)</calculatedColumnFormula>
    </tableColumn>
    <tableColumn id="16" name="Horas Trabalhadas (2º Período)" dataDxfId="19">
      <calculatedColumnFormula>IF($B$6&lt;&gt;"",
IF(AND(tblHorasDez[Evento 
(2º Período)]&lt;&gt;"",IF(ISERROR(VLOOKUP(tblHorasDez[Evento 
(2º Período)],tblEvento[],Tabelas!$D$1,FALSE)),FALSE,VLOOKUP(tblHorasDez[Evento 
(2º Período)],tblEvento[],Tabelas!$D$1,FALSE)="Sim")),
        IF(JORNADA_PERIODO_2&lt;&gt;"",
IF(VLOOKUP(tblHorasDez[Dia],tblDiaUtil[[Abreviatura]:[2º Período]],4,FALSE)&gt;0,VLOOKUP(tblHorasDez[Dia],tblDiaUtil[[Abreviatura]:[2º Período]],4,FALSE),JORNADA_PERIODO_2),
IF(VLOOKUP(tblHorasDez[Dia],tblDiaUtil[[Abreviatura]:[2º Período]],4,FALSE)&gt;0,VLOOKUP(tblHorasDez[Dia],tblDiaUtil[[Abreviatura]:[2º Período]],4,FALSE),JORNADA/2)),
        IF(AND(ISNUMBER(tblHorasDez[Saída - 2]),ISNUMBER(tblHorasDez[Entrada - 2 (Almoço)])),
              IF(OR(AND(tblHorasDez[Evento 
(2º Período)]&lt;&gt;"",IF(ISERROR(VLOOKUP(tblHorasDez[Evento 
(2º Período)],tblEvento[],Tabelas!$E$1,FALSE)),FALSE,VLOOKUP(tblHorasDez[Evento 
(2º Período)],tblEvento[],Tabelas!$E$1,FALSE)="Sim")),IF(VLOOKUP(TEXT(tblHorasDez[Data],"dddd"),tblDiaUtil[],2,FALSE)="Não",TRUE,FALSE)),
                   tblHorasDez[Saída - 2]-tblHorasDez[Entrada - 2 (Almoço)],
                   IF(OR(HOUR(tblHorasDez[Saída - 2]-tblHorasDez[Entrada - 2 (Almoço)])&gt;0,MINUTE(tblHorasDez[Saída - 2]-tblHorasDez[Entrada - 2 (Almoço)])&gt;CARENCIA),
                         tblHorasDez[Saída - 2]-tblHorasDez[Entrada - 2 (Almoço)],
                         0)),
       0)),0)</calculatedColumnFormula>
    </tableColumn>
    <tableColumn id="8" name="Horas Trabalhadas" dataDxfId="18">
      <calculatedColumnFormula>tblHorasDez[Horas Trabalhadas (1º Período)]+tblHorasDez[Horas Trabalhadas (2º Período)]</calculatedColumnFormula>
    </tableColumn>
    <tableColumn id="17" name="Jornada Diária" dataDxfId="17">
      <calculatedColumnFormula>IF(tblHorasDez[Data]&lt;&gt;"",
        IF(
AND(VLOOKUP(TEXT(tblHorasDez[Data],"dddd"),tblDiaUtil[],3,FALSE)="Sim",IF(tblHorasDez[Evento 
(1º Período)]&lt;&gt;"",IF(VLOOKUP(tblHorasDez[Evento 
(1º Período)],tblEvento[],Tabelas!$E$1,FALSE)="Sim",FALSE,TRUE),TRUE),IF(tblHorasDez[Evento 
(2º Período)]&lt;&gt;"",IF(VLOOKUP(tblHorasDez[Evento 
(2º Período)],tblEvento[],Tabelas!$E$1,FALSE)="Sim",FALSE,TRUE),TRUE)),
              IF(VLOOKUP(tblHorasDez[Dia],tblDiaUtil[[Abreviatura]:[1º Período]],3,FALSE)&gt;0,VLOOKUP(tblHorasDez[Dia],tblDiaUtil[[Abreviatura]:[1º Período]],3,FALSE),JORNADA),
              ""),
         "")</calculatedColumnFormula>
    </tableColumn>
    <tableColumn id="11" name="Horas Trabalhadas Além Jornada" dataDxfId="0">
      <calculatedColumnFormula>IF(OR(tblHorasDez[Horas Trabalhadas (1º Período)]&lt;&gt;0,tblHorasDez[Horas Trabalhadas (2º Período)]&lt;&gt;0),
        IF(ISNUMBER(tblHorasDez[Jornada Diária]),
              IF(tblHorasDez[Jornada Diária]&gt;(tblHorasDez[Horas Trabalhadas (2º Período)]+tblHorasDez[Horas Trabalhadas (1º Período)]),
                     IF(ROUND((tblHorasDez[Jornada Diária]-(tblHorasDez[Horas Trabalhadas (2º Período)]+tblHorasDez[Horas Trabalhadas (1º Período)])),6)&gt;ROUND(CARENCIA,6),
                           -tblHorasDez[Jornada Diária]+(tblHorasDez[Horas Trabalhadas (2º Período)]+tblHorasDez[Horas Trabalhadas (1º Período)]),
                           0),
                      IF(ROUND((tblHorasDez[Jornada Diária]-(tblHorasDez[Horas Trabalhadas (2º Período)]+tblHorasDez[Horas Trabalhadas (1º Período)])),6)&lt;ROUND(-CARENCIA,6),
                           -tblHorasDez[Jornada Diária]+(tblHorasDez[Horas Trabalhadas (2º Período)]+tblHorasDez[Horas Trabalhadas (1º Período)]),
                           0)),
              tblHorasDez[Horas Trabalhadas (2º Período)]+tblHorasDez[Horas Trabalhadas (1º Período)]),
         IF(AND(IF(ISERROR(VLOOKUP(tblHorasDez[Evento 
(1º Período)],tblEvento[[Evento]:[Libera o Período]],4,FALSE)),FALSE,IF(VLOOKUP(tblHorasDez[Evento 
(1º Período)],tblEvento[[Evento]:[Libera o Período]],4,FALSE)="Não",TRUE,FALSE)),IF(ISERROR(VLOOKUP(tblHorasDez[Evento 
(2º Período)],tblEvento[[Evento]:[Libera o Período]],4,FALSE)),FALSE,IF(VLOOKUP(tblHorasDez[Evento 
(2º Período)],tblEvento[[Evento]:[Libera o Período]],4,FALSE)="Não",TRUE,FALSE))),
-IF(VLOOKUP(tblHorasDez[Dia],tblDiaUtil[[Abreviatura]:[Total Jornada]],5,FALSE)&lt;&gt;"",VLOOKUP(tblHorasDez[Dia],tblDiaUtil[[Abreviatura]:[Total Jornada]],5,FALSE),JORNADA),
IF(IF(ISERROR(VLOOKUP(tblHorasDez[Evento 
(1º Período)],tblEvento[[Evento]:[Libera o Período]],4,FALSE)),FALSE,
IF(VLOOKUP(tblHorasDez[Evento 
(1º Período)],tblEvento[[Evento]:[Libera o Período]],4,FALSE)="Não",TRUE,FALSE)
),
-IF(VLOOKUP(tblHorasDez[Dia],tblDiaUtil[[Abreviatura]:[1º Período]],3,FALSE)&lt;&gt;"",VLOOKUP(tblHorasDez[Dia],tblDiaUtil[[Abreviatura]:[1º Período]],3,FALSE),JORNADA_PERIODO_1),
IF(IF(ISERROR(VLOOKUP(tblHorasDez[Evento 
(2º Período)],tblEvento[[Evento]:[Libera o Período]],4,FALSE)),FALSE,IF(VLOOKUP(tblHorasDez[Evento 
(2º Período)],tblEvento[[Evento]:[Libera o Período]],4,FALSE)="Não",TRUE,FALSE)),
-IF(VLOOKUP(tblHorasDez[Dia],tblDiaUtil[[Abreviatura]:[2º Período]],4,FALSE)&lt;&gt;"",VLOOKUP(tblHorasDez[Dia],tblDiaUtil[[Abreviatura]:[2º Período]],4,FALSE),JORNADA_PERIODO_2),0))))</calculatedColumnFormula>
    </tableColumn>
    <tableColumn id="18" name="Saldo de Horas" dataDxfId="16">
      <calculatedColumnFormula>IF(tblHorasDez[[#This Row],[Horas Trabalhadas Além Jornada]]&gt;0,
        IF(tblHorasDez[[#This Row],[Jornada Diária]]&lt;&gt;"",
              IF(HOUR(tblHorasDez[[#This Row],[Horas Trabalhadas Além Jornada]])&gt;=VLOOKUP(LIMITE,tblLimiteHora[],Tabelas!$I$1,FALSE),
                    VLOOKUP(LIMITE,tblLimiteHora[],Tabelas!$J$1,FALSE),
                    tblHorasDez[[#This Row],[Horas Trabalhadas Além Jornada]]),
              tblHorasDez[[#This Row],[Horas Trabalhadas Além Jornada]]),
        0)</calculatedColumnFormula>
    </tableColumn>
    <tableColumn id="19" name="Atrasos_x000a_(horas)" dataDxfId="15">
      <calculatedColumnFormula>IF(tblHorasDez[Horas Trabalhadas Além Jornada]&lt;0,IF(OR(tblHorasDez[Evento 
(1º Período)]="",tblHorasDez[Evento 
(2º Período)]=""),tblHorasDez[Horas Trabalhadas Além Jornada],""),"")</calculatedColumnFormula>
    </tableColumn>
    <tableColumn id="14" name="Faltas_x000a_(dias)" dataDxfId="14">
      <calculatedColumnFormula>IF(tblHorasDez[Jornada Diária]&lt;&gt;"",IF((N(tblHorasDez[Jornada Diária])-ABS(N(tblHorasDez[Horas Trabalhadas Além Jornada])))=0,1,""),"")</calculatedColumnFormula>
    </tableColumn>
    <tableColumn id="10" name="Hora Extra Normal" dataDxfId="13">
      <calculatedColumnFormula>IF(tblHorasDez[Horas Trabalhadas Além Jornada]&gt;0,
IF(AND(VLOOKUP(TEXT(tblHorasDez[Data],"dddd"),tblDiaUtil[],3,FALSE)="Sim",IF(tblHorasDez[Evento 
(1º Período)]&lt;&gt;"",IF(VLOOKUP(tblHorasDez[Evento 
(1º Período)],tblEvento[],Tabelas!$E$1,FALSE)="Sim",FALSE,TRUE),TRUE),IF(tblHorasDez[Evento 
(2º Período)]&lt;&gt;"",IF(VLOOKUP(tblHorasDez[Evento 
(2º Período)],tblEvento[],Tabelas!$E$1,FALSE)="Sim",FALSE,TRUE),TRUE)),
tblHorasDez[Horas Trabalhadas Além Jornada],""),"")</calculatedColumnFormula>
    </tableColumn>
    <tableColumn id="9" name="Hora Extra _x000a_Especial" dataDxfId="12">
      <calculatedColumnFormula>IF(tblHorasDez[Horas Trabalhadas Além Jornada]&gt;0,
IF(OR(VLOOKUP(TEXT(tblHorasDez[Data],"dddd"),tblDiaUtil[],3,FALSE)="Não",IF(tblHorasDez[Evento 
(1º Período)]&lt;&gt;"",IF(VLOOKUP(tblHorasDez[Evento 
(1º Período)],tblEvento[],Tabelas!$E$1,FALSE)="Sim",TRUE,FALSE),FALSE),IF(tblHorasDez[Evento 
(2º Período)]&lt;&gt;"",IF(VLOOKUP(tblHorasDez[Evento 
(2º Período)],tblEvento[],Tabelas!$E$1,FALSE)="Sim",TRUE,FALSE),FALSE)),
tblHorasDez[Horas Trabalhadas Além Jornada],""),"")</calculatedColumnFormula>
    </tableColumn>
    <tableColumn id="12" name="Informação" dataDxfId="11">
      <calculatedColumnFormula>IF(tblHorasDez[Evento 
(1º Período)]&lt;&gt;""," - " &amp;VLOOKUP(tblHorasDez[Evento 
(1º Período)],tblEvento[],Tabelas!$F$1,FALSE),"")&amp;IF(AND(tblHorasDez[Evento 
(2º Período)]&lt;&gt;"",tblHorasDez[Evento 
(2º Período)]&lt;&gt;tblHorasDez[Evento 
(1º Período)])," - " &amp; VLOOKUP(tblHorasDez[Evento 
(2º Período)],tblEvento[],Tabelas!$F$1,FALSE),"")</calculatedColumnFormula>
    </tableColumn>
  </tableColumns>
  <tableStyleInfo name="TableStyleLight18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4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5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6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7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8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hyperlink" Target="http://www.excelguru.com.br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nTabela">
    <tabColor theme="7" tint="0.59999389629810485"/>
  </sheetPr>
  <dimension ref="A1:L14"/>
  <sheetViews>
    <sheetView showGridLines="0" topLeftCell="A2" workbookViewId="0">
      <selection activeCell="B3" sqref="B3"/>
    </sheetView>
  </sheetViews>
  <sheetFormatPr defaultRowHeight="15" x14ac:dyDescent="0.25"/>
  <cols>
    <col min="1" max="1" width="12.7109375" style="5" customWidth="1"/>
    <col min="2" max="5" width="8.42578125" style="5" customWidth="1"/>
    <col min="6" max="6" width="30.7109375" style="5" customWidth="1"/>
    <col min="7" max="7" width="9.140625" style="5"/>
    <col min="8" max="8" width="16.7109375" style="5" customWidth="1"/>
    <col min="9" max="9" width="9.85546875" style="5" customWidth="1"/>
    <col min="10" max="11" width="9.140625" style="5" customWidth="1"/>
    <col min="12" max="12" width="12.5703125" style="5" hidden="1" customWidth="1"/>
    <col min="13" max="14" width="9.140625" style="5" customWidth="1"/>
    <col min="15" max="16384" width="9.140625" style="5"/>
  </cols>
  <sheetData>
    <row r="1" spans="1:12" s="21" customFormat="1" hidden="1" x14ac:dyDescent="0.25">
      <c r="A1" s="21">
        <v>1</v>
      </c>
      <c r="B1" s="21">
        <f>A1+1</f>
        <v>2</v>
      </c>
      <c r="C1" s="21">
        <f>B1+1</f>
        <v>3</v>
      </c>
      <c r="D1" s="21">
        <f>C1+1</f>
        <v>4</v>
      </c>
      <c r="E1" s="21">
        <v>5</v>
      </c>
      <c r="F1" s="21">
        <v>6</v>
      </c>
      <c r="H1" s="21">
        <v>1</v>
      </c>
      <c r="I1" s="21">
        <f>H1+1</f>
        <v>2</v>
      </c>
      <c r="J1" s="21">
        <f>I1+1</f>
        <v>3</v>
      </c>
    </row>
    <row r="2" spans="1:12" s="9" customFormat="1" ht="45" customHeight="1" x14ac:dyDescent="0.25">
      <c r="A2" s="9" t="s">
        <v>23</v>
      </c>
      <c r="B2" s="9" t="s">
        <v>34</v>
      </c>
      <c r="C2" s="9" t="s">
        <v>33</v>
      </c>
      <c r="D2" s="9" t="s">
        <v>47</v>
      </c>
      <c r="E2" s="9" t="s">
        <v>57</v>
      </c>
      <c r="F2" s="9" t="s">
        <v>10</v>
      </c>
      <c r="H2" s="9" t="s">
        <v>13</v>
      </c>
      <c r="I2" s="9" t="s">
        <v>20</v>
      </c>
      <c r="J2" s="9" t="s">
        <v>14</v>
      </c>
      <c r="L2" s="9" t="s">
        <v>7</v>
      </c>
    </row>
    <row r="3" spans="1:12" x14ac:dyDescent="0.25">
      <c r="A3" s="5" t="s">
        <v>25</v>
      </c>
      <c r="B3" s="36" t="s">
        <v>31</v>
      </c>
      <c r="C3" s="36" t="s">
        <v>30</v>
      </c>
      <c r="D3" s="36" t="s">
        <v>30</v>
      </c>
      <c r="E3" s="36"/>
      <c r="F3" s="23" t="s">
        <v>11</v>
      </c>
      <c r="H3" s="37" t="str">
        <f>tblLimiteHora[[#This Row],[Limite]]&amp;"h diárias"</f>
        <v>2h diárias</v>
      </c>
      <c r="I3" s="38">
        <v>2</v>
      </c>
      <c r="J3" s="1">
        <v>8.3333333333333329E-2</v>
      </c>
      <c r="L3" s="31" t="s">
        <v>63</v>
      </c>
    </row>
    <row r="4" spans="1:12" x14ac:dyDescent="0.25">
      <c r="A4" s="5" t="s">
        <v>24</v>
      </c>
      <c r="B4" s="36" t="s">
        <v>31</v>
      </c>
      <c r="C4" s="36" t="s">
        <v>30</v>
      </c>
      <c r="D4" s="36" t="s">
        <v>30</v>
      </c>
      <c r="E4" s="36"/>
      <c r="F4" s="23" t="s">
        <v>9</v>
      </c>
      <c r="H4" s="12" t="s">
        <v>15</v>
      </c>
      <c r="I4" s="12">
        <v>9999</v>
      </c>
      <c r="J4" s="13">
        <v>0</v>
      </c>
      <c r="L4" s="31" t="s">
        <v>64</v>
      </c>
    </row>
    <row r="5" spans="1:12" x14ac:dyDescent="0.25">
      <c r="A5" s="5" t="s">
        <v>53</v>
      </c>
      <c r="B5" s="36" t="s">
        <v>31</v>
      </c>
      <c r="C5" s="36" t="s">
        <v>30</v>
      </c>
      <c r="D5" s="36" t="s">
        <v>30</v>
      </c>
      <c r="E5" s="36"/>
      <c r="F5" s="23" t="s">
        <v>54</v>
      </c>
      <c r="L5" s="31" t="s">
        <v>65</v>
      </c>
    </row>
    <row r="6" spans="1:12" x14ac:dyDescent="0.25">
      <c r="A6" s="5" t="s">
        <v>89</v>
      </c>
      <c r="B6" s="36" t="s">
        <v>31</v>
      </c>
      <c r="C6" s="36" t="s">
        <v>30</v>
      </c>
      <c r="D6" s="36" t="s">
        <v>31</v>
      </c>
      <c r="E6" s="36"/>
      <c r="F6" s="23" t="s">
        <v>90</v>
      </c>
      <c r="L6" s="31" t="s">
        <v>66</v>
      </c>
    </row>
    <row r="7" spans="1:12" x14ac:dyDescent="0.25">
      <c r="A7" s="5" t="s">
        <v>29</v>
      </c>
      <c r="B7" s="36" t="s">
        <v>31</v>
      </c>
      <c r="C7" s="36" t="s">
        <v>30</v>
      </c>
      <c r="D7" s="36" t="s">
        <v>30</v>
      </c>
      <c r="E7" s="36"/>
      <c r="F7" s="23" t="s">
        <v>8</v>
      </c>
      <c r="L7" s="31" t="s">
        <v>67</v>
      </c>
    </row>
    <row r="8" spans="1:12" x14ac:dyDescent="0.25">
      <c r="A8" s="5" t="s">
        <v>28</v>
      </c>
      <c r="B8" s="36" t="s">
        <v>31</v>
      </c>
      <c r="C8" s="36" t="s">
        <v>30</v>
      </c>
      <c r="D8" s="36" t="s">
        <v>31</v>
      </c>
      <c r="E8" s="36"/>
      <c r="F8" s="23" t="s">
        <v>22</v>
      </c>
      <c r="L8" s="31" t="s">
        <v>68</v>
      </c>
    </row>
    <row r="9" spans="1:12" x14ac:dyDescent="0.25">
      <c r="A9" s="5" t="s">
        <v>2</v>
      </c>
      <c r="B9" s="36" t="s">
        <v>30</v>
      </c>
      <c r="C9" s="36" t="s">
        <v>31</v>
      </c>
      <c r="D9" s="36"/>
      <c r="E9" s="36" t="s">
        <v>30</v>
      </c>
      <c r="F9" s="23" t="s">
        <v>2</v>
      </c>
      <c r="L9" s="31" t="s">
        <v>69</v>
      </c>
    </row>
    <row r="10" spans="1:12" x14ac:dyDescent="0.25">
      <c r="A10" s="5" t="s">
        <v>12</v>
      </c>
      <c r="B10" s="36" t="s">
        <v>30</v>
      </c>
      <c r="C10" s="36" t="s">
        <v>31</v>
      </c>
      <c r="D10" s="36"/>
      <c r="E10" s="36" t="s">
        <v>30</v>
      </c>
      <c r="F10" s="23" t="s">
        <v>12</v>
      </c>
      <c r="L10" s="31" t="s">
        <v>70</v>
      </c>
    </row>
    <row r="11" spans="1:12" x14ac:dyDescent="0.25">
      <c r="A11" s="5" t="s">
        <v>27</v>
      </c>
      <c r="B11" s="36" t="s">
        <v>31</v>
      </c>
      <c r="C11" s="36" t="s">
        <v>30</v>
      </c>
      <c r="D11" s="36" t="s">
        <v>30</v>
      </c>
      <c r="E11" s="36"/>
      <c r="F11" s="23" t="s">
        <v>16</v>
      </c>
      <c r="L11" s="31" t="s">
        <v>71</v>
      </c>
    </row>
    <row r="12" spans="1:12" x14ac:dyDescent="0.25">
      <c r="A12" s="5" t="s">
        <v>26</v>
      </c>
      <c r="B12" s="36" t="s">
        <v>31</v>
      </c>
      <c r="C12" s="36" t="s">
        <v>30</v>
      </c>
      <c r="D12" s="36" t="s">
        <v>30</v>
      </c>
      <c r="E12" s="36"/>
      <c r="F12" s="23" t="s">
        <v>17</v>
      </c>
      <c r="L12" s="31" t="s">
        <v>72</v>
      </c>
    </row>
    <row r="13" spans="1:12" x14ac:dyDescent="0.25">
      <c r="A13" s="5" t="s">
        <v>60</v>
      </c>
      <c r="B13" s="36" t="s">
        <v>30</v>
      </c>
      <c r="C13" s="36" t="s">
        <v>31</v>
      </c>
      <c r="D13" s="36" t="s">
        <v>30</v>
      </c>
      <c r="E13" s="36"/>
      <c r="F13" s="23" t="s">
        <v>61</v>
      </c>
      <c r="L13" s="31" t="s">
        <v>73</v>
      </c>
    </row>
    <row r="14" spans="1:12" x14ac:dyDescent="0.25">
      <c r="L14" s="31" t="s">
        <v>74</v>
      </c>
    </row>
  </sheetData>
  <sheetProtection algorithmName="SHA-512" hashValue="UIB0iJk+B1bnLZsbBbtTDoo9bNqV+BuBVMM/XlsMQH00/vwNjm61BfqSHVnnM6LwKpzg3+zalCDVz5d5ZiCluA==" saltValue="XlEHWjlAaK4Mcs22Q9VkqA==" spinCount="100000" sheet="1" formatCells="0" formatColumns="0" formatRows="0" selectLockedCells="1" autoFilter="0" pivotTables="0"/>
  <dataValidations count="1">
    <dataValidation type="list" allowBlank="1" showInputMessage="1" showErrorMessage="1" sqref="B3:E13">
      <formula1>"Sim,Não"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legacyDrawing r:id="rId2"/>
  <tableParts count="3">
    <tablePart r:id="rId3"/>
    <tablePart r:id="rId4"/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nConfig">
    <tabColor theme="5" tint="0.59999389629810485"/>
  </sheetPr>
  <dimension ref="B1:G23"/>
  <sheetViews>
    <sheetView showGridLines="0" workbookViewId="0">
      <selection activeCell="D3" sqref="D3"/>
    </sheetView>
  </sheetViews>
  <sheetFormatPr defaultRowHeight="15" x14ac:dyDescent="0.25"/>
  <cols>
    <col min="1" max="1" width="9.140625" style="5"/>
    <col min="2" max="2" width="18" style="5" customWidth="1"/>
    <col min="3" max="3" width="18" style="5" hidden="1" customWidth="1"/>
    <col min="4" max="4" width="16.7109375" style="5" customWidth="1"/>
    <col min="5" max="7" width="12.7109375" style="5" customWidth="1"/>
    <col min="8" max="9" width="9.140625" style="5"/>
    <col min="10" max="14" width="9.140625" style="5" customWidth="1"/>
    <col min="15" max="16384" width="9.140625" style="5"/>
  </cols>
  <sheetData>
    <row r="1" spans="2:7" x14ac:dyDescent="0.25">
      <c r="B1" s="68" t="s">
        <v>21</v>
      </c>
      <c r="C1" s="69"/>
      <c r="D1" s="70"/>
    </row>
    <row r="3" spans="2:7" ht="15.75" thickBot="1" x14ac:dyDescent="0.3">
      <c r="B3" s="19" t="s">
        <v>19</v>
      </c>
      <c r="C3" s="33"/>
      <c r="D3" s="2" t="s">
        <v>18</v>
      </c>
    </row>
    <row r="5" spans="2:7" ht="15.75" thickBot="1" x14ac:dyDescent="0.3">
      <c r="B5" s="19" t="s">
        <v>32</v>
      </c>
      <c r="C5" s="33"/>
      <c r="D5" s="27">
        <v>0</v>
      </c>
      <c r="E5" s="20" t="s">
        <v>56</v>
      </c>
    </row>
    <row r="7" spans="2:7" ht="15.75" thickBot="1" x14ac:dyDescent="0.3">
      <c r="B7" s="19" t="s">
        <v>37</v>
      </c>
      <c r="C7" s="33"/>
      <c r="D7" s="3">
        <v>0.33333333333333331</v>
      </c>
    </row>
    <row r="9" spans="2:7" ht="15.75" thickBot="1" x14ac:dyDescent="0.3">
      <c r="B9" s="71" t="s">
        <v>38</v>
      </c>
      <c r="C9" s="72"/>
      <c r="D9" s="72"/>
      <c r="E9" s="72"/>
      <c r="F9" s="72"/>
      <c r="G9" s="72"/>
    </row>
    <row r="10" spans="2:7" ht="15.75" thickBot="1" x14ac:dyDescent="0.3">
      <c r="B10" s="54"/>
      <c r="C10" s="54"/>
      <c r="D10" s="54"/>
      <c r="E10" s="73" t="s">
        <v>77</v>
      </c>
      <c r="F10" s="74"/>
      <c r="G10" s="75"/>
    </row>
    <row r="11" spans="2:7" ht="30" customHeight="1" x14ac:dyDescent="0.25">
      <c r="B11" s="9" t="s">
        <v>85</v>
      </c>
      <c r="C11" s="9" t="s">
        <v>86</v>
      </c>
      <c r="D11" s="9" t="s">
        <v>75</v>
      </c>
      <c r="E11" s="55" t="s">
        <v>103</v>
      </c>
      <c r="F11" s="56" t="s">
        <v>104</v>
      </c>
      <c r="G11" s="57" t="s">
        <v>105</v>
      </c>
    </row>
    <row r="12" spans="2:7" x14ac:dyDescent="0.25">
      <c r="B12" s="21" t="s">
        <v>41</v>
      </c>
      <c r="C12" s="21" t="s">
        <v>78</v>
      </c>
      <c r="D12" s="22" t="s">
        <v>30</v>
      </c>
      <c r="E12" s="61"/>
      <c r="F12" s="65"/>
      <c r="G12" s="62"/>
    </row>
    <row r="13" spans="2:7" x14ac:dyDescent="0.25">
      <c r="B13" s="21" t="s">
        <v>42</v>
      </c>
      <c r="C13" s="21" t="s">
        <v>79</v>
      </c>
      <c r="D13" s="22" t="s">
        <v>30</v>
      </c>
      <c r="E13" s="61"/>
      <c r="F13" s="65"/>
      <c r="G13" s="62"/>
    </row>
    <row r="14" spans="2:7" x14ac:dyDescent="0.25">
      <c r="B14" s="21" t="s">
        <v>43</v>
      </c>
      <c r="C14" s="21" t="s">
        <v>80</v>
      </c>
      <c r="D14" s="22" t="s">
        <v>30</v>
      </c>
      <c r="E14" s="61"/>
      <c r="F14" s="65"/>
      <c r="G14" s="62"/>
    </row>
    <row r="15" spans="2:7" x14ac:dyDescent="0.25">
      <c r="B15" s="21" t="s">
        <v>44</v>
      </c>
      <c r="C15" s="21" t="s">
        <v>81</v>
      </c>
      <c r="D15" s="22" t="s">
        <v>30</v>
      </c>
      <c r="E15" s="61"/>
      <c r="F15" s="65"/>
      <c r="G15" s="62"/>
    </row>
    <row r="16" spans="2:7" x14ac:dyDescent="0.25">
      <c r="B16" s="21" t="s">
        <v>45</v>
      </c>
      <c r="C16" s="21" t="s">
        <v>82</v>
      </c>
      <c r="D16" s="22" t="s">
        <v>30</v>
      </c>
      <c r="E16" s="61"/>
      <c r="F16" s="66"/>
      <c r="G16" s="62"/>
    </row>
    <row r="17" spans="2:7" x14ac:dyDescent="0.25">
      <c r="B17" s="21" t="s">
        <v>39</v>
      </c>
      <c r="C17" s="21" t="s">
        <v>83</v>
      </c>
      <c r="D17" s="22" t="s">
        <v>31</v>
      </c>
      <c r="E17" s="61"/>
      <c r="F17" s="65"/>
      <c r="G17" s="62"/>
    </row>
    <row r="18" spans="2:7" ht="15.75" thickBot="1" x14ac:dyDescent="0.3">
      <c r="B18" s="21" t="s">
        <v>40</v>
      </c>
      <c r="C18" s="21" t="s">
        <v>84</v>
      </c>
      <c r="D18" s="22" t="s">
        <v>31</v>
      </c>
      <c r="E18" s="63"/>
      <c r="F18" s="67"/>
      <c r="G18" s="64"/>
    </row>
    <row r="19" spans="2:7" ht="15.75" thickTop="1" x14ac:dyDescent="0.25"/>
    <row r="20" spans="2:7" ht="15.75" thickBot="1" x14ac:dyDescent="0.3">
      <c r="B20" s="71" t="s">
        <v>48</v>
      </c>
      <c r="C20" s="72"/>
      <c r="D20" s="76"/>
      <c r="E20" s="58" t="s">
        <v>102</v>
      </c>
      <c r="F20" s="59">
        <f>SUM(tblDiaUtil7[Qtd. Horas por Jornada])</f>
        <v>0.33333333333333331</v>
      </c>
      <c r="G20" s="5">
        <f>IF(F20&gt;0,IF(F20=JORNADA,1,0),"")</f>
        <v>1</v>
      </c>
    </row>
    <row r="21" spans="2:7" ht="30" x14ac:dyDescent="0.25">
      <c r="B21" s="9" t="s">
        <v>106</v>
      </c>
      <c r="C21" s="9" t="s">
        <v>86</v>
      </c>
      <c r="D21" s="9" t="s">
        <v>107</v>
      </c>
      <c r="E21" s="9"/>
    </row>
    <row r="22" spans="2:7" x14ac:dyDescent="0.25">
      <c r="B22" s="21" t="s">
        <v>108</v>
      </c>
      <c r="C22" s="21" t="s">
        <v>78</v>
      </c>
      <c r="D22" s="60">
        <v>0.16666666666666666</v>
      </c>
      <c r="E22" s="39"/>
    </row>
    <row r="23" spans="2:7" x14ac:dyDescent="0.25">
      <c r="B23" s="21" t="s">
        <v>109</v>
      </c>
      <c r="C23" s="21" t="s">
        <v>79</v>
      </c>
      <c r="D23" s="60">
        <v>0.16666666666666666</v>
      </c>
      <c r="E23" s="39"/>
    </row>
  </sheetData>
  <sheetProtection algorithmName="SHA-512" hashValue="ANy6/23Oy9mi6HIOykU8mES61ADgfLMcv9tR3cFSpbNuM/QMVFVOoyXDsh/s+U8OE3EDEdY0E0VvQYz5P0gJVw==" saltValue="COQjJCKWpMxOUeI/QpKTIg==" spinCount="100000" sheet="1" formatCells="0" formatColumns="0" formatRows="0" selectLockedCells="1" autoFilter="0" pivotTables="0"/>
  <mergeCells count="4">
    <mergeCell ref="B1:D1"/>
    <mergeCell ref="B9:G9"/>
    <mergeCell ref="E10:G10"/>
    <mergeCell ref="B20:D20"/>
  </mergeCells>
  <conditionalFormatting sqref="D7">
    <cfRule type="timePeriod" dxfId="375" priority="4" timePeriod="lastMonth">
      <formula>AND(MONTH(D7)=MONTH(EDATE(TODAY(),0-1)),YEAR(D7)=YEAR(EDATE(TODAY(),0-1)))</formula>
    </cfRule>
  </conditionalFormatting>
  <conditionalFormatting sqref="G20">
    <cfRule type="iconSet" priority="1">
      <iconSet iconSet="3Symbols2" showValue="0">
        <cfvo type="percent" val="0"/>
        <cfvo type="num" val="0.5" gte="0"/>
        <cfvo type="num" val="1"/>
      </iconSet>
    </cfRule>
  </conditionalFormatting>
  <dataValidations count="3">
    <dataValidation type="list" allowBlank="1" showInputMessage="1" showErrorMessage="1" sqref="D3">
      <formula1>lstLimiteHora</formula1>
    </dataValidation>
    <dataValidation type="list" allowBlank="1" showInputMessage="1" showErrorMessage="1" sqref="D12:D18">
      <formula1>"Sim,Não"</formula1>
    </dataValidation>
    <dataValidation type="time" allowBlank="1" showInputMessage="1" showErrorMessage="1" sqref="D22:D23 F20">
      <formula1>0</formula1>
      <formula2>0.999305555555556</formula2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tableParts count="2">
    <tablePart r:id="rId2"/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nRelatorio">
    <tabColor theme="9" tint="0.59999389629810485"/>
  </sheetPr>
  <dimension ref="B1:C17"/>
  <sheetViews>
    <sheetView showGridLines="0" workbookViewId="0">
      <selection activeCell="C17" sqref="C17"/>
    </sheetView>
  </sheetViews>
  <sheetFormatPr defaultRowHeight="15" x14ac:dyDescent="0.25"/>
  <cols>
    <col min="2" max="2" width="17.42578125" customWidth="1"/>
    <col min="3" max="3" width="16.140625" customWidth="1"/>
    <col min="10" max="14" width="9.140625" customWidth="1"/>
  </cols>
  <sheetData>
    <row r="1" spans="2:3" x14ac:dyDescent="0.25">
      <c r="B1" s="77" t="s">
        <v>101</v>
      </c>
      <c r="C1" s="78"/>
    </row>
    <row r="2" spans="2:3" ht="15.75" thickBot="1" x14ac:dyDescent="0.3">
      <c r="B2" s="79"/>
      <c r="C2" s="80"/>
    </row>
    <row r="4" spans="2:3" x14ac:dyDescent="0.25">
      <c r="B4" s="49" t="s">
        <v>7</v>
      </c>
      <c r="C4" s="49" t="s">
        <v>49</v>
      </c>
    </row>
    <row r="5" spans="2:3" x14ac:dyDescent="0.25">
      <c r="B5" s="50" t="s">
        <v>63</v>
      </c>
      <c r="C5" s="14">
        <f>Janeiro!$O$39</f>
        <v>0</v>
      </c>
    </row>
    <row r="6" spans="2:3" x14ac:dyDescent="0.25">
      <c r="B6" s="50" t="s">
        <v>64</v>
      </c>
      <c r="C6" s="14">
        <f>Fevereiro!$O$39</f>
        <v>0</v>
      </c>
    </row>
    <row r="7" spans="2:3" x14ac:dyDescent="0.25">
      <c r="B7" s="50" t="s">
        <v>65</v>
      </c>
      <c r="C7" s="14">
        <f>Março!$O$39</f>
        <v>0</v>
      </c>
    </row>
    <row r="8" spans="2:3" x14ac:dyDescent="0.25">
      <c r="B8" s="50" t="s">
        <v>66</v>
      </c>
      <c r="C8" s="14">
        <f>Abril!$O$39</f>
        <v>0</v>
      </c>
    </row>
    <row r="9" spans="2:3" x14ac:dyDescent="0.25">
      <c r="B9" s="50" t="s">
        <v>67</v>
      </c>
      <c r="C9" s="14">
        <f>Maio!$O$39</f>
        <v>0</v>
      </c>
    </row>
    <row r="10" spans="2:3" x14ac:dyDescent="0.25">
      <c r="B10" s="50" t="s">
        <v>68</v>
      </c>
      <c r="C10" s="14">
        <f>Junho!$O$39</f>
        <v>0</v>
      </c>
    </row>
    <row r="11" spans="2:3" x14ac:dyDescent="0.25">
      <c r="B11" s="50" t="s">
        <v>69</v>
      </c>
      <c r="C11" s="14">
        <f>Julho!$O$39</f>
        <v>0</v>
      </c>
    </row>
    <row r="12" spans="2:3" x14ac:dyDescent="0.25">
      <c r="B12" s="50" t="s">
        <v>70</v>
      </c>
      <c r="C12" s="14">
        <f>Agosto!$O$39</f>
        <v>0</v>
      </c>
    </row>
    <row r="13" spans="2:3" x14ac:dyDescent="0.25">
      <c r="B13" s="50" t="s">
        <v>71</v>
      </c>
      <c r="C13" s="14">
        <f>Setembro!$O$39</f>
        <v>0</v>
      </c>
    </row>
    <row r="14" spans="2:3" x14ac:dyDescent="0.25">
      <c r="B14" s="50" t="s">
        <v>72</v>
      </c>
      <c r="C14" s="14">
        <f>Outubro!$O$39</f>
        <v>0</v>
      </c>
    </row>
    <row r="15" spans="2:3" x14ac:dyDescent="0.25">
      <c r="B15" s="50" t="s">
        <v>73</v>
      </c>
      <c r="C15" s="14">
        <f>Novembro!$O$39</f>
        <v>0</v>
      </c>
    </row>
    <row r="16" spans="2:3" x14ac:dyDescent="0.25">
      <c r="B16" s="50" t="s">
        <v>74</v>
      </c>
      <c r="C16" s="14">
        <f>Dezembro!$O$39</f>
        <v>0</v>
      </c>
    </row>
    <row r="17" spans="2:3" x14ac:dyDescent="0.25">
      <c r="B17" s="50" t="s">
        <v>102</v>
      </c>
      <c r="C17" s="14">
        <f>SUBTOTAL(109,Tabela17[Saldo de Horas])</f>
        <v>0</v>
      </c>
    </row>
  </sheetData>
  <sheetProtection algorithmName="SHA-512" hashValue="uXjZaYmZpUMJlySg9jI45RkZApfWkPB9HTcLSRHJNST6/zvMESYTjN1EFwNUxLujikaP9qyfAhzd26AsRMLvLQ==" saltValue="n6SIX2xNV44ecFtxn3SAuA==" spinCount="100000" sheet="1" formatCells="0" formatColumns="0" formatRows="0" autoFilter="0" pivotTables="0"/>
  <mergeCells count="1">
    <mergeCell ref="B1:C2"/>
  </mergeCells>
  <pageMargins left="0.511811024" right="0.511811024" top="0.78740157499999996" bottom="0.78740157499999996" header="0.31496062000000002" footer="0.31496062000000002"/>
  <pageSetup paperSize="9" orientation="portrait" verticalDpi="0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nJaneiro">
    <tabColor theme="4" tint="0.59999389629810485"/>
    <pageSetUpPr fitToPage="1"/>
  </sheetPr>
  <dimension ref="A1:AC47"/>
  <sheetViews>
    <sheetView showGridLines="0" tabSelected="1" workbookViewId="0">
      <pane xSplit="1" ySplit="8" topLeftCell="B9" activePane="bottomRight" state="frozen"/>
      <selection activeCell="H10" sqref="H10"/>
      <selection pane="topRight" activeCell="H10" sqref="H10"/>
      <selection pane="bottomLeft" activeCell="H10" sqref="H10"/>
      <selection pane="bottomRight" activeCell="D6" sqref="D6"/>
    </sheetView>
  </sheetViews>
  <sheetFormatPr defaultColWidth="0" defaultRowHeight="15" zeroHeight="1" x14ac:dyDescent="0.25"/>
  <cols>
    <col min="1" max="1" width="6.7109375" style="5" customWidth="1"/>
    <col min="2" max="2" width="10.7109375" style="5" customWidth="1"/>
    <col min="3" max="3" width="10" style="5" customWidth="1"/>
    <col min="4" max="9" width="12.7109375" style="5" customWidth="1"/>
    <col min="10" max="14" width="12.7109375" style="5" hidden="1" customWidth="1"/>
    <col min="15" max="15" width="12.7109375" style="5" customWidth="1"/>
    <col min="16" max="19" width="12.7109375" style="5" hidden="1" customWidth="1"/>
    <col min="20" max="20" width="38.42578125" style="5" customWidth="1"/>
    <col min="21" max="21" width="2.7109375" style="5" customWidth="1"/>
    <col min="22" max="22" width="9.140625" style="5" hidden="1" customWidth="1"/>
    <col min="23" max="23" width="12.42578125" style="5" hidden="1" customWidth="1"/>
    <col min="24" max="25" width="0" style="5" hidden="1" customWidth="1"/>
    <col min="26" max="26" width="9.140625" style="5" hidden="1" customWidth="1"/>
    <col min="27" max="27" width="12.42578125" style="5" hidden="1" customWidth="1"/>
    <col min="28" max="29" width="0" style="5" hidden="1" customWidth="1"/>
    <col min="30" max="16384" width="9.140625" style="5" hidden="1"/>
  </cols>
  <sheetData>
    <row r="1" spans="2:25" ht="15" customHeight="1" x14ac:dyDescent="0.25">
      <c r="G1" s="28" t="s">
        <v>58</v>
      </c>
      <c r="O1" s="83" t="str">
        <f>"*Limite de horas: " &amp; LIMITE &amp; "; e 
*Contabiliza a partir de " &amp; TEXT(CARENCIA, "hh:mm") &amp; " hora(s) (para mais ou para menos);
*Caso tenha Atestado em um dos períodos, o que ultrapassar de 4:00 horas de trabalho contabiliza hora positiva."</f>
        <v>*Limite de horas: 2h diárias; e 
*Contabiliza a partir de 00:00 hora(s) (para mais ou para menos);
*Caso tenha Atestado em um dos períodos, o que ultrapassar de 4:00 horas de trabalho contabiliza hora positiva.</v>
      </c>
      <c r="P1" s="83"/>
      <c r="Q1" s="83"/>
      <c r="R1" s="83"/>
      <c r="S1" s="83"/>
      <c r="T1" s="83"/>
    </row>
    <row r="2" spans="2:25" ht="15" customHeight="1" thickBot="1" x14ac:dyDescent="0.3">
      <c r="B2" s="6"/>
      <c r="G2" s="90"/>
      <c r="H2" s="91"/>
      <c r="I2" s="91"/>
      <c r="N2" s="24"/>
      <c r="O2" s="83"/>
      <c r="P2" s="83"/>
      <c r="Q2" s="83"/>
      <c r="R2" s="83"/>
      <c r="S2" s="83"/>
      <c r="T2" s="83"/>
    </row>
    <row r="3" spans="2:25" ht="15" customHeight="1" x14ac:dyDescent="0.25">
      <c r="B3" s="6"/>
      <c r="G3" s="44" t="s">
        <v>96</v>
      </c>
      <c r="H3" s="92" t="s">
        <v>97</v>
      </c>
      <c r="I3" s="93"/>
      <c r="N3" s="24"/>
      <c r="O3" s="83"/>
      <c r="P3" s="83"/>
      <c r="Q3" s="83"/>
      <c r="R3" s="83"/>
      <c r="S3" s="83"/>
      <c r="T3" s="83"/>
    </row>
    <row r="4" spans="2:25" ht="15" customHeight="1" thickBot="1" x14ac:dyDescent="0.3">
      <c r="B4" s="6"/>
      <c r="G4" s="52"/>
      <c r="H4" s="84"/>
      <c r="I4" s="85"/>
      <c r="N4" s="24"/>
      <c r="O4" s="83"/>
      <c r="P4" s="83"/>
      <c r="Q4" s="83"/>
      <c r="R4" s="83"/>
      <c r="S4" s="83"/>
      <c r="T4" s="83"/>
    </row>
    <row r="5" spans="2:25" ht="15" customHeight="1" x14ac:dyDescent="0.25">
      <c r="B5" s="86" t="s">
        <v>59</v>
      </c>
      <c r="C5" s="87"/>
      <c r="D5" s="29" t="s">
        <v>62</v>
      </c>
      <c r="E5" s="43" t="s">
        <v>88</v>
      </c>
      <c r="G5" s="7"/>
      <c r="N5" s="24"/>
      <c r="O5" s="94" t="s">
        <v>100</v>
      </c>
      <c r="P5" s="34" t="s">
        <v>76</v>
      </c>
      <c r="Q5" s="34" t="s">
        <v>76</v>
      </c>
      <c r="R5" s="34" t="s">
        <v>76</v>
      </c>
      <c r="S5" s="34" t="s">
        <v>76</v>
      </c>
      <c r="T5" s="24"/>
    </row>
    <row r="6" spans="2:25" ht="16.5" customHeight="1" thickBot="1" x14ac:dyDescent="0.3">
      <c r="B6" s="88" t="s">
        <v>63</v>
      </c>
      <c r="C6" s="89"/>
      <c r="D6" s="30"/>
      <c r="E6" s="30"/>
      <c r="F6" s="32" t="str">
        <f>IF(ISERROR(DATEVALUE(IF(E6&lt;&gt;"",E6,1)&amp;"-"&amp;B6&amp;"-"&amp;D6)),"",DATEVALUE(IF(E6&lt;&gt;"",E6,1)&amp;"-"&amp;B6&amp;"-"&amp;D6))</f>
        <v/>
      </c>
      <c r="N6" s="24"/>
      <c r="O6" s="95"/>
      <c r="P6" s="81" t="s">
        <v>95</v>
      </c>
      <c r="Q6" s="82"/>
      <c r="R6" s="82"/>
      <c r="S6" s="82"/>
      <c r="T6" s="24"/>
    </row>
    <row r="7" spans="2:25" x14ac:dyDescent="0.25">
      <c r="E7" s="8"/>
      <c r="F7" s="8"/>
      <c r="G7" s="8"/>
      <c r="H7" s="8"/>
      <c r="I7" s="8"/>
      <c r="J7" s="34" t="s">
        <v>76</v>
      </c>
      <c r="K7" s="34" t="s">
        <v>76</v>
      </c>
      <c r="L7" s="34" t="s">
        <v>76</v>
      </c>
      <c r="M7" s="34" t="s">
        <v>76</v>
      </c>
      <c r="N7" s="34" t="s">
        <v>76</v>
      </c>
      <c r="O7" s="51">
        <v>0</v>
      </c>
      <c r="P7" s="45">
        <f>SUM(tblHorasJan[Atrasos
(horas)])</f>
        <v>0</v>
      </c>
      <c r="Q7" s="46">
        <f>SUM(tblHorasJan[Faltas
(dias)])</f>
        <v>0</v>
      </c>
      <c r="R7" s="45">
        <f>SUM(tblHorasJan[Hora Extra Normal])</f>
        <v>0</v>
      </c>
      <c r="S7" s="45">
        <f>SUM(tblHorasJan[Hora Extra 
Especial])</f>
        <v>0</v>
      </c>
      <c r="T7" s="24"/>
    </row>
    <row r="8" spans="2:25" s="9" customFormat="1" ht="45" customHeight="1" x14ac:dyDescent="0.25">
      <c r="B8" s="9" t="s">
        <v>0</v>
      </c>
      <c r="C8" s="9" t="s">
        <v>1</v>
      </c>
      <c r="D8" s="10" t="s">
        <v>51</v>
      </c>
      <c r="E8" s="9" t="s">
        <v>3</v>
      </c>
      <c r="F8" s="9" t="s">
        <v>4</v>
      </c>
      <c r="G8" s="9" t="s">
        <v>5</v>
      </c>
      <c r="H8" s="9" t="s">
        <v>6</v>
      </c>
      <c r="I8" s="10" t="s">
        <v>52</v>
      </c>
      <c r="J8" s="9" t="s">
        <v>35</v>
      </c>
      <c r="K8" s="9" t="s">
        <v>36</v>
      </c>
      <c r="L8" s="9" t="s">
        <v>55</v>
      </c>
      <c r="M8" s="9" t="s">
        <v>48</v>
      </c>
      <c r="N8" s="9" t="s">
        <v>50</v>
      </c>
      <c r="O8" s="9" t="s">
        <v>49</v>
      </c>
      <c r="P8" s="9" t="s">
        <v>91</v>
      </c>
      <c r="Q8" s="9" t="s">
        <v>92</v>
      </c>
      <c r="R8" s="9" t="s">
        <v>93</v>
      </c>
      <c r="S8" s="9" t="s">
        <v>94</v>
      </c>
      <c r="T8" s="9" t="s">
        <v>46</v>
      </c>
      <c r="W8" s="26"/>
    </row>
    <row r="9" spans="2:25" x14ac:dyDescent="0.25">
      <c r="B9" s="11" t="str">
        <f>IF(ISERROR(F6),"",F6)</f>
        <v/>
      </c>
      <c r="C9" s="12" t="str">
        <f>TEXT(tblHorasJan[Data],"ddd")</f>
        <v/>
      </c>
      <c r="D9" s="25"/>
      <c r="E9" s="1"/>
      <c r="F9" s="1"/>
      <c r="G9" s="1"/>
      <c r="H9" s="1"/>
      <c r="I9" s="53"/>
      <c r="J9" s="4">
        <f>IF($B$6&lt;&gt;"",
IF(AND(tblHorasJan[Evento 
(1º Período)]&lt;&gt;"",IF(ISERROR(VLOOKUP(tblHorasJan[Evento 
(1º Período)],tblEvento[],Tabelas!$D$1,FALSE)),FALSE,VLOOKUP(tblHorasJan[Evento 
(1º Período)],tblEvento[],Tabelas!$D$1,FALSE)="Sim")),
        IF(JORNADA_PERIODO_1&lt;&gt;"",
IF(VLOOKUP(tblHorasJan[Dia],tblDiaUtil[[Abreviatura]:[1º Período]],3,FALSE)&gt;0,VLOOKUP(tblHorasJan[Dia],tblDiaUtil[[Abreviatura]:[1º Período]],3,FALSE),JORNADA_PERIODO_1),
IF(VLOOKUP(tblHorasJan[Dia],tblDiaUtil[[Abreviatura]:[1º Período]],3,FALSE)&gt;0,VLOOKUP(tblHorasJan[Dia],tblDiaUtil[[Abreviatura]:[1º Período]],3,FALSE),JORNADA/2)),
        IF(AND(ISNUMBER(tblHorasJan[Saída - 1 (Almoço)]),ISNUMBER(tblHorasJan[Entrada - 1])),
              IF(OR(AND(tblHorasJan[Evento 
(1º Período)]&lt;&gt;"",IF(ISERROR(VLOOKUP(tblHorasJan[Evento 
(1º Período)],tblEvento[],Tabelas!$E$1,FALSE)),FALSE,VLOOKUP(tblHorasJan[Evento 
(1º Período)],tblEvento[],Tabelas!$E$1,FALSE)="Sim")),IF(VLOOKUP(TEXT(tblHorasJan[Data],"dddd"),tblDiaUtil[],2,FALSE)="Não",TRUE,FALSE)),
                   tblHorasJan[Saída - 1 (Almoço)]-tblHorasJan[Entrada - 1],
                   IF(OR(HOUR(tblHorasJan[Saída - 1 (Almoço)]-tblHorasJan[Entrada - 1])&gt;0,ROUND(tblHorasJan[Saída - 1 (Almoço)]-tblHorasJan[Entrada - 1],6)&gt;ROUND(CARENCIA,6)),
                          tblHorasJan[Saída - 1 (Almoço)]-tblHorasJan[Entrada - 1],
                          0)),
                    0)),0)</f>
        <v>0</v>
      </c>
      <c r="K9" s="4">
        <f>IF($B$6&lt;&gt;"",
IF(AND(tblHorasJan[Evento 
(2º Período)]&lt;&gt;"",IF(ISERROR(VLOOKUP(tblHorasJan[Evento 
(2º Período)],tblEvento[],Tabelas!$D$1,FALSE)),FALSE,VLOOKUP(tblHorasJan[Evento 
(2º Período)],tblEvento[],Tabelas!$D$1,FALSE)="Sim")),
        IF(JORNADA_PERIODO_2&lt;&gt;"",
IF(VLOOKUP(tblHorasJan[Dia],tblDiaUtil[[Abreviatura]:[2º Período]],4,FALSE)&gt;0,VLOOKUP(tblHorasJan[Dia],tblDiaUtil[[Abreviatura]:[2º Período]],4,FALSE),JORNADA_PERIODO_2),
IF(VLOOKUP(tblHorasJan[Dia],tblDiaUtil[[Abreviatura]:[2º Período]],4,FALSE)&gt;0,VLOOKUP(tblHorasJan[Dia],tblDiaUtil[[Abreviatura]:[2º Período]],4,FALSE),JORNADA/2)),
        IF(AND(ISNUMBER(tblHorasJan[Saída - 2]),ISNUMBER(tblHorasJan[Entrada - 2 (Almoço)])),
              IF(OR(AND(tblHorasJan[Evento 
(2º Período)]&lt;&gt;"",IF(ISERROR(VLOOKUP(tblHorasJan[Evento 
(2º Período)],tblEvento[],Tabelas!$E$1,FALSE)),FALSE,VLOOKUP(tblHorasJan[Evento 
(2º Período)],tblEvento[],Tabelas!$E$1,FALSE)="Sim")),IF(VLOOKUP(TEXT(tblHorasJan[Data],"dddd"),tblDiaUtil[],2,FALSE)="Não",TRUE,FALSE)),
                   tblHorasJan[Saída - 2]-tblHorasJan[Entrada - 2 (Almoço)],
                   IF(OR(HOUR(tblHorasJan[Saída - 2]-tblHorasJan[Entrada - 2 (Almoço)])&gt;0,MINUTE(tblHorasJan[Saída - 2]-tblHorasJan[Entrada - 2 (Almoço)])&gt;CARENCIA),
                         tblHorasJan[Saída - 2]-tblHorasJan[Entrada - 2 (Almoço)],
                         0)),
       0)),0)</f>
        <v>0</v>
      </c>
      <c r="L9" s="4">
        <f>tblHorasJan[Horas Trabalhadas (1º Período)]+tblHorasJan[Horas Trabalhadas (2º Período)]</f>
        <v>0</v>
      </c>
      <c r="M9" s="4" t="str">
        <f>IF(tblHorasJan[Data]&lt;&gt;"",
        IF(
AND(VLOOKUP(TEXT(tblHorasJan[Data],"dddd"),tblDiaUtil[],3,FALSE)="Sim",IF(tblHorasJan[Evento 
(1º Período)]&lt;&gt;"",IF(VLOOKUP(tblHorasJan[Evento 
(1º Período)],tblEvento[],Tabelas!$E$1,FALSE)="Sim",FALSE,TRUE),TRUE),IF(tblHorasJan[Evento 
(2º Período)]&lt;&gt;"",IF(VLOOKUP(tblHorasJan[Evento 
(2º Período)],tblEvento[],Tabelas!$E$1,FALSE)="Sim",FALSE,TRUE),TRUE)),
              IF(VLOOKUP(tblHorasJan[Dia],tblDiaUtil[[Abreviatura]:[1º Período]],3,FALSE)&gt;0,VLOOKUP(tblHorasJan[Dia],tblDiaUtil[[Abreviatura]:[1º Período]],3,FALSE),JORNADA),
              ""),
         "")</f>
        <v/>
      </c>
      <c r="N9" s="14">
        <f>IF(OR(tblHorasJan[Horas Trabalhadas (1º Período)]&lt;&gt;0,tblHorasJan[Horas Trabalhadas (2º Período)]&lt;&gt;0),
        IF(ISNUMBER(tblHorasJan[Jornada Diária]),
              IF(tblHorasJan[Jornada Diária]&gt;(tblHorasJan[Horas Trabalhadas (2º Período)]+tblHorasJan[Horas Trabalhadas (1º Período)]),
                     IF(ROUND((tblHorasJan[Jornada Diária]-(tblHorasJan[Horas Trabalhadas (2º Período)]+tblHorasJan[Horas Trabalhadas (1º Período)])),6)&gt;ROUND(CARENCIA,6),
                           -tblHorasJan[Jornada Diária]+(tblHorasJan[Horas Trabalhadas (2º Período)]+tblHorasJan[Horas Trabalhadas (1º Período)]),
                           0),
                      IF(ROUND((tblHorasJan[Jornada Diária]-(tblHorasJan[Horas Trabalhadas (2º Período)]+tblHorasJan[Horas Trabalhadas (1º Período)])),6)&lt;ROUND(-CARENCIA,6),
                           -tblHorasJan[Jornada Diária]+(tblHorasJan[Horas Trabalhadas (2º Período)]+tblHorasJan[Horas Trabalhadas (1º Período)]),
                           0)),
              tblHorasJan[Horas Trabalhadas (2º Período)]+tblHorasJan[Horas Trabalhadas (1º Período)]),
         IF(AND(IF(ISERROR(VLOOKUP(tblHorasJan[Evento 
(1º Período)],tblEvento[[Evento]:[Libera o Período]],4,FALSE)),FALSE,IF(VLOOKUP(tblHorasJan[Evento 
(1º Período)],tblEvento[[Evento]:[Libera o Período]],4,FALSE)="Não",TRUE,FALSE)),IF(ISERROR(VLOOKUP(tblHorasJan[Evento 
(2º Período)],tblEvento[[Evento]:[Libera o Período]],4,FALSE)),FALSE,IF(VLOOKUP(tblHorasJan[Evento 
(2º Período)],tblEvento[[Evento]:[Libera o Período]],4,FALSE)="Não",TRUE,FALSE))),
-IF(VLOOKUP(tblHorasJan[Dia],tblDiaUtil[[Abreviatura]:[Total Jornada]],5,FALSE)&lt;&gt;"",VLOOKUP(tblHorasJan[Dia],tblDiaUtil[[Abreviatura]:[Total Jornada]],5,FALSE),JORNADA),
IF(IF(ISERROR(VLOOKUP(tblHorasJan[Evento 
(1º Período)],tblEvento[[Evento]:[Libera o Período]],4,FALSE)),FALSE,
IF(VLOOKUP(tblHorasJan[Evento 
(1º Período)],tblEvento[[Evento]:[Libera o Período]],4,FALSE)="Não",TRUE,FALSE)
),
-IF(VLOOKUP(tblHorasJan[Dia],tblDiaUtil[[Abreviatura]:[1º Período]],3,FALSE)&lt;&gt;"",VLOOKUP(tblHorasJan[Dia],tblDiaUtil[[Abreviatura]:[1º Período]],3,FALSE),JORNADA_PERIODO_1),
IF(IF(ISERROR(VLOOKUP(tblHorasJan[Evento 
(2º Período)],tblEvento[[Evento]:[Libera o Período]],4,FALSE)),FALSE,IF(VLOOKUP(tblHorasJan[Evento 
(2º Período)],tblEvento[[Evento]:[Libera o Período]],4,FALSE)="Não",TRUE,FALSE)),
-IF(VLOOKUP(tblHorasJan[Dia],tblDiaUtil[[Abreviatura]:[2º Período]],4,FALSE)&lt;&gt;"",VLOOKUP(tblHorasJan[Dia],tblDiaUtil[[Abreviatura]:[2º Período]],4,FALSE),JORNADA_PERIODO_2),0))))</f>
        <v>0</v>
      </c>
      <c r="O9" s="14">
        <f>IF(tblHorasJan[Horas Trabalhadas Além Jornada]&gt;0,
        IF(ISNUMBER(tblHorasJan[Jornada Diária]),
              IF(HOUR(tblHorasJan[Horas Trabalhadas Além Jornada])&gt;=VLOOKUP(LIMITE,tblLimiteHora[],Tabelas!$I$1,FALSE),
                    VLOOKUP(LIMITE,tblLimiteHora[],Tabelas!$J$1,FALSE),
                    tblHorasJan[Horas Trabalhadas Além Jornada]),
              tblHorasJan[Horas Trabalhadas Além Jornada]),
        tblHorasJan[Horas Trabalhadas Além Jornada])</f>
        <v>0</v>
      </c>
      <c r="P9" s="14" t="str">
        <f>IF(tblHorasJan[Horas Trabalhadas Além Jornada]&lt;0,IF(OR(tblHorasJan[Evento 
(1º Período)]="",tblHorasJan[Evento 
(2º Período)]=""),tblHorasJan[Horas Trabalhadas Além Jornada],""),"")</f>
        <v/>
      </c>
      <c r="Q9" s="14" t="str">
        <f>IF(tblHorasJan[Jornada Diária]&lt;&gt;"",IF((N(tblHorasJan[Jornada Diária])-ABS(N(tblHorasJan[Horas Trabalhadas Além Jornada])))=0,1,""),"")</f>
        <v/>
      </c>
      <c r="R9" s="14" t="str">
        <f>IF(tblHorasJan[Horas Trabalhadas Além Jornada]&gt;0,
IF(AND(VLOOKUP(TEXT(tblHorasJan[Data],"dddd"),tblDiaUtil[],3,FALSE)="Sim",IF(tblHorasJan[Evento 
(1º Período)]&lt;&gt;"",IF(VLOOKUP(tblHorasJan[Evento 
(1º Período)],tblEvento[],Tabelas!$E$1,FALSE)="Sim",FALSE,TRUE),TRUE),IF(tblHorasJan[Evento 
(2º Período)]&lt;&gt;"",IF(VLOOKUP(tblHorasJan[Evento 
(2º Período)],tblEvento[],Tabelas!$E$1,FALSE)="Sim",FALSE,TRUE),TRUE)),
tblHorasJan[Horas Trabalhadas Além Jornada],""),"")</f>
        <v/>
      </c>
      <c r="S9" s="14" t="str">
        <f>IF(tblHorasJan[Horas Trabalhadas Além Jornada]&gt;0,
IF(OR(VLOOKUP(TEXT(tblHorasJan[Data],"dddd"),tblDiaUtil[],3,FALSE)="Não",IF(tblHorasJan[Evento 
(1º Período)]&lt;&gt;"",IF(VLOOKUP(tblHorasJan[Evento 
(1º Período)],tblEvento[],Tabelas!$E$1,FALSE)="Sim",TRUE,FALSE),FALSE),IF(tblHorasJan[Evento 
(2º Período)]&lt;&gt;"",IF(VLOOKUP(tblHorasJan[Evento 
(2º Período)],tblEvento[],Tabelas!$E$1,FALSE)="Sim",TRUE,FALSE),FALSE)),
tblHorasJan[Horas Trabalhadas Além Jornada],""),"")</f>
        <v/>
      </c>
      <c r="T9" s="15" t="str">
        <f>IF(tblHorasJan[Evento 
(1º Período)]&lt;&gt;""," - " &amp;VLOOKUP(tblHorasJan[Evento 
(1º Período)],tblEvento[],Tabelas!$F$1,FALSE),"")&amp;IF(AND(tblHorasJan[Evento 
(2º Período)]&lt;&gt;"",tblHorasJan[Evento 
(2º Período)]&lt;&gt;tblHorasJan[Evento 
(1º Período)])," - " &amp; VLOOKUP(tblHorasJan[Evento 
(2º Período)],tblEvento[],Tabelas!$F$1,FALSE),"")</f>
        <v/>
      </c>
      <c r="V9" s="16"/>
      <c r="Y9" s="17"/>
    </row>
    <row r="10" spans="2:25" x14ac:dyDescent="0.25">
      <c r="B10" s="11" t="str">
        <f>IF(B9&lt;&gt;"",IF(DAY(B9+1)=IF($E$6&lt;&gt;"",$E$6,1),"",B9+1),"")</f>
        <v/>
      </c>
      <c r="C10" s="12" t="str">
        <f>TEXT(tblHorasJan[Data],"ddd")</f>
        <v/>
      </c>
      <c r="D10" s="25"/>
      <c r="E10" s="1"/>
      <c r="F10" s="1"/>
      <c r="G10" s="1"/>
      <c r="H10" s="1"/>
      <c r="I10" s="53"/>
      <c r="J10" s="4">
        <f>IF($B$6&lt;&gt;"",
IF(AND(tblHorasJan[Evento 
(1º Período)]&lt;&gt;"",IF(ISERROR(VLOOKUP(tblHorasJan[Evento 
(1º Período)],tblEvento[],Tabelas!$D$1,FALSE)),FALSE,VLOOKUP(tblHorasJan[Evento 
(1º Período)],tblEvento[],Tabelas!$D$1,FALSE)="Sim")),
        IF(JORNADA_PERIODO_1&lt;&gt;"",
IF(VLOOKUP(tblHorasJan[Dia],tblDiaUtil[[Abreviatura]:[1º Período]],3,FALSE)&gt;0,VLOOKUP(tblHorasJan[Dia],tblDiaUtil[[Abreviatura]:[1º Período]],3,FALSE),JORNADA_PERIODO_1),
IF(VLOOKUP(tblHorasJan[Dia],tblDiaUtil[[Abreviatura]:[1º Período]],3,FALSE)&gt;0,VLOOKUP(tblHorasJan[Dia],tblDiaUtil[[Abreviatura]:[1º Período]],3,FALSE),JORNADA/2)),
        IF(AND(ISNUMBER(tblHorasJan[Saída - 1 (Almoço)]),ISNUMBER(tblHorasJan[Entrada - 1])),
              IF(OR(AND(tblHorasJan[Evento 
(1º Período)]&lt;&gt;"",IF(ISERROR(VLOOKUP(tblHorasJan[Evento 
(1º Período)],tblEvento[],Tabelas!$E$1,FALSE)),FALSE,VLOOKUP(tblHorasJan[Evento 
(1º Período)],tblEvento[],Tabelas!$E$1,FALSE)="Sim")),IF(VLOOKUP(TEXT(tblHorasJan[Data],"dddd"),tblDiaUtil[],2,FALSE)="Não",TRUE,FALSE)),
                   tblHorasJan[Saída - 1 (Almoço)]-tblHorasJan[Entrada - 1],
                   IF(OR(HOUR(tblHorasJan[Saída - 1 (Almoço)]-tblHorasJan[Entrada - 1])&gt;0,ROUND(tblHorasJan[Saída - 1 (Almoço)]-tblHorasJan[Entrada - 1],6)&gt;ROUND(CARENCIA,6)),
                          tblHorasJan[Saída - 1 (Almoço)]-tblHorasJan[Entrada - 1],
                          0)),
                    0)),0)</f>
        <v>0</v>
      </c>
      <c r="K10" s="4">
        <f>IF($B$6&lt;&gt;"",
IF(AND(tblHorasJan[Evento 
(2º Período)]&lt;&gt;"",IF(ISERROR(VLOOKUP(tblHorasJan[Evento 
(2º Período)],tblEvento[],Tabelas!$D$1,FALSE)),FALSE,VLOOKUP(tblHorasJan[Evento 
(2º Período)],tblEvento[],Tabelas!$D$1,FALSE)="Sim")),
        IF(JORNADA_PERIODO_2&lt;&gt;"",
IF(VLOOKUP(tblHorasJan[Dia],tblDiaUtil[[Abreviatura]:[2º Período]],4,FALSE)&gt;0,VLOOKUP(tblHorasJan[Dia],tblDiaUtil[[Abreviatura]:[2º Período]],4,FALSE),JORNADA_PERIODO_2),
IF(VLOOKUP(tblHorasJan[Dia],tblDiaUtil[[Abreviatura]:[2º Período]],4,FALSE)&gt;0,VLOOKUP(tblHorasJan[Dia],tblDiaUtil[[Abreviatura]:[2º Período]],4,FALSE),JORNADA/2)),
        IF(AND(ISNUMBER(tblHorasJan[Saída - 2]),ISNUMBER(tblHorasJan[Entrada - 2 (Almoço)])),
              IF(OR(AND(tblHorasJan[Evento 
(2º Período)]&lt;&gt;"",IF(ISERROR(VLOOKUP(tblHorasJan[Evento 
(2º Período)],tblEvento[],Tabelas!$E$1,FALSE)),FALSE,VLOOKUP(tblHorasJan[Evento 
(2º Período)],tblEvento[],Tabelas!$E$1,FALSE)="Sim")),IF(VLOOKUP(TEXT(tblHorasJan[Data],"dddd"),tblDiaUtil[],2,FALSE)="Não",TRUE,FALSE)),
                   tblHorasJan[Saída - 2]-tblHorasJan[Entrada - 2 (Almoço)],
                   IF(OR(HOUR(tblHorasJan[Saída - 2]-tblHorasJan[Entrada - 2 (Almoço)])&gt;0,MINUTE(tblHorasJan[Saída - 2]-tblHorasJan[Entrada - 2 (Almoço)])&gt;CARENCIA),
                         tblHorasJan[Saída - 2]-tblHorasJan[Entrada - 2 (Almoço)],
                         0)),
       0)),0)</f>
        <v>0</v>
      </c>
      <c r="L10" s="4">
        <f>tblHorasJan[Horas Trabalhadas (1º Período)]+tblHorasJan[Horas Trabalhadas (2º Período)]</f>
        <v>0</v>
      </c>
      <c r="M10" s="4" t="str">
        <f>IF(tblHorasJan[Data]&lt;&gt;"",
        IF(
AND(VLOOKUP(TEXT(tblHorasJan[Data],"dddd"),tblDiaUtil[],3,FALSE)="Sim",IF(tblHorasJan[Evento 
(1º Período)]&lt;&gt;"",IF(VLOOKUP(tblHorasJan[Evento 
(1º Período)],tblEvento[],Tabelas!$E$1,FALSE)="Sim",FALSE,TRUE),TRUE),IF(tblHorasJan[Evento 
(2º Período)]&lt;&gt;"",IF(VLOOKUP(tblHorasJan[Evento 
(2º Período)],tblEvento[],Tabelas!$E$1,FALSE)="Sim",FALSE,TRUE),TRUE)),
              IF(VLOOKUP(tblHorasJan[Dia],tblDiaUtil[[Abreviatura]:[1º Período]],3,FALSE)&gt;0,VLOOKUP(tblHorasJan[Dia],tblDiaUtil[[Abreviatura]:[1º Período]],3,FALSE),JORNADA),
              ""),
         "")</f>
        <v/>
      </c>
      <c r="N10" s="14">
        <f>IF(OR(tblHorasJan[Horas Trabalhadas (1º Período)]&lt;&gt;0,tblHorasJan[Horas Trabalhadas (2º Período)]&lt;&gt;0),
        IF(ISNUMBER(tblHorasJan[Jornada Diária]),
              IF(tblHorasJan[Jornada Diária]&gt;(tblHorasJan[Horas Trabalhadas (2º Período)]+tblHorasJan[Horas Trabalhadas (1º Período)]),
                     IF(ROUND((tblHorasJan[Jornada Diária]-(tblHorasJan[Horas Trabalhadas (2º Período)]+tblHorasJan[Horas Trabalhadas (1º Período)])),6)&gt;ROUND(CARENCIA,6),
                           -tblHorasJan[Jornada Diária]+(tblHorasJan[Horas Trabalhadas (2º Período)]+tblHorasJan[Horas Trabalhadas (1º Período)]),
                           0),
                      IF(ROUND((tblHorasJan[Jornada Diária]-(tblHorasJan[Horas Trabalhadas (2º Período)]+tblHorasJan[Horas Trabalhadas (1º Período)])),6)&lt;ROUND(-CARENCIA,6),
                           -tblHorasJan[Jornada Diária]+(tblHorasJan[Horas Trabalhadas (2º Período)]+tblHorasJan[Horas Trabalhadas (1º Período)]),
                           0)),
              tblHorasJan[Horas Trabalhadas (2º Período)]+tblHorasJan[Horas Trabalhadas (1º Período)]),
         IF(AND(IF(ISERROR(VLOOKUP(tblHorasJan[Evento 
(1º Período)],tblEvento[[Evento]:[Libera o Período]],4,FALSE)),FALSE,IF(VLOOKUP(tblHorasJan[Evento 
(1º Período)],tblEvento[[Evento]:[Libera o Período]],4,FALSE)="Não",TRUE,FALSE)),IF(ISERROR(VLOOKUP(tblHorasJan[Evento 
(2º Período)],tblEvento[[Evento]:[Libera o Período]],4,FALSE)),FALSE,IF(VLOOKUP(tblHorasJan[Evento 
(2º Período)],tblEvento[[Evento]:[Libera o Período]],4,FALSE)="Não",TRUE,FALSE))),
-IF(VLOOKUP(tblHorasJan[Dia],tblDiaUtil[[Abreviatura]:[Total Jornada]],5,FALSE)&lt;&gt;"",VLOOKUP(tblHorasJan[Dia],tblDiaUtil[[Abreviatura]:[Total Jornada]],5,FALSE),JORNADA),
IF(IF(ISERROR(VLOOKUP(tblHorasJan[Evento 
(1º Período)],tblEvento[[Evento]:[Libera o Período]],4,FALSE)),FALSE,
IF(VLOOKUP(tblHorasJan[Evento 
(1º Período)],tblEvento[[Evento]:[Libera o Período]],4,FALSE)="Não",TRUE,FALSE)
),
-IF(VLOOKUP(tblHorasJan[Dia],tblDiaUtil[[Abreviatura]:[1º Período]],3,FALSE)&lt;&gt;"",VLOOKUP(tblHorasJan[Dia],tblDiaUtil[[Abreviatura]:[1º Período]],3,FALSE),JORNADA_PERIODO_1),
IF(IF(ISERROR(VLOOKUP(tblHorasJan[Evento 
(2º Período)],tblEvento[[Evento]:[Libera o Período]],4,FALSE)),FALSE,IF(VLOOKUP(tblHorasJan[Evento 
(2º Período)],tblEvento[[Evento]:[Libera o Período]],4,FALSE)="Não",TRUE,FALSE)),
-IF(VLOOKUP(tblHorasJan[Dia],tblDiaUtil[[Abreviatura]:[2º Período]],4,FALSE)&lt;&gt;"",VLOOKUP(tblHorasJan[Dia],tblDiaUtil[[Abreviatura]:[2º Período]],4,FALSE),JORNADA_PERIODO_2),0))))</f>
        <v>0</v>
      </c>
      <c r="O10" s="14">
        <f>IF(tblHorasJan[Horas Trabalhadas Além Jornada]&gt;0,
        IF(ISNUMBER(tblHorasJan[Jornada Diária]),
              IF(HOUR(tblHorasJan[Horas Trabalhadas Além Jornada])&gt;=VLOOKUP(LIMITE,tblLimiteHora[],Tabelas!$I$1,FALSE),
                    VLOOKUP(LIMITE,tblLimiteHora[],Tabelas!$J$1,FALSE),
                    tblHorasJan[Horas Trabalhadas Além Jornada]),
              tblHorasJan[Horas Trabalhadas Além Jornada]),
        tblHorasJan[Horas Trabalhadas Além Jornada])+O9</f>
        <v>0</v>
      </c>
      <c r="P10" s="14" t="str">
        <f>IF(tblHorasJan[Horas Trabalhadas Além Jornada]&lt;0,IF(OR(tblHorasJan[Evento 
(1º Período)]="",tblHorasJan[Evento 
(2º Período)]=""),tblHorasJan[Horas Trabalhadas Além Jornada],""),"")</f>
        <v/>
      </c>
      <c r="Q10" s="14" t="str">
        <f>IF(tblHorasJan[Jornada Diária]&lt;&gt;"",IF((N(tblHorasJan[Jornada Diária])-ABS(N(tblHorasJan[Horas Trabalhadas Além Jornada])))=0,1,""),"")</f>
        <v/>
      </c>
      <c r="R10" s="14" t="str">
        <f>IF(tblHorasJan[Horas Trabalhadas Além Jornada]&gt;0,
IF(AND(VLOOKUP(TEXT(tblHorasJan[Data],"dddd"),tblDiaUtil[],3,FALSE)="Sim",IF(tblHorasJan[Evento 
(1º Período)]&lt;&gt;"",IF(VLOOKUP(tblHorasJan[Evento 
(1º Período)],tblEvento[],Tabelas!$E$1,FALSE)="Sim",FALSE,TRUE),TRUE),IF(tblHorasJan[Evento 
(2º Período)]&lt;&gt;"",IF(VLOOKUP(tblHorasJan[Evento 
(2º Período)],tblEvento[],Tabelas!$E$1,FALSE)="Sim",FALSE,TRUE),TRUE)),
tblHorasJan[Horas Trabalhadas Além Jornada],""),"")</f>
        <v/>
      </c>
      <c r="S10" s="14" t="str">
        <f>IF(tblHorasJan[Horas Trabalhadas Além Jornada]&gt;0,
IF(OR(VLOOKUP(TEXT(tblHorasJan[Data],"dddd"),tblDiaUtil[],3,FALSE)="Não",IF(tblHorasJan[Evento 
(1º Período)]&lt;&gt;"",IF(VLOOKUP(tblHorasJan[Evento 
(1º Período)],tblEvento[],Tabelas!$E$1,FALSE)="Sim",TRUE,FALSE),FALSE),IF(tblHorasJan[Evento 
(2º Período)]&lt;&gt;"",IF(VLOOKUP(tblHorasJan[Evento 
(2º Período)],tblEvento[],Tabelas!$E$1,FALSE)="Sim",TRUE,FALSE),FALSE)),
tblHorasJan[Horas Trabalhadas Além Jornada],""),"")</f>
        <v/>
      </c>
      <c r="T10" s="15" t="str">
        <f>IF(tblHorasJan[Evento 
(1º Período)]&lt;&gt;""," - " &amp;VLOOKUP(tblHorasJan[Evento 
(1º Período)],tblEvento[],Tabelas!$F$1,FALSE),"")&amp;IF(AND(tblHorasJan[Evento 
(2º Período)]&lt;&gt;"",tblHorasJan[Evento 
(2º Período)]&lt;&gt;tblHorasJan[Evento 
(1º Período)])," - " &amp; VLOOKUP(tblHorasJan[Evento 
(2º Período)],tblEvento[],Tabelas!$F$1,FALSE),"")</f>
        <v/>
      </c>
      <c r="Y10" s="17"/>
    </row>
    <row r="11" spans="2:25" x14ac:dyDescent="0.25">
      <c r="B11" s="11" t="str">
        <f t="shared" ref="B11:B39" si="0">IF(B10&lt;&gt;"",IF(DAY(B10+1)=IF($E$6&lt;&gt;"",$E$6,1),"",B10+1),"")</f>
        <v/>
      </c>
      <c r="C11" s="12" t="str">
        <f>TEXT(tblHorasJan[Data],"ddd")</f>
        <v/>
      </c>
      <c r="D11" s="25"/>
      <c r="E11" s="1"/>
      <c r="F11" s="1"/>
      <c r="G11" s="1"/>
      <c r="H11" s="1"/>
      <c r="I11" s="53"/>
      <c r="J11" s="4">
        <f>IF($B$6&lt;&gt;"",
IF(AND(tblHorasJan[Evento 
(1º Período)]&lt;&gt;"",IF(ISERROR(VLOOKUP(tblHorasJan[Evento 
(1º Período)],tblEvento[],Tabelas!$D$1,FALSE)),FALSE,VLOOKUP(tblHorasJan[Evento 
(1º Período)],tblEvento[],Tabelas!$D$1,FALSE)="Sim")),
        IF(JORNADA_PERIODO_1&lt;&gt;"",
IF(VLOOKUP(tblHorasJan[Dia],tblDiaUtil[[Abreviatura]:[1º Período]],3,FALSE)&gt;0,VLOOKUP(tblHorasJan[Dia],tblDiaUtil[[Abreviatura]:[1º Período]],3,FALSE),JORNADA_PERIODO_1),
IF(VLOOKUP(tblHorasJan[Dia],tblDiaUtil[[Abreviatura]:[1º Período]],3,FALSE)&gt;0,VLOOKUP(tblHorasJan[Dia],tblDiaUtil[[Abreviatura]:[1º Período]],3,FALSE),JORNADA/2)),
        IF(AND(ISNUMBER(tblHorasJan[Saída - 1 (Almoço)]),ISNUMBER(tblHorasJan[Entrada - 1])),
              IF(OR(AND(tblHorasJan[Evento 
(1º Período)]&lt;&gt;"",IF(ISERROR(VLOOKUP(tblHorasJan[Evento 
(1º Período)],tblEvento[],Tabelas!$E$1,FALSE)),FALSE,VLOOKUP(tblHorasJan[Evento 
(1º Período)],tblEvento[],Tabelas!$E$1,FALSE)="Sim")),IF(VLOOKUP(TEXT(tblHorasJan[Data],"dddd"),tblDiaUtil[],2,FALSE)="Não",TRUE,FALSE)),
                   tblHorasJan[Saída - 1 (Almoço)]-tblHorasJan[Entrada - 1],
                   IF(OR(HOUR(tblHorasJan[Saída - 1 (Almoço)]-tblHorasJan[Entrada - 1])&gt;0,ROUND(tblHorasJan[Saída - 1 (Almoço)]-tblHorasJan[Entrada - 1],6)&gt;ROUND(CARENCIA,6)),
                          tblHorasJan[Saída - 1 (Almoço)]-tblHorasJan[Entrada - 1],
                          0)),
                    0)),0)</f>
        <v>0</v>
      </c>
      <c r="K11" s="4">
        <f>IF($B$6&lt;&gt;"",
IF(AND(tblHorasJan[Evento 
(2º Período)]&lt;&gt;"",IF(ISERROR(VLOOKUP(tblHorasJan[Evento 
(2º Período)],tblEvento[],Tabelas!$D$1,FALSE)),FALSE,VLOOKUP(tblHorasJan[Evento 
(2º Período)],tblEvento[],Tabelas!$D$1,FALSE)="Sim")),
        IF(JORNADA_PERIODO_2&lt;&gt;"",
IF(VLOOKUP(tblHorasJan[Dia],tblDiaUtil[[Abreviatura]:[2º Período]],4,FALSE)&gt;0,VLOOKUP(tblHorasJan[Dia],tblDiaUtil[[Abreviatura]:[2º Período]],4,FALSE),JORNADA_PERIODO_2),
IF(VLOOKUP(tblHorasJan[Dia],tblDiaUtil[[Abreviatura]:[2º Período]],4,FALSE)&gt;0,VLOOKUP(tblHorasJan[Dia],tblDiaUtil[[Abreviatura]:[2º Período]],4,FALSE),JORNADA/2)),
        IF(AND(ISNUMBER(tblHorasJan[Saída - 2]),ISNUMBER(tblHorasJan[Entrada - 2 (Almoço)])),
              IF(OR(AND(tblHorasJan[Evento 
(2º Período)]&lt;&gt;"",IF(ISERROR(VLOOKUP(tblHorasJan[Evento 
(2º Período)],tblEvento[],Tabelas!$E$1,FALSE)),FALSE,VLOOKUP(tblHorasJan[Evento 
(2º Período)],tblEvento[],Tabelas!$E$1,FALSE)="Sim")),IF(VLOOKUP(TEXT(tblHorasJan[Data],"dddd"),tblDiaUtil[],2,FALSE)="Não",TRUE,FALSE)),
                   tblHorasJan[Saída - 2]-tblHorasJan[Entrada - 2 (Almoço)],
                   IF(OR(HOUR(tblHorasJan[Saída - 2]-tblHorasJan[Entrada - 2 (Almoço)])&gt;0,MINUTE(tblHorasJan[Saída - 2]-tblHorasJan[Entrada - 2 (Almoço)])&gt;CARENCIA),
                         tblHorasJan[Saída - 2]-tblHorasJan[Entrada - 2 (Almoço)],
                         0)),
       0)),0)</f>
        <v>0</v>
      </c>
      <c r="L11" s="4">
        <f>tblHorasJan[Horas Trabalhadas (1º Período)]+tblHorasJan[Horas Trabalhadas (2º Período)]</f>
        <v>0</v>
      </c>
      <c r="M11" s="4" t="str">
        <f>IF(tblHorasJan[Data]&lt;&gt;"",
        IF(
AND(VLOOKUP(TEXT(tblHorasJan[Data],"dddd"),tblDiaUtil[],3,FALSE)="Sim",IF(tblHorasJan[Evento 
(1º Período)]&lt;&gt;"",IF(VLOOKUP(tblHorasJan[Evento 
(1º Período)],tblEvento[],Tabelas!$E$1,FALSE)="Sim",FALSE,TRUE),TRUE),IF(tblHorasJan[Evento 
(2º Período)]&lt;&gt;"",IF(VLOOKUP(tblHorasJan[Evento 
(2º Período)],tblEvento[],Tabelas!$E$1,FALSE)="Sim",FALSE,TRUE),TRUE)),
              IF(VLOOKUP(tblHorasJan[Dia],tblDiaUtil[[Abreviatura]:[1º Período]],3,FALSE)&gt;0,VLOOKUP(tblHorasJan[Dia],tblDiaUtil[[Abreviatura]:[1º Período]],3,FALSE),JORNADA),
              ""),
         "")</f>
        <v/>
      </c>
      <c r="N11" s="14">
        <f>IF(OR(tblHorasJan[Horas Trabalhadas (1º Período)]&lt;&gt;0,tblHorasJan[Horas Trabalhadas (2º Período)]&lt;&gt;0),
        IF(ISNUMBER(tblHorasJan[Jornada Diária]),
              IF(tblHorasJan[Jornada Diária]&gt;(tblHorasJan[Horas Trabalhadas (2º Período)]+tblHorasJan[Horas Trabalhadas (1º Período)]),
                     IF(ROUND((tblHorasJan[Jornada Diária]-(tblHorasJan[Horas Trabalhadas (2º Período)]+tblHorasJan[Horas Trabalhadas (1º Período)])),6)&gt;ROUND(CARENCIA,6),
                           -tblHorasJan[Jornada Diária]+(tblHorasJan[Horas Trabalhadas (2º Período)]+tblHorasJan[Horas Trabalhadas (1º Período)]),
                           0),
                      IF(ROUND((tblHorasJan[Jornada Diária]-(tblHorasJan[Horas Trabalhadas (2º Período)]+tblHorasJan[Horas Trabalhadas (1º Período)])),6)&lt;ROUND(-CARENCIA,6),
                           -tblHorasJan[Jornada Diária]+(tblHorasJan[Horas Trabalhadas (2º Período)]+tblHorasJan[Horas Trabalhadas (1º Período)]),
                           0)),
              tblHorasJan[Horas Trabalhadas (2º Período)]+tblHorasJan[Horas Trabalhadas (1º Período)]),
         IF(AND(IF(ISERROR(VLOOKUP(tblHorasJan[Evento 
(1º Período)],tblEvento[[Evento]:[Libera o Período]],4,FALSE)),FALSE,IF(VLOOKUP(tblHorasJan[Evento 
(1º Período)],tblEvento[[Evento]:[Libera o Período]],4,FALSE)="Não",TRUE,FALSE)),IF(ISERROR(VLOOKUP(tblHorasJan[Evento 
(2º Período)],tblEvento[[Evento]:[Libera o Período]],4,FALSE)),FALSE,IF(VLOOKUP(tblHorasJan[Evento 
(2º Período)],tblEvento[[Evento]:[Libera o Período]],4,FALSE)="Não",TRUE,FALSE))),
-IF(VLOOKUP(tblHorasJan[Dia],tblDiaUtil[[Abreviatura]:[Total Jornada]],5,FALSE)&lt;&gt;"",VLOOKUP(tblHorasJan[Dia],tblDiaUtil[[Abreviatura]:[Total Jornada]],5,FALSE),JORNADA),
IF(IF(ISERROR(VLOOKUP(tblHorasJan[Evento 
(1º Período)],tblEvento[[Evento]:[Libera o Período]],4,FALSE)),FALSE,
IF(VLOOKUP(tblHorasJan[Evento 
(1º Período)],tblEvento[[Evento]:[Libera o Período]],4,FALSE)="Não",TRUE,FALSE)
),
-IF(VLOOKUP(tblHorasJan[Dia],tblDiaUtil[[Abreviatura]:[1º Período]],3,FALSE)&lt;&gt;"",VLOOKUP(tblHorasJan[Dia],tblDiaUtil[[Abreviatura]:[1º Período]],3,FALSE),JORNADA_PERIODO_1),
IF(IF(ISERROR(VLOOKUP(tblHorasJan[Evento 
(2º Período)],tblEvento[[Evento]:[Libera o Período]],4,FALSE)),FALSE,IF(VLOOKUP(tblHorasJan[Evento 
(2º Período)],tblEvento[[Evento]:[Libera o Período]],4,FALSE)="Não",TRUE,FALSE)),
-IF(VLOOKUP(tblHorasJan[Dia],tblDiaUtil[[Abreviatura]:[2º Período]],4,FALSE)&lt;&gt;"",VLOOKUP(tblHorasJan[Dia],tblDiaUtil[[Abreviatura]:[2º Período]],4,FALSE),JORNADA_PERIODO_2),0))))</f>
        <v>0</v>
      </c>
      <c r="O11" s="14">
        <f>IF(tblHorasJan[Horas Trabalhadas Além Jornada]&gt;0,
        IF(ISNUMBER(tblHorasJan[Jornada Diária]),
              IF(HOUR(tblHorasJan[Horas Trabalhadas Além Jornada])&gt;=VLOOKUP(LIMITE,tblLimiteHora[],Tabelas!$I$1,FALSE),
                    VLOOKUP(LIMITE,tblLimiteHora[],Tabelas!$J$1,FALSE),
                    tblHorasJan[Horas Trabalhadas Além Jornada]),
              tblHorasJan[Horas Trabalhadas Além Jornada]),
        tblHorasJan[Horas Trabalhadas Além Jornada])+O10</f>
        <v>0</v>
      </c>
      <c r="P11" s="14" t="str">
        <f>IF(tblHorasJan[Horas Trabalhadas Além Jornada]&lt;0,IF(OR(tblHorasJan[Evento 
(1º Período)]="",tblHorasJan[Evento 
(2º Período)]=""),tblHorasJan[Horas Trabalhadas Além Jornada],""),"")</f>
        <v/>
      </c>
      <c r="Q11" s="14" t="str">
        <f>IF(tblHorasJan[Jornada Diária]&lt;&gt;"",IF((N(tblHorasJan[Jornada Diária])-ABS(N(tblHorasJan[Horas Trabalhadas Além Jornada])))=0,1,""),"")</f>
        <v/>
      </c>
      <c r="R11" s="14" t="str">
        <f>IF(tblHorasJan[Horas Trabalhadas Além Jornada]&gt;0,
IF(AND(VLOOKUP(TEXT(tblHorasJan[Data],"dddd"),tblDiaUtil[],3,FALSE)="Sim",IF(tblHorasJan[Evento 
(1º Período)]&lt;&gt;"",IF(VLOOKUP(tblHorasJan[Evento 
(1º Período)],tblEvento[],Tabelas!$E$1,FALSE)="Sim",FALSE,TRUE),TRUE),IF(tblHorasJan[Evento 
(2º Período)]&lt;&gt;"",IF(VLOOKUP(tblHorasJan[Evento 
(2º Período)],tblEvento[],Tabelas!$E$1,FALSE)="Sim",FALSE,TRUE),TRUE)),
tblHorasJan[Horas Trabalhadas Além Jornada],""),"")</f>
        <v/>
      </c>
      <c r="S11" s="14" t="str">
        <f>IF(tblHorasJan[Horas Trabalhadas Além Jornada]&gt;0,
IF(OR(VLOOKUP(TEXT(tblHorasJan[Data],"dddd"),tblDiaUtil[],3,FALSE)="Não",IF(tblHorasJan[Evento 
(1º Período)]&lt;&gt;"",IF(VLOOKUP(tblHorasJan[Evento 
(1º Período)],tblEvento[],Tabelas!$E$1,FALSE)="Sim",TRUE,FALSE),FALSE),IF(tblHorasJan[Evento 
(2º Período)]&lt;&gt;"",IF(VLOOKUP(tblHorasJan[Evento 
(2º Período)],tblEvento[],Tabelas!$E$1,FALSE)="Sim",TRUE,FALSE),FALSE)),
tblHorasJan[Horas Trabalhadas Além Jornada],""),"")</f>
        <v/>
      </c>
      <c r="T11" s="15" t="str">
        <f>IF(tblHorasJan[Evento 
(1º Período)]&lt;&gt;""," - " &amp;VLOOKUP(tblHorasJan[Evento 
(1º Período)],tblEvento[],Tabelas!$F$1,FALSE),"")&amp;IF(AND(tblHorasJan[Evento 
(2º Período)]&lt;&gt;"",tblHorasJan[Evento 
(2º Período)]&lt;&gt;tblHorasJan[Evento 
(1º Período)])," - " &amp; VLOOKUP(tblHorasJan[Evento 
(2º Período)],tblEvento[],Tabelas!$F$1,FALSE),"")</f>
        <v/>
      </c>
    </row>
    <row r="12" spans="2:25" x14ac:dyDescent="0.25">
      <c r="B12" s="11" t="str">
        <f t="shared" si="0"/>
        <v/>
      </c>
      <c r="C12" s="12" t="str">
        <f>TEXT(tblHorasJan[Data],"ddd")</f>
        <v/>
      </c>
      <c r="D12" s="25"/>
      <c r="E12" s="1"/>
      <c r="F12" s="1"/>
      <c r="G12" s="1"/>
      <c r="H12" s="1"/>
      <c r="I12" s="53"/>
      <c r="J12" s="4">
        <f>IF($B$6&lt;&gt;"",
IF(AND(tblHorasJan[Evento 
(1º Período)]&lt;&gt;"",IF(ISERROR(VLOOKUP(tblHorasJan[Evento 
(1º Período)],tblEvento[],Tabelas!$D$1,FALSE)),FALSE,VLOOKUP(tblHorasJan[Evento 
(1º Período)],tblEvento[],Tabelas!$D$1,FALSE)="Sim")),
        IF(JORNADA_PERIODO_1&lt;&gt;"",
IF(VLOOKUP(tblHorasJan[Dia],tblDiaUtil[[Abreviatura]:[1º Período]],3,FALSE)&gt;0,VLOOKUP(tblHorasJan[Dia],tblDiaUtil[[Abreviatura]:[1º Período]],3,FALSE),JORNADA_PERIODO_1),
IF(VLOOKUP(tblHorasJan[Dia],tblDiaUtil[[Abreviatura]:[1º Período]],3,FALSE)&gt;0,VLOOKUP(tblHorasJan[Dia],tblDiaUtil[[Abreviatura]:[1º Período]],3,FALSE),JORNADA/2)),
        IF(AND(ISNUMBER(tblHorasJan[Saída - 1 (Almoço)]),ISNUMBER(tblHorasJan[Entrada - 1])),
              IF(OR(AND(tblHorasJan[Evento 
(1º Período)]&lt;&gt;"",IF(ISERROR(VLOOKUP(tblHorasJan[Evento 
(1º Período)],tblEvento[],Tabelas!$E$1,FALSE)),FALSE,VLOOKUP(tblHorasJan[Evento 
(1º Período)],tblEvento[],Tabelas!$E$1,FALSE)="Sim")),IF(VLOOKUP(TEXT(tblHorasJan[Data],"dddd"),tblDiaUtil[],2,FALSE)="Não",TRUE,FALSE)),
                   tblHorasJan[Saída - 1 (Almoço)]-tblHorasJan[Entrada - 1],
                   IF(OR(HOUR(tblHorasJan[Saída - 1 (Almoço)]-tblHorasJan[Entrada - 1])&gt;0,ROUND(tblHorasJan[Saída - 1 (Almoço)]-tblHorasJan[Entrada - 1],6)&gt;ROUND(CARENCIA,6)),
                          tblHorasJan[Saída - 1 (Almoço)]-tblHorasJan[Entrada - 1],
                          0)),
                    0)),0)</f>
        <v>0</v>
      </c>
      <c r="K12" s="4">
        <f>IF($B$6&lt;&gt;"",
IF(AND(tblHorasJan[Evento 
(2º Período)]&lt;&gt;"",IF(ISERROR(VLOOKUP(tblHorasJan[Evento 
(2º Período)],tblEvento[],Tabelas!$D$1,FALSE)),FALSE,VLOOKUP(tblHorasJan[Evento 
(2º Período)],tblEvento[],Tabelas!$D$1,FALSE)="Sim")),
        IF(JORNADA_PERIODO_2&lt;&gt;"",
IF(VLOOKUP(tblHorasJan[Dia],tblDiaUtil[[Abreviatura]:[2º Período]],4,FALSE)&gt;0,VLOOKUP(tblHorasJan[Dia],tblDiaUtil[[Abreviatura]:[2º Período]],4,FALSE),JORNADA_PERIODO_2),
IF(VLOOKUP(tblHorasJan[Dia],tblDiaUtil[[Abreviatura]:[2º Período]],4,FALSE)&gt;0,VLOOKUP(tblHorasJan[Dia],tblDiaUtil[[Abreviatura]:[2º Período]],4,FALSE),JORNADA/2)),
        IF(AND(ISNUMBER(tblHorasJan[Saída - 2]),ISNUMBER(tblHorasJan[Entrada - 2 (Almoço)])),
              IF(OR(AND(tblHorasJan[Evento 
(2º Período)]&lt;&gt;"",IF(ISERROR(VLOOKUP(tblHorasJan[Evento 
(2º Período)],tblEvento[],Tabelas!$E$1,FALSE)),FALSE,VLOOKUP(tblHorasJan[Evento 
(2º Período)],tblEvento[],Tabelas!$E$1,FALSE)="Sim")),IF(VLOOKUP(TEXT(tblHorasJan[Data],"dddd"),tblDiaUtil[],2,FALSE)="Não",TRUE,FALSE)),
                   tblHorasJan[Saída - 2]-tblHorasJan[Entrada - 2 (Almoço)],
                   IF(OR(HOUR(tblHorasJan[Saída - 2]-tblHorasJan[Entrada - 2 (Almoço)])&gt;0,MINUTE(tblHorasJan[Saída - 2]-tblHorasJan[Entrada - 2 (Almoço)])&gt;CARENCIA),
                         tblHorasJan[Saída - 2]-tblHorasJan[Entrada - 2 (Almoço)],
                         0)),
       0)),0)</f>
        <v>0</v>
      </c>
      <c r="L12" s="4">
        <f>tblHorasJan[Horas Trabalhadas (1º Período)]+tblHorasJan[Horas Trabalhadas (2º Período)]</f>
        <v>0</v>
      </c>
      <c r="M12" s="4" t="str">
        <f>IF(tblHorasJan[Data]&lt;&gt;"",
        IF(
AND(VLOOKUP(TEXT(tblHorasJan[Data],"dddd"),tblDiaUtil[],3,FALSE)="Sim",IF(tblHorasJan[Evento 
(1º Período)]&lt;&gt;"",IF(VLOOKUP(tblHorasJan[Evento 
(1º Período)],tblEvento[],Tabelas!$E$1,FALSE)="Sim",FALSE,TRUE),TRUE),IF(tblHorasJan[Evento 
(2º Período)]&lt;&gt;"",IF(VLOOKUP(tblHorasJan[Evento 
(2º Período)],tblEvento[],Tabelas!$E$1,FALSE)="Sim",FALSE,TRUE),TRUE)),
              IF(VLOOKUP(tblHorasJan[Dia],tblDiaUtil[[Abreviatura]:[1º Período]],3,FALSE)&gt;0,VLOOKUP(tblHorasJan[Dia],tblDiaUtil[[Abreviatura]:[1º Período]],3,FALSE),JORNADA),
              ""),
         "")</f>
        <v/>
      </c>
      <c r="N12" s="14">
        <f>IF(OR(tblHorasJan[Horas Trabalhadas (1º Período)]&lt;&gt;0,tblHorasJan[Horas Trabalhadas (2º Período)]&lt;&gt;0),
        IF(ISNUMBER(tblHorasJan[Jornada Diária]),
              IF(tblHorasJan[Jornada Diária]&gt;(tblHorasJan[Horas Trabalhadas (2º Período)]+tblHorasJan[Horas Trabalhadas (1º Período)]),
                     IF(ROUND((tblHorasJan[Jornada Diária]-(tblHorasJan[Horas Trabalhadas (2º Período)]+tblHorasJan[Horas Trabalhadas (1º Período)])),6)&gt;ROUND(CARENCIA,6),
                           -tblHorasJan[Jornada Diária]+(tblHorasJan[Horas Trabalhadas (2º Período)]+tblHorasJan[Horas Trabalhadas (1º Período)]),
                           0),
                      IF(ROUND((tblHorasJan[Jornada Diária]-(tblHorasJan[Horas Trabalhadas (2º Período)]+tblHorasJan[Horas Trabalhadas (1º Período)])),6)&lt;ROUND(-CARENCIA,6),
                           -tblHorasJan[Jornada Diária]+(tblHorasJan[Horas Trabalhadas (2º Período)]+tblHorasJan[Horas Trabalhadas (1º Período)]),
                           0)),
              tblHorasJan[Horas Trabalhadas (2º Período)]+tblHorasJan[Horas Trabalhadas (1º Período)]),
         IF(AND(IF(ISERROR(VLOOKUP(tblHorasJan[Evento 
(1º Período)],tblEvento[[Evento]:[Libera o Período]],4,FALSE)),FALSE,IF(VLOOKUP(tblHorasJan[Evento 
(1º Período)],tblEvento[[Evento]:[Libera o Período]],4,FALSE)="Não",TRUE,FALSE)),IF(ISERROR(VLOOKUP(tblHorasJan[Evento 
(2º Período)],tblEvento[[Evento]:[Libera o Período]],4,FALSE)),FALSE,IF(VLOOKUP(tblHorasJan[Evento 
(2º Período)],tblEvento[[Evento]:[Libera o Período]],4,FALSE)="Não",TRUE,FALSE))),
-IF(VLOOKUP(tblHorasJan[Dia],tblDiaUtil[[Abreviatura]:[Total Jornada]],5,FALSE)&lt;&gt;"",VLOOKUP(tblHorasJan[Dia],tblDiaUtil[[Abreviatura]:[Total Jornada]],5,FALSE),JORNADA),
IF(IF(ISERROR(VLOOKUP(tblHorasJan[Evento 
(1º Período)],tblEvento[[Evento]:[Libera o Período]],4,FALSE)),FALSE,
IF(VLOOKUP(tblHorasJan[Evento 
(1º Período)],tblEvento[[Evento]:[Libera o Período]],4,FALSE)="Não",TRUE,FALSE)
),
-IF(VLOOKUP(tblHorasJan[Dia],tblDiaUtil[[Abreviatura]:[1º Período]],3,FALSE)&lt;&gt;"",VLOOKUP(tblHorasJan[Dia],tblDiaUtil[[Abreviatura]:[1º Período]],3,FALSE),JORNADA_PERIODO_1),
IF(IF(ISERROR(VLOOKUP(tblHorasJan[Evento 
(2º Período)],tblEvento[[Evento]:[Libera o Período]],4,FALSE)),FALSE,IF(VLOOKUP(tblHorasJan[Evento 
(2º Período)],tblEvento[[Evento]:[Libera o Período]],4,FALSE)="Não",TRUE,FALSE)),
-IF(VLOOKUP(tblHorasJan[Dia],tblDiaUtil[[Abreviatura]:[2º Período]],4,FALSE)&lt;&gt;"",VLOOKUP(tblHorasJan[Dia],tblDiaUtil[[Abreviatura]:[2º Período]],4,FALSE),JORNADA_PERIODO_2),0))))</f>
        <v>0</v>
      </c>
      <c r="O12" s="14">
        <f>IF(tblHorasJan[Horas Trabalhadas Além Jornada]&gt;0,
        IF(ISNUMBER(tblHorasJan[Jornada Diária]),
              IF(HOUR(tblHorasJan[Horas Trabalhadas Além Jornada])&gt;=VLOOKUP(LIMITE,tblLimiteHora[],Tabelas!$I$1,FALSE),
                    VLOOKUP(LIMITE,tblLimiteHora[],Tabelas!$J$1,FALSE),
                    tblHorasJan[Horas Trabalhadas Além Jornada]),
              tblHorasJan[Horas Trabalhadas Além Jornada]),
        tblHorasJan[Horas Trabalhadas Além Jornada])+O11</f>
        <v>0</v>
      </c>
      <c r="P12" s="14" t="str">
        <f>IF(tblHorasJan[Horas Trabalhadas Além Jornada]&lt;0,IF(OR(tblHorasJan[Evento 
(1º Período)]="",tblHorasJan[Evento 
(2º Período)]=""),tblHorasJan[Horas Trabalhadas Além Jornada],""),"")</f>
        <v/>
      </c>
      <c r="Q12" s="14" t="str">
        <f>IF(tblHorasJan[Jornada Diária]&lt;&gt;"",IF((N(tblHorasJan[Jornada Diária])-ABS(N(tblHorasJan[Horas Trabalhadas Além Jornada])))=0,1,""),"")</f>
        <v/>
      </c>
      <c r="R12" s="14" t="str">
        <f>IF(tblHorasJan[Horas Trabalhadas Além Jornada]&gt;0,
IF(AND(VLOOKUP(TEXT(tblHorasJan[Data],"dddd"),tblDiaUtil[],3,FALSE)="Sim",IF(tblHorasJan[Evento 
(1º Período)]&lt;&gt;"",IF(VLOOKUP(tblHorasJan[Evento 
(1º Período)],tblEvento[],Tabelas!$E$1,FALSE)="Sim",FALSE,TRUE),TRUE),IF(tblHorasJan[Evento 
(2º Período)]&lt;&gt;"",IF(VLOOKUP(tblHorasJan[Evento 
(2º Período)],tblEvento[],Tabelas!$E$1,FALSE)="Sim",FALSE,TRUE),TRUE)),
tblHorasJan[Horas Trabalhadas Além Jornada],""),"")</f>
        <v/>
      </c>
      <c r="S12" s="14" t="str">
        <f>IF(tblHorasJan[Horas Trabalhadas Além Jornada]&gt;0,
IF(OR(VLOOKUP(TEXT(tblHorasJan[Data],"dddd"),tblDiaUtil[],3,FALSE)="Não",IF(tblHorasJan[Evento 
(1º Período)]&lt;&gt;"",IF(VLOOKUP(tblHorasJan[Evento 
(1º Período)],tblEvento[],Tabelas!$E$1,FALSE)="Sim",TRUE,FALSE),FALSE),IF(tblHorasJan[Evento 
(2º Período)]&lt;&gt;"",IF(VLOOKUP(tblHorasJan[Evento 
(2º Período)],tblEvento[],Tabelas!$E$1,FALSE)="Sim",TRUE,FALSE),FALSE)),
tblHorasJan[Horas Trabalhadas Além Jornada],""),"")</f>
        <v/>
      </c>
      <c r="T12" s="15" t="str">
        <f>IF(tblHorasJan[Evento 
(1º Período)]&lt;&gt;""," - " &amp;VLOOKUP(tblHorasJan[Evento 
(1º Período)],tblEvento[],Tabelas!$F$1,FALSE),"")&amp;IF(AND(tblHorasJan[Evento 
(2º Período)]&lt;&gt;"",tblHorasJan[Evento 
(2º Período)]&lt;&gt;tblHorasJan[Evento 
(1º Período)])," - " &amp; VLOOKUP(tblHorasJan[Evento 
(2º Período)],tblEvento[],Tabelas!$F$1,FALSE),"")</f>
        <v/>
      </c>
    </row>
    <row r="13" spans="2:25" x14ac:dyDescent="0.25">
      <c r="B13" s="11" t="str">
        <f t="shared" si="0"/>
        <v/>
      </c>
      <c r="C13" s="12" t="str">
        <f>TEXT(tblHorasJan[Data],"ddd")</f>
        <v/>
      </c>
      <c r="D13" s="25"/>
      <c r="E13" s="1"/>
      <c r="F13" s="1"/>
      <c r="G13" s="1"/>
      <c r="H13" s="1"/>
      <c r="I13" s="53"/>
      <c r="J13" s="4">
        <f>IF($B$6&lt;&gt;"",
IF(AND(tblHorasJan[Evento 
(1º Período)]&lt;&gt;"",IF(ISERROR(VLOOKUP(tblHorasJan[Evento 
(1º Período)],tblEvento[],Tabelas!$D$1,FALSE)),FALSE,VLOOKUP(tblHorasJan[Evento 
(1º Período)],tblEvento[],Tabelas!$D$1,FALSE)="Sim")),
        IF(JORNADA_PERIODO_1&lt;&gt;"",
IF(VLOOKUP(tblHorasJan[Dia],tblDiaUtil[[Abreviatura]:[1º Período]],3,FALSE)&gt;0,VLOOKUP(tblHorasJan[Dia],tblDiaUtil[[Abreviatura]:[1º Período]],3,FALSE),JORNADA_PERIODO_1),
IF(VLOOKUP(tblHorasJan[Dia],tblDiaUtil[[Abreviatura]:[1º Período]],3,FALSE)&gt;0,VLOOKUP(tblHorasJan[Dia],tblDiaUtil[[Abreviatura]:[1º Período]],3,FALSE),JORNADA/2)),
        IF(AND(ISNUMBER(tblHorasJan[Saída - 1 (Almoço)]),ISNUMBER(tblHorasJan[Entrada - 1])),
              IF(OR(AND(tblHorasJan[Evento 
(1º Período)]&lt;&gt;"",IF(ISERROR(VLOOKUP(tblHorasJan[Evento 
(1º Período)],tblEvento[],Tabelas!$E$1,FALSE)),FALSE,VLOOKUP(tblHorasJan[Evento 
(1º Período)],tblEvento[],Tabelas!$E$1,FALSE)="Sim")),IF(VLOOKUP(TEXT(tblHorasJan[Data],"dddd"),tblDiaUtil[],2,FALSE)="Não",TRUE,FALSE)),
                   tblHorasJan[Saída - 1 (Almoço)]-tblHorasJan[Entrada - 1],
                   IF(OR(HOUR(tblHorasJan[Saída - 1 (Almoço)]-tblHorasJan[Entrada - 1])&gt;0,ROUND(tblHorasJan[Saída - 1 (Almoço)]-tblHorasJan[Entrada - 1],6)&gt;ROUND(CARENCIA,6)),
                          tblHorasJan[Saída - 1 (Almoço)]-tblHorasJan[Entrada - 1],
                          0)),
                    0)),0)</f>
        <v>0</v>
      </c>
      <c r="K13" s="4">
        <f>IF($B$6&lt;&gt;"",
IF(AND(tblHorasJan[Evento 
(2º Período)]&lt;&gt;"",IF(ISERROR(VLOOKUP(tblHorasJan[Evento 
(2º Período)],tblEvento[],Tabelas!$D$1,FALSE)),FALSE,VLOOKUP(tblHorasJan[Evento 
(2º Período)],tblEvento[],Tabelas!$D$1,FALSE)="Sim")),
        IF(JORNADA_PERIODO_2&lt;&gt;"",
IF(VLOOKUP(tblHorasJan[Dia],tblDiaUtil[[Abreviatura]:[2º Período]],4,FALSE)&gt;0,VLOOKUP(tblHorasJan[Dia],tblDiaUtil[[Abreviatura]:[2º Período]],4,FALSE),JORNADA_PERIODO_2),
IF(VLOOKUP(tblHorasJan[Dia],tblDiaUtil[[Abreviatura]:[2º Período]],4,FALSE)&gt;0,VLOOKUP(tblHorasJan[Dia],tblDiaUtil[[Abreviatura]:[2º Período]],4,FALSE),JORNADA/2)),
        IF(AND(ISNUMBER(tblHorasJan[Saída - 2]),ISNUMBER(tblHorasJan[Entrada - 2 (Almoço)])),
              IF(OR(AND(tblHorasJan[Evento 
(2º Período)]&lt;&gt;"",IF(ISERROR(VLOOKUP(tblHorasJan[Evento 
(2º Período)],tblEvento[],Tabelas!$E$1,FALSE)),FALSE,VLOOKUP(tblHorasJan[Evento 
(2º Período)],tblEvento[],Tabelas!$E$1,FALSE)="Sim")),IF(VLOOKUP(TEXT(tblHorasJan[Data],"dddd"),tblDiaUtil[],2,FALSE)="Não",TRUE,FALSE)),
                   tblHorasJan[Saída - 2]-tblHorasJan[Entrada - 2 (Almoço)],
                   IF(OR(HOUR(tblHorasJan[Saída - 2]-tblHorasJan[Entrada - 2 (Almoço)])&gt;0,MINUTE(tblHorasJan[Saída - 2]-tblHorasJan[Entrada - 2 (Almoço)])&gt;CARENCIA),
                         tblHorasJan[Saída - 2]-tblHorasJan[Entrada - 2 (Almoço)],
                         0)),
       0)),0)</f>
        <v>0</v>
      </c>
      <c r="L13" s="4">
        <f>tblHorasJan[Horas Trabalhadas (1º Período)]+tblHorasJan[Horas Trabalhadas (2º Período)]</f>
        <v>0</v>
      </c>
      <c r="M13" s="4" t="str">
        <f>IF(tblHorasJan[Data]&lt;&gt;"",
        IF(
AND(VLOOKUP(TEXT(tblHorasJan[Data],"dddd"),tblDiaUtil[],3,FALSE)="Sim",IF(tblHorasJan[Evento 
(1º Período)]&lt;&gt;"",IF(VLOOKUP(tblHorasJan[Evento 
(1º Período)],tblEvento[],Tabelas!$E$1,FALSE)="Sim",FALSE,TRUE),TRUE),IF(tblHorasJan[Evento 
(2º Período)]&lt;&gt;"",IF(VLOOKUP(tblHorasJan[Evento 
(2º Período)],tblEvento[],Tabelas!$E$1,FALSE)="Sim",FALSE,TRUE),TRUE)),
              IF(VLOOKUP(tblHorasJan[Dia],tblDiaUtil[[Abreviatura]:[1º Período]],3,FALSE)&gt;0,VLOOKUP(tblHorasJan[Dia],tblDiaUtil[[Abreviatura]:[1º Período]],3,FALSE),JORNADA),
              ""),
         "")</f>
        <v/>
      </c>
      <c r="N13" s="14">
        <f>IF(OR(tblHorasJan[Horas Trabalhadas (1º Período)]&lt;&gt;0,tblHorasJan[Horas Trabalhadas (2º Período)]&lt;&gt;0),
        IF(ISNUMBER(tblHorasJan[Jornada Diária]),
              IF(tblHorasJan[Jornada Diária]&gt;(tblHorasJan[Horas Trabalhadas (2º Período)]+tblHorasJan[Horas Trabalhadas (1º Período)]),
                     IF(ROUND((tblHorasJan[Jornada Diária]-(tblHorasJan[Horas Trabalhadas (2º Período)]+tblHorasJan[Horas Trabalhadas (1º Período)])),6)&gt;ROUND(CARENCIA,6),
                           -tblHorasJan[Jornada Diária]+(tblHorasJan[Horas Trabalhadas (2º Período)]+tblHorasJan[Horas Trabalhadas (1º Período)]),
                           0),
                      IF(ROUND((tblHorasJan[Jornada Diária]-(tblHorasJan[Horas Trabalhadas (2º Período)]+tblHorasJan[Horas Trabalhadas (1º Período)])),6)&lt;ROUND(-CARENCIA,6),
                           -tblHorasJan[Jornada Diária]+(tblHorasJan[Horas Trabalhadas (2º Período)]+tblHorasJan[Horas Trabalhadas (1º Período)]),
                           0)),
              tblHorasJan[Horas Trabalhadas (2º Período)]+tblHorasJan[Horas Trabalhadas (1º Período)]),
         IF(AND(IF(ISERROR(VLOOKUP(tblHorasJan[Evento 
(1º Período)],tblEvento[[Evento]:[Libera o Período]],4,FALSE)),FALSE,IF(VLOOKUP(tblHorasJan[Evento 
(1º Período)],tblEvento[[Evento]:[Libera o Período]],4,FALSE)="Não",TRUE,FALSE)),IF(ISERROR(VLOOKUP(tblHorasJan[Evento 
(2º Período)],tblEvento[[Evento]:[Libera o Período]],4,FALSE)),FALSE,IF(VLOOKUP(tblHorasJan[Evento 
(2º Período)],tblEvento[[Evento]:[Libera o Período]],4,FALSE)="Não",TRUE,FALSE))),
-IF(VLOOKUP(tblHorasJan[Dia],tblDiaUtil[[Abreviatura]:[Total Jornada]],5,FALSE)&lt;&gt;"",VLOOKUP(tblHorasJan[Dia],tblDiaUtil[[Abreviatura]:[Total Jornada]],5,FALSE),JORNADA),
IF(IF(ISERROR(VLOOKUP(tblHorasJan[Evento 
(1º Período)],tblEvento[[Evento]:[Libera o Período]],4,FALSE)),FALSE,
IF(VLOOKUP(tblHorasJan[Evento 
(1º Período)],tblEvento[[Evento]:[Libera o Período]],4,FALSE)="Não",TRUE,FALSE)
),
-IF(VLOOKUP(tblHorasJan[Dia],tblDiaUtil[[Abreviatura]:[1º Período]],3,FALSE)&lt;&gt;"",VLOOKUP(tblHorasJan[Dia],tblDiaUtil[[Abreviatura]:[1º Período]],3,FALSE),JORNADA_PERIODO_1),
IF(IF(ISERROR(VLOOKUP(tblHorasJan[Evento 
(2º Período)],tblEvento[[Evento]:[Libera o Período]],4,FALSE)),FALSE,IF(VLOOKUP(tblHorasJan[Evento 
(2º Período)],tblEvento[[Evento]:[Libera o Período]],4,FALSE)="Não",TRUE,FALSE)),
-IF(VLOOKUP(tblHorasJan[Dia],tblDiaUtil[[Abreviatura]:[2º Período]],4,FALSE)&lt;&gt;"",VLOOKUP(tblHorasJan[Dia],tblDiaUtil[[Abreviatura]:[2º Período]],4,FALSE),JORNADA_PERIODO_2),0))))</f>
        <v>0</v>
      </c>
      <c r="O13" s="14">
        <f>IF(tblHorasJan[Horas Trabalhadas Além Jornada]&gt;0,
        IF(ISNUMBER(tblHorasJan[Jornada Diária]),
              IF(HOUR(tblHorasJan[Horas Trabalhadas Além Jornada])&gt;=VLOOKUP(LIMITE,tblLimiteHora[],Tabelas!$I$1,FALSE),
                    VLOOKUP(LIMITE,tblLimiteHora[],Tabelas!$J$1,FALSE),
                    tblHorasJan[Horas Trabalhadas Além Jornada]),
              tblHorasJan[Horas Trabalhadas Além Jornada]),
        tblHorasJan[Horas Trabalhadas Além Jornada])+O12</f>
        <v>0</v>
      </c>
      <c r="P13" s="14" t="str">
        <f>IF(tblHorasJan[Horas Trabalhadas Além Jornada]&lt;0,IF(OR(tblHorasJan[Evento 
(1º Período)]="",tblHorasJan[Evento 
(2º Período)]=""),tblHorasJan[Horas Trabalhadas Além Jornada],""),"")</f>
        <v/>
      </c>
      <c r="Q13" s="14" t="str">
        <f>IF(tblHorasJan[Jornada Diária]&lt;&gt;"",IF((N(tblHorasJan[Jornada Diária])-ABS(N(tblHorasJan[Horas Trabalhadas Além Jornada])))=0,1,""),"")</f>
        <v/>
      </c>
      <c r="R13" s="14" t="str">
        <f>IF(tblHorasJan[Horas Trabalhadas Além Jornada]&gt;0,
IF(AND(VLOOKUP(TEXT(tblHorasJan[Data],"dddd"),tblDiaUtil[],3,FALSE)="Sim",IF(tblHorasJan[Evento 
(1º Período)]&lt;&gt;"",IF(VLOOKUP(tblHorasJan[Evento 
(1º Período)],tblEvento[],Tabelas!$E$1,FALSE)="Sim",FALSE,TRUE),TRUE),IF(tblHorasJan[Evento 
(2º Período)]&lt;&gt;"",IF(VLOOKUP(tblHorasJan[Evento 
(2º Período)],tblEvento[],Tabelas!$E$1,FALSE)="Sim",FALSE,TRUE),TRUE)),
tblHorasJan[Horas Trabalhadas Além Jornada],""),"")</f>
        <v/>
      </c>
      <c r="S13" s="14" t="str">
        <f>IF(tblHorasJan[Horas Trabalhadas Além Jornada]&gt;0,
IF(OR(VLOOKUP(TEXT(tblHorasJan[Data],"dddd"),tblDiaUtil[],3,FALSE)="Não",IF(tblHorasJan[Evento 
(1º Período)]&lt;&gt;"",IF(VLOOKUP(tblHorasJan[Evento 
(1º Período)],tblEvento[],Tabelas!$E$1,FALSE)="Sim",TRUE,FALSE),FALSE),IF(tblHorasJan[Evento 
(2º Período)]&lt;&gt;"",IF(VLOOKUP(tblHorasJan[Evento 
(2º Período)],tblEvento[],Tabelas!$E$1,FALSE)="Sim",TRUE,FALSE),FALSE)),
tblHorasJan[Horas Trabalhadas Além Jornada],""),"")</f>
        <v/>
      </c>
      <c r="T13" s="15" t="str">
        <f>IF(tblHorasJan[Evento 
(1º Período)]&lt;&gt;""," - " &amp;VLOOKUP(tblHorasJan[Evento 
(1º Período)],tblEvento[],Tabelas!$F$1,FALSE),"")&amp;IF(AND(tblHorasJan[Evento 
(2º Período)]&lt;&gt;"",tblHorasJan[Evento 
(2º Período)]&lt;&gt;tblHorasJan[Evento 
(1º Período)])," - " &amp; VLOOKUP(tblHorasJan[Evento 
(2º Período)],tblEvento[],Tabelas!$F$1,FALSE),"")</f>
        <v/>
      </c>
    </row>
    <row r="14" spans="2:25" x14ac:dyDescent="0.25">
      <c r="B14" s="11" t="str">
        <f t="shared" si="0"/>
        <v/>
      </c>
      <c r="C14" s="12" t="str">
        <f>TEXT(tblHorasJan[Data],"ddd")</f>
        <v/>
      </c>
      <c r="D14" s="25"/>
      <c r="E14" s="1"/>
      <c r="F14" s="1"/>
      <c r="G14" s="1"/>
      <c r="H14" s="1"/>
      <c r="I14" s="53"/>
      <c r="J14" s="4">
        <f>IF($B$6&lt;&gt;"",
IF(AND(tblHorasJan[Evento 
(1º Período)]&lt;&gt;"",IF(ISERROR(VLOOKUP(tblHorasJan[Evento 
(1º Período)],tblEvento[],Tabelas!$D$1,FALSE)),FALSE,VLOOKUP(tblHorasJan[Evento 
(1º Período)],tblEvento[],Tabelas!$D$1,FALSE)="Sim")),
        IF(JORNADA_PERIODO_1&lt;&gt;"",
IF(VLOOKUP(tblHorasJan[Dia],tblDiaUtil[[Abreviatura]:[1º Período]],3,FALSE)&gt;0,VLOOKUP(tblHorasJan[Dia],tblDiaUtil[[Abreviatura]:[1º Período]],3,FALSE),JORNADA_PERIODO_1),
IF(VLOOKUP(tblHorasJan[Dia],tblDiaUtil[[Abreviatura]:[1º Período]],3,FALSE)&gt;0,VLOOKUP(tblHorasJan[Dia],tblDiaUtil[[Abreviatura]:[1º Período]],3,FALSE),JORNADA/2)),
        IF(AND(ISNUMBER(tblHorasJan[Saída - 1 (Almoço)]),ISNUMBER(tblHorasJan[Entrada - 1])),
              IF(OR(AND(tblHorasJan[Evento 
(1º Período)]&lt;&gt;"",IF(ISERROR(VLOOKUP(tblHorasJan[Evento 
(1º Período)],tblEvento[],Tabelas!$E$1,FALSE)),FALSE,VLOOKUP(tblHorasJan[Evento 
(1º Período)],tblEvento[],Tabelas!$E$1,FALSE)="Sim")),IF(VLOOKUP(TEXT(tblHorasJan[Data],"dddd"),tblDiaUtil[],2,FALSE)="Não",TRUE,FALSE)),
                   tblHorasJan[Saída - 1 (Almoço)]-tblHorasJan[Entrada - 1],
                   IF(OR(HOUR(tblHorasJan[Saída - 1 (Almoço)]-tblHorasJan[Entrada - 1])&gt;0,ROUND(tblHorasJan[Saída - 1 (Almoço)]-tblHorasJan[Entrada - 1],6)&gt;ROUND(CARENCIA,6)),
                          tblHorasJan[Saída - 1 (Almoço)]-tblHorasJan[Entrada - 1],
                          0)),
                    0)),0)</f>
        <v>0</v>
      </c>
      <c r="K14" s="4">
        <f>IF($B$6&lt;&gt;"",
IF(AND(tblHorasJan[Evento 
(2º Período)]&lt;&gt;"",IF(ISERROR(VLOOKUP(tblHorasJan[Evento 
(2º Período)],tblEvento[],Tabelas!$D$1,FALSE)),FALSE,VLOOKUP(tblHorasJan[Evento 
(2º Período)],tblEvento[],Tabelas!$D$1,FALSE)="Sim")),
        IF(JORNADA_PERIODO_2&lt;&gt;"",
IF(VLOOKUP(tblHorasJan[Dia],tblDiaUtil[[Abreviatura]:[2º Período]],4,FALSE)&gt;0,VLOOKUP(tblHorasJan[Dia],tblDiaUtil[[Abreviatura]:[2º Período]],4,FALSE),JORNADA_PERIODO_2),
IF(VLOOKUP(tblHorasJan[Dia],tblDiaUtil[[Abreviatura]:[2º Período]],4,FALSE)&gt;0,VLOOKUP(tblHorasJan[Dia],tblDiaUtil[[Abreviatura]:[2º Período]],4,FALSE),JORNADA/2)),
        IF(AND(ISNUMBER(tblHorasJan[Saída - 2]),ISNUMBER(tblHorasJan[Entrada - 2 (Almoço)])),
              IF(OR(AND(tblHorasJan[Evento 
(2º Período)]&lt;&gt;"",IF(ISERROR(VLOOKUP(tblHorasJan[Evento 
(2º Período)],tblEvento[],Tabelas!$E$1,FALSE)),FALSE,VLOOKUP(tblHorasJan[Evento 
(2º Período)],tblEvento[],Tabelas!$E$1,FALSE)="Sim")),IF(VLOOKUP(TEXT(tblHorasJan[Data],"dddd"),tblDiaUtil[],2,FALSE)="Não",TRUE,FALSE)),
                   tblHorasJan[Saída - 2]-tblHorasJan[Entrada - 2 (Almoço)],
                   IF(OR(HOUR(tblHorasJan[Saída - 2]-tblHorasJan[Entrada - 2 (Almoço)])&gt;0,MINUTE(tblHorasJan[Saída - 2]-tblHorasJan[Entrada - 2 (Almoço)])&gt;CARENCIA),
                         tblHorasJan[Saída - 2]-tblHorasJan[Entrada - 2 (Almoço)],
                         0)),
       0)),0)</f>
        <v>0</v>
      </c>
      <c r="L14" s="4">
        <f>tblHorasJan[Horas Trabalhadas (1º Período)]+tblHorasJan[Horas Trabalhadas (2º Período)]</f>
        <v>0</v>
      </c>
      <c r="M14" s="4" t="str">
        <f>IF(tblHorasJan[Data]&lt;&gt;"",
        IF(
AND(VLOOKUP(TEXT(tblHorasJan[Data],"dddd"),tblDiaUtil[],3,FALSE)="Sim",IF(tblHorasJan[Evento 
(1º Período)]&lt;&gt;"",IF(VLOOKUP(tblHorasJan[Evento 
(1º Período)],tblEvento[],Tabelas!$E$1,FALSE)="Sim",FALSE,TRUE),TRUE),IF(tblHorasJan[Evento 
(2º Período)]&lt;&gt;"",IF(VLOOKUP(tblHorasJan[Evento 
(2º Período)],tblEvento[],Tabelas!$E$1,FALSE)="Sim",FALSE,TRUE),TRUE)),
              IF(VLOOKUP(tblHorasJan[Dia],tblDiaUtil[[Abreviatura]:[1º Período]],3,FALSE)&gt;0,VLOOKUP(tblHorasJan[Dia],tblDiaUtil[[Abreviatura]:[1º Período]],3,FALSE),JORNADA),
              ""),
         "")</f>
        <v/>
      </c>
      <c r="N14" s="14">
        <f>IF(OR(tblHorasJan[Horas Trabalhadas (1º Período)]&lt;&gt;0,tblHorasJan[Horas Trabalhadas (2º Período)]&lt;&gt;0),
        IF(ISNUMBER(tblHorasJan[Jornada Diária]),
              IF(tblHorasJan[Jornada Diária]&gt;(tblHorasJan[Horas Trabalhadas (2º Período)]+tblHorasJan[Horas Trabalhadas (1º Período)]),
                     IF(ROUND((tblHorasJan[Jornada Diária]-(tblHorasJan[Horas Trabalhadas (2º Período)]+tblHorasJan[Horas Trabalhadas (1º Período)])),6)&gt;ROUND(CARENCIA,6),
                           -tblHorasJan[Jornada Diária]+(tblHorasJan[Horas Trabalhadas (2º Período)]+tblHorasJan[Horas Trabalhadas (1º Período)]),
                           0),
                      IF(ROUND((tblHorasJan[Jornada Diária]-(tblHorasJan[Horas Trabalhadas (2º Período)]+tblHorasJan[Horas Trabalhadas (1º Período)])),6)&lt;ROUND(-CARENCIA,6),
                           -tblHorasJan[Jornada Diária]+(tblHorasJan[Horas Trabalhadas (2º Período)]+tblHorasJan[Horas Trabalhadas (1º Período)]),
                           0)),
              tblHorasJan[Horas Trabalhadas (2º Período)]+tblHorasJan[Horas Trabalhadas (1º Período)]),
         IF(AND(IF(ISERROR(VLOOKUP(tblHorasJan[Evento 
(1º Período)],tblEvento[[Evento]:[Libera o Período]],4,FALSE)),FALSE,IF(VLOOKUP(tblHorasJan[Evento 
(1º Período)],tblEvento[[Evento]:[Libera o Período]],4,FALSE)="Não",TRUE,FALSE)),IF(ISERROR(VLOOKUP(tblHorasJan[Evento 
(2º Período)],tblEvento[[Evento]:[Libera o Período]],4,FALSE)),FALSE,IF(VLOOKUP(tblHorasJan[Evento 
(2º Período)],tblEvento[[Evento]:[Libera o Período]],4,FALSE)="Não",TRUE,FALSE))),
-IF(VLOOKUP(tblHorasJan[Dia],tblDiaUtil[[Abreviatura]:[Total Jornada]],5,FALSE)&lt;&gt;"",VLOOKUP(tblHorasJan[Dia],tblDiaUtil[[Abreviatura]:[Total Jornada]],5,FALSE),JORNADA),
IF(IF(ISERROR(VLOOKUP(tblHorasJan[Evento 
(1º Período)],tblEvento[[Evento]:[Libera o Período]],4,FALSE)),FALSE,
IF(VLOOKUP(tblHorasJan[Evento 
(1º Período)],tblEvento[[Evento]:[Libera o Período]],4,FALSE)="Não",TRUE,FALSE)
),
-IF(VLOOKUP(tblHorasJan[Dia],tblDiaUtil[[Abreviatura]:[1º Período]],3,FALSE)&lt;&gt;"",VLOOKUP(tblHorasJan[Dia],tblDiaUtil[[Abreviatura]:[1º Período]],3,FALSE),JORNADA_PERIODO_1),
IF(IF(ISERROR(VLOOKUP(tblHorasJan[Evento 
(2º Período)],tblEvento[[Evento]:[Libera o Período]],4,FALSE)),FALSE,IF(VLOOKUP(tblHorasJan[Evento 
(2º Período)],tblEvento[[Evento]:[Libera o Período]],4,FALSE)="Não",TRUE,FALSE)),
-IF(VLOOKUP(tblHorasJan[Dia],tblDiaUtil[[Abreviatura]:[2º Período]],4,FALSE)&lt;&gt;"",VLOOKUP(tblHorasJan[Dia],tblDiaUtil[[Abreviatura]:[2º Período]],4,FALSE),JORNADA_PERIODO_2),0))))</f>
        <v>0</v>
      </c>
      <c r="O14" s="14">
        <f>IF(tblHorasJan[Horas Trabalhadas Além Jornada]&gt;0,
        IF(ISNUMBER(tblHorasJan[Jornada Diária]),
              IF(HOUR(tblHorasJan[Horas Trabalhadas Além Jornada])&gt;=VLOOKUP(LIMITE,tblLimiteHora[],Tabelas!$I$1,FALSE),
                    VLOOKUP(LIMITE,tblLimiteHora[],Tabelas!$J$1,FALSE),
                    tblHorasJan[Horas Trabalhadas Além Jornada]),
              tblHorasJan[Horas Trabalhadas Além Jornada]),
        tblHorasJan[Horas Trabalhadas Além Jornada])+O13</f>
        <v>0</v>
      </c>
      <c r="P14" s="14" t="str">
        <f>IF(tblHorasJan[Horas Trabalhadas Além Jornada]&lt;0,IF(OR(tblHorasJan[Evento 
(1º Período)]="",tblHorasJan[Evento 
(2º Período)]=""),tblHorasJan[Horas Trabalhadas Além Jornada],""),"")</f>
        <v/>
      </c>
      <c r="Q14" s="14" t="str">
        <f>IF(tblHorasJan[Jornada Diária]&lt;&gt;"",IF((N(tblHorasJan[Jornada Diária])-ABS(N(tblHorasJan[Horas Trabalhadas Além Jornada])))=0,1,""),"")</f>
        <v/>
      </c>
      <c r="R14" s="14" t="str">
        <f>IF(tblHorasJan[Horas Trabalhadas Além Jornada]&gt;0,
IF(AND(VLOOKUP(TEXT(tblHorasJan[Data],"dddd"),tblDiaUtil[],3,FALSE)="Sim",IF(tblHorasJan[Evento 
(1º Período)]&lt;&gt;"",IF(VLOOKUP(tblHorasJan[Evento 
(1º Período)],tblEvento[],Tabelas!$E$1,FALSE)="Sim",FALSE,TRUE),TRUE),IF(tblHorasJan[Evento 
(2º Período)]&lt;&gt;"",IF(VLOOKUP(tblHorasJan[Evento 
(2º Período)],tblEvento[],Tabelas!$E$1,FALSE)="Sim",FALSE,TRUE),TRUE)),
tblHorasJan[Horas Trabalhadas Além Jornada],""),"")</f>
        <v/>
      </c>
      <c r="S14" s="14" t="str">
        <f>IF(tblHorasJan[Horas Trabalhadas Além Jornada]&gt;0,
IF(OR(VLOOKUP(TEXT(tblHorasJan[Data],"dddd"),tblDiaUtil[],3,FALSE)="Não",IF(tblHorasJan[Evento 
(1º Período)]&lt;&gt;"",IF(VLOOKUP(tblHorasJan[Evento 
(1º Período)],tblEvento[],Tabelas!$E$1,FALSE)="Sim",TRUE,FALSE),FALSE),IF(tblHorasJan[Evento 
(2º Período)]&lt;&gt;"",IF(VLOOKUP(tblHorasJan[Evento 
(2º Período)],tblEvento[],Tabelas!$E$1,FALSE)="Sim",TRUE,FALSE),FALSE)),
tblHorasJan[Horas Trabalhadas Além Jornada],""),"")</f>
        <v/>
      </c>
      <c r="T14" s="15" t="str">
        <f>IF(tblHorasJan[Evento 
(1º Período)]&lt;&gt;""," - " &amp;VLOOKUP(tblHorasJan[Evento 
(1º Período)],tblEvento[],Tabelas!$F$1,FALSE),"")&amp;IF(AND(tblHorasJan[Evento 
(2º Período)]&lt;&gt;"",tblHorasJan[Evento 
(2º Período)]&lt;&gt;tblHorasJan[Evento 
(1º Período)])," - " &amp; VLOOKUP(tblHorasJan[Evento 
(2º Período)],tblEvento[],Tabelas!$F$1,FALSE),"")</f>
        <v/>
      </c>
      <c r="X14" s="18"/>
      <c r="Y14" s="18"/>
    </row>
    <row r="15" spans="2:25" x14ac:dyDescent="0.25">
      <c r="B15" s="11" t="str">
        <f t="shared" si="0"/>
        <v/>
      </c>
      <c r="C15" s="12" t="str">
        <f>TEXT(tblHorasJan[Data],"ddd")</f>
        <v/>
      </c>
      <c r="D15" s="25"/>
      <c r="E15" s="1"/>
      <c r="F15" s="1"/>
      <c r="G15" s="1"/>
      <c r="H15" s="1"/>
      <c r="I15" s="53"/>
      <c r="J15" s="4">
        <f>IF($B$6&lt;&gt;"",
IF(AND(tblHorasJan[Evento 
(1º Período)]&lt;&gt;"",IF(ISERROR(VLOOKUP(tblHorasJan[Evento 
(1º Período)],tblEvento[],Tabelas!$D$1,FALSE)),FALSE,VLOOKUP(tblHorasJan[Evento 
(1º Período)],tblEvento[],Tabelas!$D$1,FALSE)="Sim")),
        IF(JORNADA_PERIODO_1&lt;&gt;"",
IF(VLOOKUP(tblHorasJan[Dia],tblDiaUtil[[Abreviatura]:[1º Período]],3,FALSE)&gt;0,VLOOKUP(tblHorasJan[Dia],tblDiaUtil[[Abreviatura]:[1º Período]],3,FALSE),JORNADA_PERIODO_1),
IF(VLOOKUP(tblHorasJan[Dia],tblDiaUtil[[Abreviatura]:[1º Período]],3,FALSE)&gt;0,VLOOKUP(tblHorasJan[Dia],tblDiaUtil[[Abreviatura]:[1º Período]],3,FALSE),JORNADA/2)),
        IF(AND(ISNUMBER(tblHorasJan[Saída - 1 (Almoço)]),ISNUMBER(tblHorasJan[Entrada - 1])),
              IF(OR(AND(tblHorasJan[Evento 
(1º Período)]&lt;&gt;"",IF(ISERROR(VLOOKUP(tblHorasJan[Evento 
(1º Período)],tblEvento[],Tabelas!$E$1,FALSE)),FALSE,VLOOKUP(tblHorasJan[Evento 
(1º Período)],tblEvento[],Tabelas!$E$1,FALSE)="Sim")),IF(VLOOKUP(TEXT(tblHorasJan[Data],"dddd"),tblDiaUtil[],2,FALSE)="Não",TRUE,FALSE)),
                   tblHorasJan[Saída - 1 (Almoço)]-tblHorasJan[Entrada - 1],
                   IF(OR(HOUR(tblHorasJan[Saída - 1 (Almoço)]-tblHorasJan[Entrada - 1])&gt;0,ROUND(tblHorasJan[Saída - 1 (Almoço)]-tblHorasJan[Entrada - 1],6)&gt;ROUND(CARENCIA,6)),
                          tblHorasJan[Saída - 1 (Almoço)]-tblHorasJan[Entrada - 1],
                          0)),
                    0)),0)</f>
        <v>0</v>
      </c>
      <c r="K15" s="4">
        <f>IF($B$6&lt;&gt;"",
IF(AND(tblHorasJan[Evento 
(2º Período)]&lt;&gt;"",IF(ISERROR(VLOOKUP(tblHorasJan[Evento 
(2º Período)],tblEvento[],Tabelas!$D$1,FALSE)),FALSE,VLOOKUP(tblHorasJan[Evento 
(2º Período)],tblEvento[],Tabelas!$D$1,FALSE)="Sim")),
        IF(JORNADA_PERIODO_2&lt;&gt;"",
IF(VLOOKUP(tblHorasJan[Dia],tblDiaUtil[[Abreviatura]:[2º Período]],4,FALSE)&gt;0,VLOOKUP(tblHorasJan[Dia],tblDiaUtil[[Abreviatura]:[2º Período]],4,FALSE),JORNADA_PERIODO_2),
IF(VLOOKUP(tblHorasJan[Dia],tblDiaUtil[[Abreviatura]:[2º Período]],4,FALSE)&gt;0,VLOOKUP(tblHorasJan[Dia],tblDiaUtil[[Abreviatura]:[2º Período]],4,FALSE),JORNADA/2)),
        IF(AND(ISNUMBER(tblHorasJan[Saída - 2]),ISNUMBER(tblHorasJan[Entrada - 2 (Almoço)])),
              IF(OR(AND(tblHorasJan[Evento 
(2º Período)]&lt;&gt;"",IF(ISERROR(VLOOKUP(tblHorasJan[Evento 
(2º Período)],tblEvento[],Tabelas!$E$1,FALSE)),FALSE,VLOOKUP(tblHorasJan[Evento 
(2º Período)],tblEvento[],Tabelas!$E$1,FALSE)="Sim")),IF(VLOOKUP(TEXT(tblHorasJan[Data],"dddd"),tblDiaUtil[],2,FALSE)="Não",TRUE,FALSE)),
                   tblHorasJan[Saída - 2]-tblHorasJan[Entrada - 2 (Almoço)],
                   IF(OR(HOUR(tblHorasJan[Saída - 2]-tblHorasJan[Entrada - 2 (Almoço)])&gt;0,MINUTE(tblHorasJan[Saída - 2]-tblHorasJan[Entrada - 2 (Almoço)])&gt;CARENCIA),
                         tblHorasJan[Saída - 2]-tblHorasJan[Entrada - 2 (Almoço)],
                         0)),
       0)),0)</f>
        <v>0</v>
      </c>
      <c r="L15" s="4">
        <f>tblHorasJan[Horas Trabalhadas (1º Período)]+tblHorasJan[Horas Trabalhadas (2º Período)]</f>
        <v>0</v>
      </c>
      <c r="M15" s="4" t="str">
        <f>IF(tblHorasJan[Data]&lt;&gt;"",
        IF(
AND(VLOOKUP(TEXT(tblHorasJan[Data],"dddd"),tblDiaUtil[],3,FALSE)="Sim",IF(tblHorasJan[Evento 
(1º Período)]&lt;&gt;"",IF(VLOOKUP(tblHorasJan[Evento 
(1º Período)],tblEvento[],Tabelas!$E$1,FALSE)="Sim",FALSE,TRUE),TRUE),IF(tblHorasJan[Evento 
(2º Período)]&lt;&gt;"",IF(VLOOKUP(tblHorasJan[Evento 
(2º Período)],tblEvento[],Tabelas!$E$1,FALSE)="Sim",FALSE,TRUE),TRUE)),
              IF(VLOOKUP(tblHorasJan[Dia],tblDiaUtil[[Abreviatura]:[1º Período]],3,FALSE)&gt;0,VLOOKUP(tblHorasJan[Dia],tblDiaUtil[[Abreviatura]:[1º Período]],3,FALSE),JORNADA),
              ""),
         "")</f>
        <v/>
      </c>
      <c r="N15" s="14">
        <f>IF(OR(tblHorasJan[Horas Trabalhadas (1º Período)]&lt;&gt;0,tblHorasJan[Horas Trabalhadas (2º Período)]&lt;&gt;0),
        IF(ISNUMBER(tblHorasJan[Jornada Diária]),
              IF(tblHorasJan[Jornada Diária]&gt;(tblHorasJan[Horas Trabalhadas (2º Período)]+tblHorasJan[Horas Trabalhadas (1º Período)]),
                     IF(ROUND((tblHorasJan[Jornada Diária]-(tblHorasJan[Horas Trabalhadas (2º Período)]+tblHorasJan[Horas Trabalhadas (1º Período)])),6)&gt;ROUND(CARENCIA,6),
                           -tblHorasJan[Jornada Diária]+(tblHorasJan[Horas Trabalhadas (2º Período)]+tblHorasJan[Horas Trabalhadas (1º Período)]),
                           0),
                      IF(ROUND((tblHorasJan[Jornada Diária]-(tblHorasJan[Horas Trabalhadas (2º Período)]+tblHorasJan[Horas Trabalhadas (1º Período)])),6)&lt;ROUND(-CARENCIA,6),
                           -tblHorasJan[Jornada Diária]+(tblHorasJan[Horas Trabalhadas (2º Período)]+tblHorasJan[Horas Trabalhadas (1º Período)]),
                           0)),
              tblHorasJan[Horas Trabalhadas (2º Período)]+tblHorasJan[Horas Trabalhadas (1º Período)]),
         IF(AND(IF(ISERROR(VLOOKUP(tblHorasJan[Evento 
(1º Período)],tblEvento[[Evento]:[Libera o Período]],4,FALSE)),FALSE,IF(VLOOKUP(tblHorasJan[Evento 
(1º Período)],tblEvento[[Evento]:[Libera o Período]],4,FALSE)="Não",TRUE,FALSE)),IF(ISERROR(VLOOKUP(tblHorasJan[Evento 
(2º Período)],tblEvento[[Evento]:[Libera o Período]],4,FALSE)),FALSE,IF(VLOOKUP(tblHorasJan[Evento 
(2º Período)],tblEvento[[Evento]:[Libera o Período]],4,FALSE)="Não",TRUE,FALSE))),
-IF(VLOOKUP(tblHorasJan[Dia],tblDiaUtil[[Abreviatura]:[Total Jornada]],5,FALSE)&lt;&gt;"",VLOOKUP(tblHorasJan[Dia],tblDiaUtil[[Abreviatura]:[Total Jornada]],5,FALSE),JORNADA),
IF(IF(ISERROR(VLOOKUP(tblHorasJan[Evento 
(1º Período)],tblEvento[[Evento]:[Libera o Período]],4,FALSE)),FALSE,
IF(VLOOKUP(tblHorasJan[Evento 
(1º Período)],tblEvento[[Evento]:[Libera o Período]],4,FALSE)="Não",TRUE,FALSE)
),
-IF(VLOOKUP(tblHorasJan[Dia],tblDiaUtil[[Abreviatura]:[1º Período]],3,FALSE)&lt;&gt;"",VLOOKUP(tblHorasJan[Dia],tblDiaUtil[[Abreviatura]:[1º Período]],3,FALSE),JORNADA_PERIODO_1),
IF(IF(ISERROR(VLOOKUP(tblHorasJan[Evento 
(2º Período)],tblEvento[[Evento]:[Libera o Período]],4,FALSE)),FALSE,IF(VLOOKUP(tblHorasJan[Evento 
(2º Período)],tblEvento[[Evento]:[Libera o Período]],4,FALSE)="Não",TRUE,FALSE)),
-IF(VLOOKUP(tblHorasJan[Dia],tblDiaUtil[[Abreviatura]:[2º Período]],4,FALSE)&lt;&gt;"",VLOOKUP(tblHorasJan[Dia],tblDiaUtil[[Abreviatura]:[2º Período]],4,FALSE),JORNADA_PERIODO_2),0))))</f>
        <v>0</v>
      </c>
      <c r="O15" s="14">
        <f>IF(tblHorasJan[Horas Trabalhadas Além Jornada]&gt;0,
        IF(ISNUMBER(tblHorasJan[Jornada Diária]),
              IF(HOUR(tblHorasJan[Horas Trabalhadas Além Jornada])&gt;=VLOOKUP(LIMITE,tblLimiteHora[],Tabelas!$I$1,FALSE),
                    VLOOKUP(LIMITE,tblLimiteHora[],Tabelas!$J$1,FALSE),
                    tblHorasJan[Horas Trabalhadas Além Jornada]),
              tblHorasJan[Horas Trabalhadas Além Jornada]),
        tblHorasJan[Horas Trabalhadas Além Jornada])+O14</f>
        <v>0</v>
      </c>
      <c r="P15" s="14" t="str">
        <f>IF(tblHorasJan[Horas Trabalhadas Além Jornada]&lt;0,IF(OR(tblHorasJan[Evento 
(1º Período)]="",tblHorasJan[Evento 
(2º Período)]=""),tblHorasJan[Horas Trabalhadas Além Jornada],""),"")</f>
        <v/>
      </c>
      <c r="Q15" s="14" t="str">
        <f>IF(tblHorasJan[Jornada Diária]&lt;&gt;"",IF((N(tblHorasJan[Jornada Diária])-ABS(N(tblHorasJan[Horas Trabalhadas Além Jornada])))=0,1,""),"")</f>
        <v/>
      </c>
      <c r="R15" s="14" t="str">
        <f>IF(tblHorasJan[Horas Trabalhadas Além Jornada]&gt;0,
IF(AND(VLOOKUP(TEXT(tblHorasJan[Data],"dddd"),tblDiaUtil[],3,FALSE)="Sim",IF(tblHorasJan[Evento 
(1º Período)]&lt;&gt;"",IF(VLOOKUP(tblHorasJan[Evento 
(1º Período)],tblEvento[],Tabelas!$E$1,FALSE)="Sim",FALSE,TRUE),TRUE),IF(tblHorasJan[Evento 
(2º Período)]&lt;&gt;"",IF(VLOOKUP(tblHorasJan[Evento 
(2º Período)],tblEvento[],Tabelas!$E$1,FALSE)="Sim",FALSE,TRUE),TRUE)),
tblHorasJan[Horas Trabalhadas Além Jornada],""),"")</f>
        <v/>
      </c>
      <c r="S15" s="14" t="str">
        <f>IF(tblHorasJan[Horas Trabalhadas Além Jornada]&gt;0,
IF(OR(VLOOKUP(TEXT(tblHorasJan[Data],"dddd"),tblDiaUtil[],3,FALSE)="Não",IF(tblHorasJan[Evento 
(1º Período)]&lt;&gt;"",IF(VLOOKUP(tblHorasJan[Evento 
(1º Período)],tblEvento[],Tabelas!$E$1,FALSE)="Sim",TRUE,FALSE),FALSE),IF(tblHorasJan[Evento 
(2º Período)]&lt;&gt;"",IF(VLOOKUP(tblHorasJan[Evento 
(2º Período)],tblEvento[],Tabelas!$E$1,FALSE)="Sim",TRUE,FALSE),FALSE)),
tblHorasJan[Horas Trabalhadas Além Jornada],""),"")</f>
        <v/>
      </c>
      <c r="T15" s="15" t="str">
        <f>IF(tblHorasJan[Evento 
(1º Período)]&lt;&gt;""," - " &amp;VLOOKUP(tblHorasJan[Evento 
(1º Período)],tblEvento[],Tabelas!$F$1,FALSE),"")&amp;IF(AND(tblHorasJan[Evento 
(2º Período)]&lt;&gt;"",tblHorasJan[Evento 
(2º Período)]&lt;&gt;tblHorasJan[Evento 
(1º Período)])," - " &amp; VLOOKUP(tblHorasJan[Evento 
(2º Período)],tblEvento[],Tabelas!$F$1,FALSE),"")</f>
        <v/>
      </c>
      <c r="X15" s="17"/>
    </row>
    <row r="16" spans="2:25" x14ac:dyDescent="0.25">
      <c r="B16" s="11" t="str">
        <f t="shared" si="0"/>
        <v/>
      </c>
      <c r="C16" s="12" t="str">
        <f>TEXT(tblHorasJan[Data],"ddd")</f>
        <v/>
      </c>
      <c r="D16" s="25"/>
      <c r="E16" s="1"/>
      <c r="F16" s="1"/>
      <c r="G16" s="1"/>
      <c r="H16" s="1"/>
      <c r="I16" s="53"/>
      <c r="J16" s="4">
        <f>IF($B$6&lt;&gt;"",
IF(AND(tblHorasJan[Evento 
(1º Período)]&lt;&gt;"",IF(ISERROR(VLOOKUP(tblHorasJan[Evento 
(1º Período)],tblEvento[],Tabelas!$D$1,FALSE)),FALSE,VLOOKUP(tblHorasJan[Evento 
(1º Período)],tblEvento[],Tabelas!$D$1,FALSE)="Sim")),
        IF(JORNADA_PERIODO_1&lt;&gt;"",
IF(VLOOKUP(tblHorasJan[Dia],tblDiaUtil[[Abreviatura]:[1º Período]],3,FALSE)&gt;0,VLOOKUP(tblHorasJan[Dia],tblDiaUtil[[Abreviatura]:[1º Período]],3,FALSE),JORNADA_PERIODO_1),
IF(VLOOKUP(tblHorasJan[Dia],tblDiaUtil[[Abreviatura]:[1º Período]],3,FALSE)&gt;0,VLOOKUP(tblHorasJan[Dia],tblDiaUtil[[Abreviatura]:[1º Período]],3,FALSE),JORNADA/2)),
        IF(AND(ISNUMBER(tblHorasJan[Saída - 1 (Almoço)]),ISNUMBER(tblHorasJan[Entrada - 1])),
              IF(OR(AND(tblHorasJan[Evento 
(1º Período)]&lt;&gt;"",IF(ISERROR(VLOOKUP(tblHorasJan[Evento 
(1º Período)],tblEvento[],Tabelas!$E$1,FALSE)),FALSE,VLOOKUP(tblHorasJan[Evento 
(1º Período)],tblEvento[],Tabelas!$E$1,FALSE)="Sim")),IF(VLOOKUP(TEXT(tblHorasJan[Data],"dddd"),tblDiaUtil[],2,FALSE)="Não",TRUE,FALSE)),
                   tblHorasJan[Saída - 1 (Almoço)]-tblHorasJan[Entrada - 1],
                   IF(OR(HOUR(tblHorasJan[Saída - 1 (Almoço)]-tblHorasJan[Entrada - 1])&gt;0,ROUND(tblHorasJan[Saída - 1 (Almoço)]-tblHorasJan[Entrada - 1],6)&gt;ROUND(CARENCIA,6)),
                          tblHorasJan[Saída - 1 (Almoço)]-tblHorasJan[Entrada - 1],
                          0)),
                    0)),0)</f>
        <v>0</v>
      </c>
      <c r="K16" s="4">
        <f>IF($B$6&lt;&gt;"",
IF(AND(tblHorasJan[Evento 
(2º Período)]&lt;&gt;"",IF(ISERROR(VLOOKUP(tblHorasJan[Evento 
(2º Período)],tblEvento[],Tabelas!$D$1,FALSE)),FALSE,VLOOKUP(tblHorasJan[Evento 
(2º Período)],tblEvento[],Tabelas!$D$1,FALSE)="Sim")),
        IF(JORNADA_PERIODO_2&lt;&gt;"",
IF(VLOOKUP(tblHorasJan[Dia],tblDiaUtil[[Abreviatura]:[2º Período]],4,FALSE)&gt;0,VLOOKUP(tblHorasJan[Dia],tblDiaUtil[[Abreviatura]:[2º Período]],4,FALSE),JORNADA_PERIODO_2),
IF(VLOOKUP(tblHorasJan[Dia],tblDiaUtil[[Abreviatura]:[2º Período]],4,FALSE)&gt;0,VLOOKUP(tblHorasJan[Dia],tblDiaUtil[[Abreviatura]:[2º Período]],4,FALSE),JORNADA/2)),
        IF(AND(ISNUMBER(tblHorasJan[Saída - 2]),ISNUMBER(tblHorasJan[Entrada - 2 (Almoço)])),
              IF(OR(AND(tblHorasJan[Evento 
(2º Período)]&lt;&gt;"",IF(ISERROR(VLOOKUP(tblHorasJan[Evento 
(2º Período)],tblEvento[],Tabelas!$E$1,FALSE)),FALSE,VLOOKUP(tblHorasJan[Evento 
(2º Período)],tblEvento[],Tabelas!$E$1,FALSE)="Sim")),IF(VLOOKUP(TEXT(tblHorasJan[Data],"dddd"),tblDiaUtil[],2,FALSE)="Não",TRUE,FALSE)),
                   tblHorasJan[Saída - 2]-tblHorasJan[Entrada - 2 (Almoço)],
                   IF(OR(HOUR(tblHorasJan[Saída - 2]-tblHorasJan[Entrada - 2 (Almoço)])&gt;0,MINUTE(tblHorasJan[Saída - 2]-tblHorasJan[Entrada - 2 (Almoço)])&gt;CARENCIA),
                         tblHorasJan[Saída - 2]-tblHorasJan[Entrada - 2 (Almoço)],
                         0)),
       0)),0)</f>
        <v>0</v>
      </c>
      <c r="L16" s="4">
        <f>tblHorasJan[Horas Trabalhadas (1º Período)]+tblHorasJan[Horas Trabalhadas (2º Período)]</f>
        <v>0</v>
      </c>
      <c r="M16" s="4" t="str">
        <f>IF(tblHorasJan[Data]&lt;&gt;"",
        IF(
AND(VLOOKUP(TEXT(tblHorasJan[Data],"dddd"),tblDiaUtil[],3,FALSE)="Sim",IF(tblHorasJan[Evento 
(1º Período)]&lt;&gt;"",IF(VLOOKUP(tblHorasJan[Evento 
(1º Período)],tblEvento[],Tabelas!$E$1,FALSE)="Sim",FALSE,TRUE),TRUE),IF(tblHorasJan[Evento 
(2º Período)]&lt;&gt;"",IF(VLOOKUP(tblHorasJan[Evento 
(2º Período)],tblEvento[],Tabelas!$E$1,FALSE)="Sim",FALSE,TRUE),TRUE)),
              IF(VLOOKUP(tblHorasJan[Dia],tblDiaUtil[[Abreviatura]:[1º Período]],3,FALSE)&gt;0,VLOOKUP(tblHorasJan[Dia],tblDiaUtil[[Abreviatura]:[1º Período]],3,FALSE),JORNADA),
              ""),
         "")</f>
        <v/>
      </c>
      <c r="N16" s="14">
        <f>IF(OR(tblHorasJan[Horas Trabalhadas (1º Período)]&lt;&gt;0,tblHorasJan[Horas Trabalhadas (2º Período)]&lt;&gt;0),
        IF(ISNUMBER(tblHorasJan[Jornada Diária]),
              IF(tblHorasJan[Jornada Diária]&gt;(tblHorasJan[Horas Trabalhadas (2º Período)]+tblHorasJan[Horas Trabalhadas (1º Período)]),
                     IF(ROUND((tblHorasJan[Jornada Diária]-(tblHorasJan[Horas Trabalhadas (2º Período)]+tblHorasJan[Horas Trabalhadas (1º Período)])),6)&gt;ROUND(CARENCIA,6),
                           -tblHorasJan[Jornada Diária]+(tblHorasJan[Horas Trabalhadas (2º Período)]+tblHorasJan[Horas Trabalhadas (1º Período)]),
                           0),
                      IF(ROUND((tblHorasJan[Jornada Diária]-(tblHorasJan[Horas Trabalhadas (2º Período)]+tblHorasJan[Horas Trabalhadas (1º Período)])),6)&lt;ROUND(-CARENCIA,6),
                           -tblHorasJan[Jornada Diária]+(tblHorasJan[Horas Trabalhadas (2º Período)]+tblHorasJan[Horas Trabalhadas (1º Período)]),
                           0)),
              tblHorasJan[Horas Trabalhadas (2º Período)]+tblHorasJan[Horas Trabalhadas (1º Período)]),
         IF(AND(IF(ISERROR(VLOOKUP(tblHorasJan[Evento 
(1º Período)],tblEvento[[Evento]:[Libera o Período]],4,FALSE)),FALSE,IF(VLOOKUP(tblHorasJan[Evento 
(1º Período)],tblEvento[[Evento]:[Libera o Período]],4,FALSE)="Não",TRUE,FALSE)),IF(ISERROR(VLOOKUP(tblHorasJan[Evento 
(2º Período)],tblEvento[[Evento]:[Libera o Período]],4,FALSE)),FALSE,IF(VLOOKUP(tblHorasJan[Evento 
(2º Período)],tblEvento[[Evento]:[Libera o Período]],4,FALSE)="Não",TRUE,FALSE))),
-IF(VLOOKUP(tblHorasJan[Dia],tblDiaUtil[[Abreviatura]:[Total Jornada]],5,FALSE)&lt;&gt;"",VLOOKUP(tblHorasJan[Dia],tblDiaUtil[[Abreviatura]:[Total Jornada]],5,FALSE),JORNADA),
IF(IF(ISERROR(VLOOKUP(tblHorasJan[Evento 
(1º Período)],tblEvento[[Evento]:[Libera o Período]],4,FALSE)),FALSE,
IF(VLOOKUP(tblHorasJan[Evento 
(1º Período)],tblEvento[[Evento]:[Libera o Período]],4,FALSE)="Não",TRUE,FALSE)
),
-IF(VLOOKUP(tblHorasJan[Dia],tblDiaUtil[[Abreviatura]:[1º Período]],3,FALSE)&lt;&gt;"",VLOOKUP(tblHorasJan[Dia],tblDiaUtil[[Abreviatura]:[1º Período]],3,FALSE),JORNADA_PERIODO_1),
IF(IF(ISERROR(VLOOKUP(tblHorasJan[Evento 
(2º Período)],tblEvento[[Evento]:[Libera o Período]],4,FALSE)),FALSE,IF(VLOOKUP(tblHorasJan[Evento 
(2º Período)],tblEvento[[Evento]:[Libera o Período]],4,FALSE)="Não",TRUE,FALSE)),
-IF(VLOOKUP(tblHorasJan[Dia],tblDiaUtil[[Abreviatura]:[2º Período]],4,FALSE)&lt;&gt;"",VLOOKUP(tblHorasJan[Dia],tblDiaUtil[[Abreviatura]:[2º Período]],4,FALSE),JORNADA_PERIODO_2),0))))</f>
        <v>0</v>
      </c>
      <c r="O16" s="14">
        <f>IF(tblHorasJan[Horas Trabalhadas Além Jornada]&gt;0,
        IF(ISNUMBER(tblHorasJan[Jornada Diária]),
              IF(HOUR(tblHorasJan[Horas Trabalhadas Além Jornada])&gt;=VLOOKUP(LIMITE,tblLimiteHora[],Tabelas!$I$1,FALSE),
                    VLOOKUP(LIMITE,tblLimiteHora[],Tabelas!$J$1,FALSE),
                    tblHorasJan[Horas Trabalhadas Além Jornada]),
              tblHorasJan[Horas Trabalhadas Além Jornada]),
        tblHorasJan[Horas Trabalhadas Além Jornada])+O15</f>
        <v>0</v>
      </c>
      <c r="P16" s="14" t="str">
        <f>IF(tblHorasJan[Horas Trabalhadas Além Jornada]&lt;0,IF(OR(tblHorasJan[Evento 
(1º Período)]="",tblHorasJan[Evento 
(2º Período)]=""),tblHorasJan[Horas Trabalhadas Além Jornada],""),"")</f>
        <v/>
      </c>
      <c r="Q16" s="14" t="str">
        <f>IF(tblHorasJan[Jornada Diária]&lt;&gt;"",IF((N(tblHorasJan[Jornada Diária])-ABS(N(tblHorasJan[Horas Trabalhadas Além Jornada])))=0,1,""),"")</f>
        <v/>
      </c>
      <c r="R16" s="14" t="str">
        <f>IF(tblHorasJan[Horas Trabalhadas Além Jornada]&gt;0,
IF(AND(VLOOKUP(TEXT(tblHorasJan[Data],"dddd"),tblDiaUtil[],3,FALSE)="Sim",IF(tblHorasJan[Evento 
(1º Período)]&lt;&gt;"",IF(VLOOKUP(tblHorasJan[Evento 
(1º Período)],tblEvento[],Tabelas!$E$1,FALSE)="Sim",FALSE,TRUE),TRUE),IF(tblHorasJan[Evento 
(2º Período)]&lt;&gt;"",IF(VLOOKUP(tblHorasJan[Evento 
(2º Período)],tblEvento[],Tabelas!$E$1,FALSE)="Sim",FALSE,TRUE),TRUE)),
tblHorasJan[Horas Trabalhadas Além Jornada],""),"")</f>
        <v/>
      </c>
      <c r="S16" s="14" t="str">
        <f>IF(tblHorasJan[Horas Trabalhadas Além Jornada]&gt;0,
IF(OR(VLOOKUP(TEXT(tblHorasJan[Data],"dddd"),tblDiaUtil[],3,FALSE)="Não",IF(tblHorasJan[Evento 
(1º Período)]&lt;&gt;"",IF(VLOOKUP(tblHorasJan[Evento 
(1º Período)],tblEvento[],Tabelas!$E$1,FALSE)="Sim",TRUE,FALSE),FALSE),IF(tblHorasJan[Evento 
(2º Período)]&lt;&gt;"",IF(VLOOKUP(tblHorasJan[Evento 
(2º Período)],tblEvento[],Tabelas!$E$1,FALSE)="Sim",TRUE,FALSE),FALSE)),
tblHorasJan[Horas Trabalhadas Além Jornada],""),"")</f>
        <v/>
      </c>
      <c r="T16" s="15" t="str">
        <f>IF(tblHorasJan[Evento 
(1º Período)]&lt;&gt;""," - " &amp;VLOOKUP(tblHorasJan[Evento 
(1º Período)],tblEvento[],Tabelas!$F$1,FALSE),"")&amp;IF(AND(tblHorasJan[Evento 
(2º Período)]&lt;&gt;"",tblHorasJan[Evento 
(2º Período)]&lt;&gt;tblHorasJan[Evento 
(1º Período)])," - " &amp; VLOOKUP(tblHorasJan[Evento 
(2º Período)],tblEvento[],Tabelas!$F$1,FALSE),"")</f>
        <v/>
      </c>
    </row>
    <row r="17" spans="2:20" x14ac:dyDescent="0.25">
      <c r="B17" s="11" t="str">
        <f t="shared" si="0"/>
        <v/>
      </c>
      <c r="C17" s="12" t="str">
        <f>TEXT(tblHorasJan[Data],"ddd")</f>
        <v/>
      </c>
      <c r="D17" s="25"/>
      <c r="E17" s="1"/>
      <c r="F17" s="1"/>
      <c r="G17" s="1"/>
      <c r="H17" s="1"/>
      <c r="I17" s="53"/>
      <c r="J17" s="4">
        <f>IF($B$6&lt;&gt;"",
IF(AND(tblHorasJan[Evento 
(1º Período)]&lt;&gt;"",IF(ISERROR(VLOOKUP(tblHorasJan[Evento 
(1º Período)],tblEvento[],Tabelas!$D$1,FALSE)),FALSE,VLOOKUP(tblHorasJan[Evento 
(1º Período)],tblEvento[],Tabelas!$D$1,FALSE)="Sim")),
        IF(JORNADA_PERIODO_1&lt;&gt;"",
IF(VLOOKUP(tblHorasJan[Dia],tblDiaUtil[[Abreviatura]:[1º Período]],3,FALSE)&gt;0,VLOOKUP(tblHorasJan[Dia],tblDiaUtil[[Abreviatura]:[1º Período]],3,FALSE),JORNADA_PERIODO_1),
IF(VLOOKUP(tblHorasJan[Dia],tblDiaUtil[[Abreviatura]:[1º Período]],3,FALSE)&gt;0,VLOOKUP(tblHorasJan[Dia],tblDiaUtil[[Abreviatura]:[1º Período]],3,FALSE),JORNADA/2)),
        IF(AND(ISNUMBER(tblHorasJan[Saída - 1 (Almoço)]),ISNUMBER(tblHorasJan[Entrada - 1])),
              IF(OR(AND(tblHorasJan[Evento 
(1º Período)]&lt;&gt;"",IF(ISERROR(VLOOKUP(tblHorasJan[Evento 
(1º Período)],tblEvento[],Tabelas!$E$1,FALSE)),FALSE,VLOOKUP(tblHorasJan[Evento 
(1º Período)],tblEvento[],Tabelas!$E$1,FALSE)="Sim")),IF(VLOOKUP(TEXT(tblHorasJan[Data],"dddd"),tblDiaUtil[],2,FALSE)="Não",TRUE,FALSE)),
                   tblHorasJan[Saída - 1 (Almoço)]-tblHorasJan[Entrada - 1],
                   IF(OR(HOUR(tblHorasJan[Saída - 1 (Almoço)]-tblHorasJan[Entrada - 1])&gt;0,ROUND(tblHorasJan[Saída - 1 (Almoço)]-tblHorasJan[Entrada - 1],6)&gt;ROUND(CARENCIA,6)),
                          tblHorasJan[Saída - 1 (Almoço)]-tblHorasJan[Entrada - 1],
                          0)),
                    0)),0)</f>
        <v>0</v>
      </c>
      <c r="K17" s="4">
        <f>IF($B$6&lt;&gt;"",
IF(AND(tblHorasJan[Evento 
(2º Período)]&lt;&gt;"",IF(ISERROR(VLOOKUP(tblHorasJan[Evento 
(2º Período)],tblEvento[],Tabelas!$D$1,FALSE)),FALSE,VLOOKUP(tblHorasJan[Evento 
(2º Período)],tblEvento[],Tabelas!$D$1,FALSE)="Sim")),
        IF(JORNADA_PERIODO_2&lt;&gt;"",
IF(VLOOKUP(tblHorasJan[Dia],tblDiaUtil[[Abreviatura]:[2º Período]],4,FALSE)&gt;0,VLOOKUP(tblHorasJan[Dia],tblDiaUtil[[Abreviatura]:[2º Período]],4,FALSE),JORNADA_PERIODO_2),
IF(VLOOKUP(tblHorasJan[Dia],tblDiaUtil[[Abreviatura]:[2º Período]],4,FALSE)&gt;0,VLOOKUP(tblHorasJan[Dia],tblDiaUtil[[Abreviatura]:[2º Período]],4,FALSE),JORNADA/2)),
        IF(AND(ISNUMBER(tblHorasJan[Saída - 2]),ISNUMBER(tblHorasJan[Entrada - 2 (Almoço)])),
              IF(OR(AND(tblHorasJan[Evento 
(2º Período)]&lt;&gt;"",IF(ISERROR(VLOOKUP(tblHorasJan[Evento 
(2º Período)],tblEvento[],Tabelas!$E$1,FALSE)),FALSE,VLOOKUP(tblHorasJan[Evento 
(2º Período)],tblEvento[],Tabelas!$E$1,FALSE)="Sim")),IF(VLOOKUP(TEXT(tblHorasJan[Data],"dddd"),tblDiaUtil[],2,FALSE)="Não",TRUE,FALSE)),
                   tblHorasJan[Saída - 2]-tblHorasJan[Entrada - 2 (Almoço)],
                   IF(OR(HOUR(tblHorasJan[Saída - 2]-tblHorasJan[Entrada - 2 (Almoço)])&gt;0,MINUTE(tblHorasJan[Saída - 2]-tblHorasJan[Entrada - 2 (Almoço)])&gt;CARENCIA),
                         tblHorasJan[Saída - 2]-tblHorasJan[Entrada - 2 (Almoço)],
                         0)),
       0)),0)</f>
        <v>0</v>
      </c>
      <c r="L17" s="4">
        <f>tblHorasJan[Horas Trabalhadas (1º Período)]+tblHorasJan[Horas Trabalhadas (2º Período)]</f>
        <v>0</v>
      </c>
      <c r="M17" s="4" t="str">
        <f>IF(tblHorasJan[Data]&lt;&gt;"",
        IF(
AND(VLOOKUP(TEXT(tblHorasJan[Data],"dddd"),tblDiaUtil[],3,FALSE)="Sim",IF(tblHorasJan[Evento 
(1º Período)]&lt;&gt;"",IF(VLOOKUP(tblHorasJan[Evento 
(1º Período)],tblEvento[],Tabelas!$E$1,FALSE)="Sim",FALSE,TRUE),TRUE),IF(tblHorasJan[Evento 
(2º Período)]&lt;&gt;"",IF(VLOOKUP(tblHorasJan[Evento 
(2º Período)],tblEvento[],Tabelas!$E$1,FALSE)="Sim",FALSE,TRUE),TRUE)),
              IF(VLOOKUP(tblHorasJan[Dia],tblDiaUtil[[Abreviatura]:[1º Período]],3,FALSE)&gt;0,VLOOKUP(tblHorasJan[Dia],tblDiaUtil[[Abreviatura]:[1º Período]],3,FALSE),JORNADA),
              ""),
         "")</f>
        <v/>
      </c>
      <c r="N17" s="14">
        <f>IF(OR(tblHorasJan[Horas Trabalhadas (1º Período)]&lt;&gt;0,tblHorasJan[Horas Trabalhadas (2º Período)]&lt;&gt;0),
        IF(ISNUMBER(tblHorasJan[Jornada Diária]),
              IF(tblHorasJan[Jornada Diária]&gt;(tblHorasJan[Horas Trabalhadas (2º Período)]+tblHorasJan[Horas Trabalhadas (1º Período)]),
                     IF(ROUND((tblHorasJan[Jornada Diária]-(tblHorasJan[Horas Trabalhadas (2º Período)]+tblHorasJan[Horas Trabalhadas (1º Período)])),6)&gt;ROUND(CARENCIA,6),
                           -tblHorasJan[Jornada Diária]+(tblHorasJan[Horas Trabalhadas (2º Período)]+tblHorasJan[Horas Trabalhadas (1º Período)]),
                           0),
                      IF(ROUND((tblHorasJan[Jornada Diária]-(tblHorasJan[Horas Trabalhadas (2º Período)]+tblHorasJan[Horas Trabalhadas (1º Período)])),6)&lt;ROUND(-CARENCIA,6),
                           -tblHorasJan[Jornada Diária]+(tblHorasJan[Horas Trabalhadas (2º Período)]+tblHorasJan[Horas Trabalhadas (1º Período)]),
                           0)),
              tblHorasJan[Horas Trabalhadas (2º Período)]+tblHorasJan[Horas Trabalhadas (1º Período)]),
         IF(AND(IF(ISERROR(VLOOKUP(tblHorasJan[Evento 
(1º Período)],tblEvento[[Evento]:[Libera o Período]],4,FALSE)),FALSE,IF(VLOOKUP(tblHorasJan[Evento 
(1º Período)],tblEvento[[Evento]:[Libera o Período]],4,FALSE)="Não",TRUE,FALSE)),IF(ISERROR(VLOOKUP(tblHorasJan[Evento 
(2º Período)],tblEvento[[Evento]:[Libera o Período]],4,FALSE)),FALSE,IF(VLOOKUP(tblHorasJan[Evento 
(2º Período)],tblEvento[[Evento]:[Libera o Período]],4,FALSE)="Não",TRUE,FALSE))),
-IF(VLOOKUP(tblHorasJan[Dia],tblDiaUtil[[Abreviatura]:[Total Jornada]],5,FALSE)&lt;&gt;"",VLOOKUP(tblHorasJan[Dia],tblDiaUtil[[Abreviatura]:[Total Jornada]],5,FALSE),JORNADA),
IF(IF(ISERROR(VLOOKUP(tblHorasJan[Evento 
(1º Período)],tblEvento[[Evento]:[Libera o Período]],4,FALSE)),FALSE,
IF(VLOOKUP(tblHorasJan[Evento 
(1º Período)],tblEvento[[Evento]:[Libera o Período]],4,FALSE)="Não",TRUE,FALSE)
),
-IF(VLOOKUP(tblHorasJan[Dia],tblDiaUtil[[Abreviatura]:[1º Período]],3,FALSE)&lt;&gt;"",VLOOKUP(tblHorasJan[Dia],tblDiaUtil[[Abreviatura]:[1º Período]],3,FALSE),JORNADA_PERIODO_1),
IF(IF(ISERROR(VLOOKUP(tblHorasJan[Evento 
(2º Período)],tblEvento[[Evento]:[Libera o Período]],4,FALSE)),FALSE,IF(VLOOKUP(tblHorasJan[Evento 
(2º Período)],tblEvento[[Evento]:[Libera o Período]],4,FALSE)="Não",TRUE,FALSE)),
-IF(VLOOKUP(tblHorasJan[Dia],tblDiaUtil[[Abreviatura]:[2º Período]],4,FALSE)&lt;&gt;"",VLOOKUP(tblHorasJan[Dia],tblDiaUtil[[Abreviatura]:[2º Período]],4,FALSE),JORNADA_PERIODO_2),0))))</f>
        <v>0</v>
      </c>
      <c r="O17" s="14">
        <f>IF(tblHorasJan[Horas Trabalhadas Além Jornada]&gt;0,
        IF(ISNUMBER(tblHorasJan[Jornada Diária]),
              IF(HOUR(tblHorasJan[Horas Trabalhadas Além Jornada])&gt;=VLOOKUP(LIMITE,tblLimiteHora[],Tabelas!$I$1,FALSE),
                    VLOOKUP(LIMITE,tblLimiteHora[],Tabelas!$J$1,FALSE),
                    tblHorasJan[Horas Trabalhadas Além Jornada]),
              tblHorasJan[Horas Trabalhadas Além Jornada]),
        tblHorasJan[Horas Trabalhadas Além Jornada])+O16</f>
        <v>0</v>
      </c>
      <c r="P17" s="14" t="str">
        <f>IF(tblHorasJan[Horas Trabalhadas Além Jornada]&lt;0,IF(OR(tblHorasJan[Evento 
(1º Período)]="",tblHorasJan[Evento 
(2º Período)]=""),tblHorasJan[Horas Trabalhadas Além Jornada],""),"")</f>
        <v/>
      </c>
      <c r="Q17" s="14" t="str">
        <f>IF(tblHorasJan[Jornada Diária]&lt;&gt;"",IF((N(tblHorasJan[Jornada Diária])-ABS(N(tblHorasJan[Horas Trabalhadas Além Jornada])))=0,1,""),"")</f>
        <v/>
      </c>
      <c r="R17" s="14" t="str">
        <f>IF(tblHorasJan[Horas Trabalhadas Além Jornada]&gt;0,
IF(AND(VLOOKUP(TEXT(tblHorasJan[Data],"dddd"),tblDiaUtil[],3,FALSE)="Sim",IF(tblHorasJan[Evento 
(1º Período)]&lt;&gt;"",IF(VLOOKUP(tblHorasJan[Evento 
(1º Período)],tblEvento[],Tabelas!$E$1,FALSE)="Sim",FALSE,TRUE),TRUE),IF(tblHorasJan[Evento 
(2º Período)]&lt;&gt;"",IF(VLOOKUP(tblHorasJan[Evento 
(2º Período)],tblEvento[],Tabelas!$E$1,FALSE)="Sim",FALSE,TRUE),TRUE)),
tblHorasJan[Horas Trabalhadas Além Jornada],""),"")</f>
        <v/>
      </c>
      <c r="S17" s="14" t="str">
        <f>IF(tblHorasJan[Horas Trabalhadas Além Jornada]&gt;0,
IF(OR(VLOOKUP(TEXT(tblHorasJan[Data],"dddd"),tblDiaUtil[],3,FALSE)="Não",IF(tblHorasJan[Evento 
(1º Período)]&lt;&gt;"",IF(VLOOKUP(tblHorasJan[Evento 
(1º Período)],tblEvento[],Tabelas!$E$1,FALSE)="Sim",TRUE,FALSE),FALSE),IF(tblHorasJan[Evento 
(2º Período)]&lt;&gt;"",IF(VLOOKUP(tblHorasJan[Evento 
(2º Período)],tblEvento[],Tabelas!$E$1,FALSE)="Sim",TRUE,FALSE),FALSE)),
tblHorasJan[Horas Trabalhadas Além Jornada],""),"")</f>
        <v/>
      </c>
      <c r="T17" s="15" t="str">
        <f>IF(tblHorasJan[Evento 
(1º Período)]&lt;&gt;""," - " &amp;VLOOKUP(tblHorasJan[Evento 
(1º Período)],tblEvento[],Tabelas!$F$1,FALSE),"")&amp;IF(AND(tblHorasJan[Evento 
(2º Período)]&lt;&gt;"",tblHorasJan[Evento 
(2º Período)]&lt;&gt;tblHorasJan[Evento 
(1º Período)])," - " &amp; VLOOKUP(tblHorasJan[Evento 
(2º Período)],tblEvento[],Tabelas!$F$1,FALSE),"")</f>
        <v/>
      </c>
    </row>
    <row r="18" spans="2:20" x14ac:dyDescent="0.25">
      <c r="B18" s="11" t="str">
        <f t="shared" si="0"/>
        <v/>
      </c>
      <c r="C18" s="12" t="str">
        <f>TEXT(tblHorasJan[Data],"ddd")</f>
        <v/>
      </c>
      <c r="D18" s="25"/>
      <c r="E18" s="1"/>
      <c r="F18" s="1"/>
      <c r="G18" s="1"/>
      <c r="H18" s="1"/>
      <c r="I18" s="53"/>
      <c r="J18" s="4">
        <f>IF($B$6&lt;&gt;"",
IF(AND(tblHorasJan[Evento 
(1º Período)]&lt;&gt;"",IF(ISERROR(VLOOKUP(tblHorasJan[Evento 
(1º Período)],tblEvento[],Tabelas!$D$1,FALSE)),FALSE,VLOOKUP(tblHorasJan[Evento 
(1º Período)],tblEvento[],Tabelas!$D$1,FALSE)="Sim")),
        IF(JORNADA_PERIODO_1&lt;&gt;"",
IF(VLOOKUP(tblHorasJan[Dia],tblDiaUtil[[Abreviatura]:[1º Período]],3,FALSE)&gt;0,VLOOKUP(tblHorasJan[Dia],tblDiaUtil[[Abreviatura]:[1º Período]],3,FALSE),JORNADA_PERIODO_1),
IF(VLOOKUP(tblHorasJan[Dia],tblDiaUtil[[Abreviatura]:[1º Período]],3,FALSE)&gt;0,VLOOKUP(tblHorasJan[Dia],tblDiaUtil[[Abreviatura]:[1º Período]],3,FALSE),JORNADA/2)),
        IF(AND(ISNUMBER(tblHorasJan[Saída - 1 (Almoço)]),ISNUMBER(tblHorasJan[Entrada - 1])),
              IF(OR(AND(tblHorasJan[Evento 
(1º Período)]&lt;&gt;"",IF(ISERROR(VLOOKUP(tblHorasJan[Evento 
(1º Período)],tblEvento[],Tabelas!$E$1,FALSE)),FALSE,VLOOKUP(tblHorasJan[Evento 
(1º Período)],tblEvento[],Tabelas!$E$1,FALSE)="Sim")),IF(VLOOKUP(TEXT(tblHorasJan[Data],"dddd"),tblDiaUtil[],2,FALSE)="Não",TRUE,FALSE)),
                   tblHorasJan[Saída - 1 (Almoço)]-tblHorasJan[Entrada - 1],
                   IF(OR(HOUR(tblHorasJan[Saída - 1 (Almoço)]-tblHorasJan[Entrada - 1])&gt;0,ROUND(tblHorasJan[Saída - 1 (Almoço)]-tblHorasJan[Entrada - 1],6)&gt;ROUND(CARENCIA,6)),
                          tblHorasJan[Saída - 1 (Almoço)]-tblHorasJan[Entrada - 1],
                          0)),
                    0)),0)</f>
        <v>0</v>
      </c>
      <c r="K18" s="4">
        <f>IF($B$6&lt;&gt;"",
IF(AND(tblHorasJan[Evento 
(2º Período)]&lt;&gt;"",IF(ISERROR(VLOOKUP(tblHorasJan[Evento 
(2º Período)],tblEvento[],Tabelas!$D$1,FALSE)),FALSE,VLOOKUP(tblHorasJan[Evento 
(2º Período)],tblEvento[],Tabelas!$D$1,FALSE)="Sim")),
        IF(JORNADA_PERIODO_2&lt;&gt;"",
IF(VLOOKUP(tblHorasJan[Dia],tblDiaUtil[[Abreviatura]:[2º Período]],4,FALSE)&gt;0,VLOOKUP(tblHorasJan[Dia],tblDiaUtil[[Abreviatura]:[2º Período]],4,FALSE),JORNADA_PERIODO_2),
IF(VLOOKUP(tblHorasJan[Dia],tblDiaUtil[[Abreviatura]:[2º Período]],4,FALSE)&gt;0,VLOOKUP(tblHorasJan[Dia],tblDiaUtil[[Abreviatura]:[2º Período]],4,FALSE),JORNADA/2)),
        IF(AND(ISNUMBER(tblHorasJan[Saída - 2]),ISNUMBER(tblHorasJan[Entrada - 2 (Almoço)])),
              IF(OR(AND(tblHorasJan[Evento 
(2º Período)]&lt;&gt;"",IF(ISERROR(VLOOKUP(tblHorasJan[Evento 
(2º Período)],tblEvento[],Tabelas!$E$1,FALSE)),FALSE,VLOOKUP(tblHorasJan[Evento 
(2º Período)],tblEvento[],Tabelas!$E$1,FALSE)="Sim")),IF(VLOOKUP(TEXT(tblHorasJan[Data],"dddd"),tblDiaUtil[],2,FALSE)="Não",TRUE,FALSE)),
                   tblHorasJan[Saída - 2]-tblHorasJan[Entrada - 2 (Almoço)],
                   IF(OR(HOUR(tblHorasJan[Saída - 2]-tblHorasJan[Entrada - 2 (Almoço)])&gt;0,MINUTE(tblHorasJan[Saída - 2]-tblHorasJan[Entrada - 2 (Almoço)])&gt;CARENCIA),
                         tblHorasJan[Saída - 2]-tblHorasJan[Entrada - 2 (Almoço)],
                         0)),
       0)),0)</f>
        <v>0</v>
      </c>
      <c r="L18" s="4">
        <f>tblHorasJan[Horas Trabalhadas (1º Período)]+tblHorasJan[Horas Trabalhadas (2º Período)]</f>
        <v>0</v>
      </c>
      <c r="M18" s="4" t="str">
        <f>IF(tblHorasJan[Data]&lt;&gt;"",
        IF(
AND(VLOOKUP(TEXT(tblHorasJan[Data],"dddd"),tblDiaUtil[],3,FALSE)="Sim",IF(tblHorasJan[Evento 
(1º Período)]&lt;&gt;"",IF(VLOOKUP(tblHorasJan[Evento 
(1º Período)],tblEvento[],Tabelas!$E$1,FALSE)="Sim",FALSE,TRUE),TRUE),IF(tblHorasJan[Evento 
(2º Período)]&lt;&gt;"",IF(VLOOKUP(tblHorasJan[Evento 
(2º Período)],tblEvento[],Tabelas!$E$1,FALSE)="Sim",FALSE,TRUE),TRUE)),
              IF(VLOOKUP(tblHorasJan[Dia],tblDiaUtil[[Abreviatura]:[1º Período]],3,FALSE)&gt;0,VLOOKUP(tblHorasJan[Dia],tblDiaUtil[[Abreviatura]:[1º Período]],3,FALSE),JORNADA),
              ""),
         "")</f>
        <v/>
      </c>
      <c r="N18" s="14">
        <f>IF(OR(tblHorasJan[Horas Trabalhadas (1º Período)]&lt;&gt;0,tblHorasJan[Horas Trabalhadas (2º Período)]&lt;&gt;0),
        IF(ISNUMBER(tblHorasJan[Jornada Diária]),
              IF(tblHorasJan[Jornada Diária]&gt;(tblHorasJan[Horas Trabalhadas (2º Período)]+tblHorasJan[Horas Trabalhadas (1º Período)]),
                     IF(ROUND((tblHorasJan[Jornada Diária]-(tblHorasJan[Horas Trabalhadas (2º Período)]+tblHorasJan[Horas Trabalhadas (1º Período)])),6)&gt;ROUND(CARENCIA,6),
                           -tblHorasJan[Jornada Diária]+(tblHorasJan[Horas Trabalhadas (2º Período)]+tblHorasJan[Horas Trabalhadas (1º Período)]),
                           0),
                      IF(ROUND((tblHorasJan[Jornada Diária]-(tblHorasJan[Horas Trabalhadas (2º Período)]+tblHorasJan[Horas Trabalhadas (1º Período)])),6)&lt;ROUND(-CARENCIA,6),
                           -tblHorasJan[Jornada Diária]+(tblHorasJan[Horas Trabalhadas (2º Período)]+tblHorasJan[Horas Trabalhadas (1º Período)]),
                           0)),
              tblHorasJan[Horas Trabalhadas (2º Período)]+tblHorasJan[Horas Trabalhadas (1º Período)]),
         IF(AND(IF(ISERROR(VLOOKUP(tblHorasJan[Evento 
(1º Período)],tblEvento[[Evento]:[Libera o Período]],4,FALSE)),FALSE,IF(VLOOKUP(tblHorasJan[Evento 
(1º Período)],tblEvento[[Evento]:[Libera o Período]],4,FALSE)="Não",TRUE,FALSE)),IF(ISERROR(VLOOKUP(tblHorasJan[Evento 
(2º Período)],tblEvento[[Evento]:[Libera o Período]],4,FALSE)),FALSE,IF(VLOOKUP(tblHorasJan[Evento 
(2º Período)],tblEvento[[Evento]:[Libera o Período]],4,FALSE)="Não",TRUE,FALSE))),
-IF(VLOOKUP(tblHorasJan[Dia],tblDiaUtil[[Abreviatura]:[Total Jornada]],5,FALSE)&lt;&gt;"",VLOOKUP(tblHorasJan[Dia],tblDiaUtil[[Abreviatura]:[Total Jornada]],5,FALSE),JORNADA),
IF(IF(ISERROR(VLOOKUP(tblHorasJan[Evento 
(1º Período)],tblEvento[[Evento]:[Libera o Período]],4,FALSE)),FALSE,
IF(VLOOKUP(tblHorasJan[Evento 
(1º Período)],tblEvento[[Evento]:[Libera o Período]],4,FALSE)="Não",TRUE,FALSE)
),
-IF(VLOOKUP(tblHorasJan[Dia],tblDiaUtil[[Abreviatura]:[1º Período]],3,FALSE)&lt;&gt;"",VLOOKUP(tblHorasJan[Dia],tblDiaUtil[[Abreviatura]:[1º Período]],3,FALSE),JORNADA_PERIODO_1),
IF(IF(ISERROR(VLOOKUP(tblHorasJan[Evento 
(2º Período)],tblEvento[[Evento]:[Libera o Período]],4,FALSE)),FALSE,IF(VLOOKUP(tblHorasJan[Evento 
(2º Período)],tblEvento[[Evento]:[Libera o Período]],4,FALSE)="Não",TRUE,FALSE)),
-IF(VLOOKUP(tblHorasJan[Dia],tblDiaUtil[[Abreviatura]:[2º Período]],4,FALSE)&lt;&gt;"",VLOOKUP(tblHorasJan[Dia],tblDiaUtil[[Abreviatura]:[2º Período]],4,FALSE),JORNADA_PERIODO_2),0))))</f>
        <v>0</v>
      </c>
      <c r="O18" s="14">
        <f>IF(tblHorasJan[Horas Trabalhadas Além Jornada]&gt;0,
        IF(ISNUMBER(tblHorasJan[Jornada Diária]),
              IF(HOUR(tblHorasJan[Horas Trabalhadas Além Jornada])&gt;=VLOOKUP(LIMITE,tblLimiteHora[],Tabelas!$I$1,FALSE),
                    VLOOKUP(LIMITE,tblLimiteHora[],Tabelas!$J$1,FALSE),
                    tblHorasJan[Horas Trabalhadas Além Jornada]),
              tblHorasJan[Horas Trabalhadas Além Jornada]),
        tblHorasJan[Horas Trabalhadas Além Jornada])+O17</f>
        <v>0</v>
      </c>
      <c r="P18" s="14" t="str">
        <f>IF(tblHorasJan[Horas Trabalhadas Além Jornada]&lt;0,IF(OR(tblHorasJan[Evento 
(1º Período)]="",tblHorasJan[Evento 
(2º Período)]=""),tblHorasJan[Horas Trabalhadas Além Jornada],""),"")</f>
        <v/>
      </c>
      <c r="Q18" s="14" t="str">
        <f>IF(tblHorasJan[Jornada Diária]&lt;&gt;"",IF((N(tblHorasJan[Jornada Diária])-ABS(N(tblHorasJan[Horas Trabalhadas Além Jornada])))=0,1,""),"")</f>
        <v/>
      </c>
      <c r="R18" s="14" t="str">
        <f>IF(tblHorasJan[Horas Trabalhadas Além Jornada]&gt;0,
IF(AND(VLOOKUP(TEXT(tblHorasJan[Data],"dddd"),tblDiaUtil[],3,FALSE)="Sim",IF(tblHorasJan[Evento 
(1º Período)]&lt;&gt;"",IF(VLOOKUP(tblHorasJan[Evento 
(1º Período)],tblEvento[],Tabelas!$E$1,FALSE)="Sim",FALSE,TRUE),TRUE),IF(tblHorasJan[Evento 
(2º Período)]&lt;&gt;"",IF(VLOOKUP(tblHorasJan[Evento 
(2º Período)],tblEvento[],Tabelas!$E$1,FALSE)="Sim",FALSE,TRUE),TRUE)),
tblHorasJan[Horas Trabalhadas Além Jornada],""),"")</f>
        <v/>
      </c>
      <c r="S18" s="14" t="str">
        <f>IF(tblHorasJan[Horas Trabalhadas Além Jornada]&gt;0,
IF(OR(VLOOKUP(TEXT(tblHorasJan[Data],"dddd"),tblDiaUtil[],3,FALSE)="Não",IF(tblHorasJan[Evento 
(1º Período)]&lt;&gt;"",IF(VLOOKUP(tblHorasJan[Evento 
(1º Período)],tblEvento[],Tabelas!$E$1,FALSE)="Sim",TRUE,FALSE),FALSE),IF(tblHorasJan[Evento 
(2º Período)]&lt;&gt;"",IF(VLOOKUP(tblHorasJan[Evento 
(2º Período)],tblEvento[],Tabelas!$E$1,FALSE)="Sim",TRUE,FALSE),FALSE)),
tblHorasJan[Horas Trabalhadas Além Jornada],""),"")</f>
        <v/>
      </c>
      <c r="T18" s="15" t="str">
        <f>IF(tblHorasJan[Evento 
(1º Período)]&lt;&gt;""," - " &amp;VLOOKUP(tblHorasJan[Evento 
(1º Período)],tblEvento[],Tabelas!$F$1,FALSE),"")&amp;IF(AND(tblHorasJan[Evento 
(2º Período)]&lt;&gt;"",tblHorasJan[Evento 
(2º Período)]&lt;&gt;tblHorasJan[Evento 
(1º Período)])," - " &amp; VLOOKUP(tblHorasJan[Evento 
(2º Período)],tblEvento[],Tabelas!$F$1,FALSE),"")</f>
        <v/>
      </c>
    </row>
    <row r="19" spans="2:20" x14ac:dyDescent="0.25">
      <c r="B19" s="11" t="str">
        <f t="shared" si="0"/>
        <v/>
      </c>
      <c r="C19" s="12" t="str">
        <f>TEXT(tblHorasJan[Data],"ddd")</f>
        <v/>
      </c>
      <c r="D19" s="25"/>
      <c r="E19" s="1"/>
      <c r="F19" s="1"/>
      <c r="G19" s="1"/>
      <c r="H19" s="1"/>
      <c r="I19" s="53"/>
      <c r="J19" s="4">
        <f>IF($B$6&lt;&gt;"",
IF(AND(tblHorasJan[Evento 
(1º Período)]&lt;&gt;"",IF(ISERROR(VLOOKUP(tblHorasJan[Evento 
(1º Período)],tblEvento[],Tabelas!$D$1,FALSE)),FALSE,VLOOKUP(tblHorasJan[Evento 
(1º Período)],tblEvento[],Tabelas!$D$1,FALSE)="Sim")),
        IF(JORNADA_PERIODO_1&lt;&gt;"",
IF(VLOOKUP(tblHorasJan[Dia],tblDiaUtil[[Abreviatura]:[1º Período]],3,FALSE)&gt;0,VLOOKUP(tblHorasJan[Dia],tblDiaUtil[[Abreviatura]:[1º Período]],3,FALSE),JORNADA_PERIODO_1),
IF(VLOOKUP(tblHorasJan[Dia],tblDiaUtil[[Abreviatura]:[1º Período]],3,FALSE)&gt;0,VLOOKUP(tblHorasJan[Dia],tblDiaUtil[[Abreviatura]:[1º Período]],3,FALSE),JORNADA/2)),
        IF(AND(ISNUMBER(tblHorasJan[Saída - 1 (Almoço)]),ISNUMBER(tblHorasJan[Entrada - 1])),
              IF(OR(AND(tblHorasJan[Evento 
(1º Período)]&lt;&gt;"",IF(ISERROR(VLOOKUP(tblHorasJan[Evento 
(1º Período)],tblEvento[],Tabelas!$E$1,FALSE)),FALSE,VLOOKUP(tblHorasJan[Evento 
(1º Período)],tblEvento[],Tabelas!$E$1,FALSE)="Sim")),IF(VLOOKUP(TEXT(tblHorasJan[Data],"dddd"),tblDiaUtil[],2,FALSE)="Não",TRUE,FALSE)),
                   tblHorasJan[Saída - 1 (Almoço)]-tblHorasJan[Entrada - 1],
                   IF(OR(HOUR(tblHorasJan[Saída - 1 (Almoço)]-tblHorasJan[Entrada - 1])&gt;0,ROUND(tblHorasJan[Saída - 1 (Almoço)]-tblHorasJan[Entrada - 1],6)&gt;ROUND(CARENCIA,6)),
                          tblHorasJan[Saída - 1 (Almoço)]-tblHorasJan[Entrada - 1],
                          0)),
                    0)),0)</f>
        <v>0</v>
      </c>
      <c r="K19" s="4">
        <f>IF($B$6&lt;&gt;"",
IF(AND(tblHorasJan[Evento 
(2º Período)]&lt;&gt;"",IF(ISERROR(VLOOKUP(tblHorasJan[Evento 
(2º Período)],tblEvento[],Tabelas!$D$1,FALSE)),FALSE,VLOOKUP(tblHorasJan[Evento 
(2º Período)],tblEvento[],Tabelas!$D$1,FALSE)="Sim")),
        IF(JORNADA_PERIODO_2&lt;&gt;"",
IF(VLOOKUP(tblHorasJan[Dia],tblDiaUtil[[Abreviatura]:[2º Período]],4,FALSE)&gt;0,VLOOKUP(tblHorasJan[Dia],tblDiaUtil[[Abreviatura]:[2º Período]],4,FALSE),JORNADA_PERIODO_2),
IF(VLOOKUP(tblHorasJan[Dia],tblDiaUtil[[Abreviatura]:[2º Período]],4,FALSE)&gt;0,VLOOKUP(tblHorasJan[Dia],tblDiaUtil[[Abreviatura]:[2º Período]],4,FALSE),JORNADA/2)),
        IF(AND(ISNUMBER(tblHorasJan[Saída - 2]),ISNUMBER(tblHorasJan[Entrada - 2 (Almoço)])),
              IF(OR(AND(tblHorasJan[Evento 
(2º Período)]&lt;&gt;"",IF(ISERROR(VLOOKUP(tblHorasJan[Evento 
(2º Período)],tblEvento[],Tabelas!$E$1,FALSE)),FALSE,VLOOKUP(tblHorasJan[Evento 
(2º Período)],tblEvento[],Tabelas!$E$1,FALSE)="Sim")),IF(VLOOKUP(TEXT(tblHorasJan[Data],"dddd"),tblDiaUtil[],2,FALSE)="Não",TRUE,FALSE)),
                   tblHorasJan[Saída - 2]-tblHorasJan[Entrada - 2 (Almoço)],
                   IF(OR(HOUR(tblHorasJan[Saída - 2]-tblHorasJan[Entrada - 2 (Almoço)])&gt;0,MINUTE(tblHorasJan[Saída - 2]-tblHorasJan[Entrada - 2 (Almoço)])&gt;CARENCIA),
                         tblHorasJan[Saída - 2]-tblHorasJan[Entrada - 2 (Almoço)],
                         0)),
       0)),0)</f>
        <v>0</v>
      </c>
      <c r="L19" s="4">
        <f>tblHorasJan[Horas Trabalhadas (1º Período)]+tblHorasJan[Horas Trabalhadas (2º Período)]</f>
        <v>0</v>
      </c>
      <c r="M19" s="4" t="str">
        <f>IF(tblHorasJan[Data]&lt;&gt;"",
        IF(
AND(VLOOKUP(TEXT(tblHorasJan[Data],"dddd"),tblDiaUtil[],3,FALSE)="Sim",IF(tblHorasJan[Evento 
(1º Período)]&lt;&gt;"",IF(VLOOKUP(tblHorasJan[Evento 
(1º Período)],tblEvento[],Tabelas!$E$1,FALSE)="Sim",FALSE,TRUE),TRUE),IF(tblHorasJan[Evento 
(2º Período)]&lt;&gt;"",IF(VLOOKUP(tblHorasJan[Evento 
(2º Período)],tblEvento[],Tabelas!$E$1,FALSE)="Sim",FALSE,TRUE),TRUE)),
              IF(VLOOKUP(tblHorasJan[Dia],tblDiaUtil[[Abreviatura]:[1º Período]],3,FALSE)&gt;0,VLOOKUP(tblHorasJan[Dia],tblDiaUtil[[Abreviatura]:[1º Período]],3,FALSE),JORNADA),
              ""),
         "")</f>
        <v/>
      </c>
      <c r="N19" s="14">
        <f>IF(OR(tblHorasJan[Horas Trabalhadas (1º Período)]&lt;&gt;0,tblHorasJan[Horas Trabalhadas (2º Período)]&lt;&gt;0),
        IF(ISNUMBER(tblHorasJan[Jornada Diária]),
              IF(tblHorasJan[Jornada Diária]&gt;(tblHorasJan[Horas Trabalhadas (2º Período)]+tblHorasJan[Horas Trabalhadas (1º Período)]),
                     IF(ROUND((tblHorasJan[Jornada Diária]-(tblHorasJan[Horas Trabalhadas (2º Período)]+tblHorasJan[Horas Trabalhadas (1º Período)])),6)&gt;ROUND(CARENCIA,6),
                           -tblHorasJan[Jornada Diária]+(tblHorasJan[Horas Trabalhadas (2º Período)]+tblHorasJan[Horas Trabalhadas (1º Período)]),
                           0),
                      IF(ROUND((tblHorasJan[Jornada Diária]-(tblHorasJan[Horas Trabalhadas (2º Período)]+tblHorasJan[Horas Trabalhadas (1º Período)])),6)&lt;ROUND(-CARENCIA,6),
                           -tblHorasJan[Jornada Diária]+(tblHorasJan[Horas Trabalhadas (2º Período)]+tblHorasJan[Horas Trabalhadas (1º Período)]),
                           0)),
              tblHorasJan[Horas Trabalhadas (2º Período)]+tblHorasJan[Horas Trabalhadas (1º Período)]),
         IF(AND(IF(ISERROR(VLOOKUP(tblHorasJan[Evento 
(1º Período)],tblEvento[[Evento]:[Libera o Período]],4,FALSE)),FALSE,IF(VLOOKUP(tblHorasJan[Evento 
(1º Período)],tblEvento[[Evento]:[Libera o Período]],4,FALSE)="Não",TRUE,FALSE)),IF(ISERROR(VLOOKUP(tblHorasJan[Evento 
(2º Período)],tblEvento[[Evento]:[Libera o Período]],4,FALSE)),FALSE,IF(VLOOKUP(tblHorasJan[Evento 
(2º Período)],tblEvento[[Evento]:[Libera o Período]],4,FALSE)="Não",TRUE,FALSE))),
-IF(VLOOKUP(tblHorasJan[Dia],tblDiaUtil[[Abreviatura]:[Total Jornada]],5,FALSE)&lt;&gt;"",VLOOKUP(tblHorasJan[Dia],tblDiaUtil[[Abreviatura]:[Total Jornada]],5,FALSE),JORNADA),
IF(IF(ISERROR(VLOOKUP(tblHorasJan[Evento 
(1º Período)],tblEvento[[Evento]:[Libera o Período]],4,FALSE)),FALSE,
IF(VLOOKUP(tblHorasJan[Evento 
(1º Período)],tblEvento[[Evento]:[Libera o Período]],4,FALSE)="Não",TRUE,FALSE)
),
-IF(VLOOKUP(tblHorasJan[Dia],tblDiaUtil[[Abreviatura]:[1º Período]],3,FALSE)&lt;&gt;"",VLOOKUP(tblHorasJan[Dia],tblDiaUtil[[Abreviatura]:[1º Período]],3,FALSE),JORNADA_PERIODO_1),
IF(IF(ISERROR(VLOOKUP(tblHorasJan[Evento 
(2º Período)],tblEvento[[Evento]:[Libera o Período]],4,FALSE)),FALSE,IF(VLOOKUP(tblHorasJan[Evento 
(2º Período)],tblEvento[[Evento]:[Libera o Período]],4,FALSE)="Não",TRUE,FALSE)),
-IF(VLOOKUP(tblHorasJan[Dia],tblDiaUtil[[Abreviatura]:[2º Período]],4,FALSE)&lt;&gt;"",VLOOKUP(tblHorasJan[Dia],tblDiaUtil[[Abreviatura]:[2º Período]],4,FALSE),JORNADA_PERIODO_2),0))))</f>
        <v>0</v>
      </c>
      <c r="O19" s="14">
        <f>IF(tblHorasJan[Horas Trabalhadas Além Jornada]&gt;0,
        IF(ISNUMBER(tblHorasJan[Jornada Diária]),
              IF(HOUR(tblHorasJan[Horas Trabalhadas Além Jornada])&gt;=VLOOKUP(LIMITE,tblLimiteHora[],Tabelas!$I$1,FALSE),
                    VLOOKUP(LIMITE,tblLimiteHora[],Tabelas!$J$1,FALSE),
                    tblHorasJan[Horas Trabalhadas Além Jornada]),
              tblHorasJan[Horas Trabalhadas Além Jornada]),
        tblHorasJan[Horas Trabalhadas Além Jornada])+O18</f>
        <v>0</v>
      </c>
      <c r="P19" s="14" t="str">
        <f>IF(tblHorasJan[Horas Trabalhadas Além Jornada]&lt;0,IF(OR(tblHorasJan[Evento 
(1º Período)]="",tblHorasJan[Evento 
(2º Período)]=""),tblHorasJan[Horas Trabalhadas Além Jornada],""),"")</f>
        <v/>
      </c>
      <c r="Q19" s="14" t="str">
        <f>IF(tblHorasJan[Jornada Diária]&lt;&gt;"",IF((N(tblHorasJan[Jornada Diária])-ABS(N(tblHorasJan[Horas Trabalhadas Além Jornada])))=0,1,""),"")</f>
        <v/>
      </c>
      <c r="R19" s="14" t="str">
        <f>IF(tblHorasJan[Horas Trabalhadas Além Jornada]&gt;0,
IF(AND(VLOOKUP(TEXT(tblHorasJan[Data],"dddd"),tblDiaUtil[],3,FALSE)="Sim",IF(tblHorasJan[Evento 
(1º Período)]&lt;&gt;"",IF(VLOOKUP(tblHorasJan[Evento 
(1º Período)],tblEvento[],Tabelas!$E$1,FALSE)="Sim",FALSE,TRUE),TRUE),IF(tblHorasJan[Evento 
(2º Período)]&lt;&gt;"",IF(VLOOKUP(tblHorasJan[Evento 
(2º Período)],tblEvento[],Tabelas!$E$1,FALSE)="Sim",FALSE,TRUE),TRUE)),
tblHorasJan[Horas Trabalhadas Além Jornada],""),"")</f>
        <v/>
      </c>
      <c r="S19" s="14" t="str">
        <f>IF(tblHorasJan[Horas Trabalhadas Além Jornada]&gt;0,
IF(OR(VLOOKUP(TEXT(tblHorasJan[Data],"dddd"),tblDiaUtil[],3,FALSE)="Não",IF(tblHorasJan[Evento 
(1º Período)]&lt;&gt;"",IF(VLOOKUP(tblHorasJan[Evento 
(1º Período)],tblEvento[],Tabelas!$E$1,FALSE)="Sim",TRUE,FALSE),FALSE),IF(tblHorasJan[Evento 
(2º Período)]&lt;&gt;"",IF(VLOOKUP(tblHorasJan[Evento 
(2º Período)],tblEvento[],Tabelas!$E$1,FALSE)="Sim",TRUE,FALSE),FALSE)),
tblHorasJan[Horas Trabalhadas Além Jornada],""),"")</f>
        <v/>
      </c>
      <c r="T19" s="15" t="str">
        <f>IF(tblHorasJan[Evento 
(1º Período)]&lt;&gt;""," - " &amp;VLOOKUP(tblHorasJan[Evento 
(1º Período)],tblEvento[],Tabelas!$F$1,FALSE),"")&amp;IF(AND(tblHorasJan[Evento 
(2º Período)]&lt;&gt;"",tblHorasJan[Evento 
(2º Período)]&lt;&gt;tblHorasJan[Evento 
(1º Período)])," - " &amp; VLOOKUP(tblHorasJan[Evento 
(2º Período)],tblEvento[],Tabelas!$F$1,FALSE),"")</f>
        <v/>
      </c>
    </row>
    <row r="20" spans="2:20" x14ac:dyDescent="0.25">
      <c r="B20" s="11" t="str">
        <f t="shared" si="0"/>
        <v/>
      </c>
      <c r="C20" s="12" t="str">
        <f>TEXT(tblHorasJan[Data],"ddd")</f>
        <v/>
      </c>
      <c r="D20" s="25"/>
      <c r="E20" s="1"/>
      <c r="F20" s="1"/>
      <c r="G20" s="1"/>
      <c r="H20" s="1"/>
      <c r="I20" s="53"/>
      <c r="J20" s="4">
        <f>IF($B$6&lt;&gt;"",
IF(AND(tblHorasJan[Evento 
(1º Período)]&lt;&gt;"",IF(ISERROR(VLOOKUP(tblHorasJan[Evento 
(1º Período)],tblEvento[],Tabelas!$D$1,FALSE)),FALSE,VLOOKUP(tblHorasJan[Evento 
(1º Período)],tblEvento[],Tabelas!$D$1,FALSE)="Sim")),
        IF(JORNADA_PERIODO_1&lt;&gt;"",
IF(VLOOKUP(tblHorasJan[Dia],tblDiaUtil[[Abreviatura]:[1º Período]],3,FALSE)&gt;0,VLOOKUP(tblHorasJan[Dia],tblDiaUtil[[Abreviatura]:[1º Período]],3,FALSE),JORNADA_PERIODO_1),
IF(VLOOKUP(tblHorasJan[Dia],tblDiaUtil[[Abreviatura]:[1º Período]],3,FALSE)&gt;0,VLOOKUP(tblHorasJan[Dia],tblDiaUtil[[Abreviatura]:[1º Período]],3,FALSE),JORNADA/2)),
        IF(AND(ISNUMBER(tblHorasJan[Saída - 1 (Almoço)]),ISNUMBER(tblHorasJan[Entrada - 1])),
              IF(OR(AND(tblHorasJan[Evento 
(1º Período)]&lt;&gt;"",IF(ISERROR(VLOOKUP(tblHorasJan[Evento 
(1º Período)],tblEvento[],Tabelas!$E$1,FALSE)),FALSE,VLOOKUP(tblHorasJan[Evento 
(1º Período)],tblEvento[],Tabelas!$E$1,FALSE)="Sim")),IF(VLOOKUP(TEXT(tblHorasJan[Data],"dddd"),tblDiaUtil[],2,FALSE)="Não",TRUE,FALSE)),
                   tblHorasJan[Saída - 1 (Almoço)]-tblHorasJan[Entrada - 1],
                   IF(OR(HOUR(tblHorasJan[Saída - 1 (Almoço)]-tblHorasJan[Entrada - 1])&gt;0,ROUND(tblHorasJan[Saída - 1 (Almoço)]-tblHorasJan[Entrada - 1],6)&gt;ROUND(CARENCIA,6)),
                          tblHorasJan[Saída - 1 (Almoço)]-tblHorasJan[Entrada - 1],
                          0)),
                    0)),0)</f>
        <v>0</v>
      </c>
      <c r="K20" s="4">
        <f>IF($B$6&lt;&gt;"",
IF(AND(tblHorasJan[Evento 
(2º Período)]&lt;&gt;"",IF(ISERROR(VLOOKUP(tblHorasJan[Evento 
(2º Período)],tblEvento[],Tabelas!$D$1,FALSE)),FALSE,VLOOKUP(tblHorasJan[Evento 
(2º Período)],tblEvento[],Tabelas!$D$1,FALSE)="Sim")),
        IF(JORNADA_PERIODO_2&lt;&gt;"",
IF(VLOOKUP(tblHorasJan[Dia],tblDiaUtil[[Abreviatura]:[2º Período]],4,FALSE)&gt;0,VLOOKUP(tblHorasJan[Dia],tblDiaUtil[[Abreviatura]:[2º Período]],4,FALSE),JORNADA_PERIODO_2),
IF(VLOOKUP(tblHorasJan[Dia],tblDiaUtil[[Abreviatura]:[2º Período]],4,FALSE)&gt;0,VLOOKUP(tblHorasJan[Dia],tblDiaUtil[[Abreviatura]:[2º Período]],4,FALSE),JORNADA/2)),
        IF(AND(ISNUMBER(tblHorasJan[Saída - 2]),ISNUMBER(tblHorasJan[Entrada - 2 (Almoço)])),
              IF(OR(AND(tblHorasJan[Evento 
(2º Período)]&lt;&gt;"",IF(ISERROR(VLOOKUP(tblHorasJan[Evento 
(2º Período)],tblEvento[],Tabelas!$E$1,FALSE)),FALSE,VLOOKUP(tblHorasJan[Evento 
(2º Período)],tblEvento[],Tabelas!$E$1,FALSE)="Sim")),IF(VLOOKUP(TEXT(tblHorasJan[Data],"dddd"),tblDiaUtil[],2,FALSE)="Não",TRUE,FALSE)),
                   tblHorasJan[Saída - 2]-tblHorasJan[Entrada - 2 (Almoço)],
                   IF(OR(HOUR(tblHorasJan[Saída - 2]-tblHorasJan[Entrada - 2 (Almoço)])&gt;0,MINUTE(tblHorasJan[Saída - 2]-tblHorasJan[Entrada - 2 (Almoço)])&gt;CARENCIA),
                         tblHorasJan[Saída - 2]-tblHorasJan[Entrada - 2 (Almoço)],
                         0)),
       0)),0)</f>
        <v>0</v>
      </c>
      <c r="L20" s="4">
        <f>tblHorasJan[Horas Trabalhadas (1º Período)]+tblHorasJan[Horas Trabalhadas (2º Período)]</f>
        <v>0</v>
      </c>
      <c r="M20" s="4" t="str">
        <f>IF(tblHorasJan[Data]&lt;&gt;"",
        IF(
AND(VLOOKUP(TEXT(tblHorasJan[Data],"dddd"),tblDiaUtil[],3,FALSE)="Sim",IF(tblHorasJan[Evento 
(1º Período)]&lt;&gt;"",IF(VLOOKUP(tblHorasJan[Evento 
(1º Período)],tblEvento[],Tabelas!$E$1,FALSE)="Sim",FALSE,TRUE),TRUE),IF(tblHorasJan[Evento 
(2º Período)]&lt;&gt;"",IF(VLOOKUP(tblHorasJan[Evento 
(2º Período)],tblEvento[],Tabelas!$E$1,FALSE)="Sim",FALSE,TRUE),TRUE)),
              IF(VLOOKUP(tblHorasJan[Dia],tblDiaUtil[[Abreviatura]:[1º Período]],3,FALSE)&gt;0,VLOOKUP(tblHorasJan[Dia],tblDiaUtil[[Abreviatura]:[1º Período]],3,FALSE),JORNADA),
              ""),
         "")</f>
        <v/>
      </c>
      <c r="N20" s="14">
        <f>IF(OR(tblHorasJan[Horas Trabalhadas (1º Período)]&lt;&gt;0,tblHorasJan[Horas Trabalhadas (2º Período)]&lt;&gt;0),
        IF(ISNUMBER(tblHorasJan[Jornada Diária]),
              IF(tblHorasJan[Jornada Diária]&gt;(tblHorasJan[Horas Trabalhadas (2º Período)]+tblHorasJan[Horas Trabalhadas (1º Período)]),
                     IF(ROUND((tblHorasJan[Jornada Diária]-(tblHorasJan[Horas Trabalhadas (2º Período)]+tblHorasJan[Horas Trabalhadas (1º Período)])),6)&gt;ROUND(CARENCIA,6),
                           -tblHorasJan[Jornada Diária]+(tblHorasJan[Horas Trabalhadas (2º Período)]+tblHorasJan[Horas Trabalhadas (1º Período)]),
                           0),
                      IF(ROUND((tblHorasJan[Jornada Diária]-(tblHorasJan[Horas Trabalhadas (2º Período)]+tblHorasJan[Horas Trabalhadas (1º Período)])),6)&lt;ROUND(-CARENCIA,6),
                           -tblHorasJan[Jornada Diária]+(tblHorasJan[Horas Trabalhadas (2º Período)]+tblHorasJan[Horas Trabalhadas (1º Período)]),
                           0)),
              tblHorasJan[Horas Trabalhadas (2º Período)]+tblHorasJan[Horas Trabalhadas (1º Período)]),
         IF(AND(IF(ISERROR(VLOOKUP(tblHorasJan[Evento 
(1º Período)],tblEvento[[Evento]:[Libera o Período]],4,FALSE)),FALSE,IF(VLOOKUP(tblHorasJan[Evento 
(1º Período)],tblEvento[[Evento]:[Libera o Período]],4,FALSE)="Não",TRUE,FALSE)),IF(ISERROR(VLOOKUP(tblHorasJan[Evento 
(2º Período)],tblEvento[[Evento]:[Libera o Período]],4,FALSE)),FALSE,IF(VLOOKUP(tblHorasJan[Evento 
(2º Período)],tblEvento[[Evento]:[Libera o Período]],4,FALSE)="Não",TRUE,FALSE))),
-IF(VLOOKUP(tblHorasJan[Dia],tblDiaUtil[[Abreviatura]:[Total Jornada]],5,FALSE)&lt;&gt;"",VLOOKUP(tblHorasJan[Dia],tblDiaUtil[[Abreviatura]:[Total Jornada]],5,FALSE),JORNADA),
IF(IF(ISERROR(VLOOKUP(tblHorasJan[Evento 
(1º Período)],tblEvento[[Evento]:[Libera o Período]],4,FALSE)),FALSE,
IF(VLOOKUP(tblHorasJan[Evento 
(1º Período)],tblEvento[[Evento]:[Libera o Período]],4,FALSE)="Não",TRUE,FALSE)
),
-IF(VLOOKUP(tblHorasJan[Dia],tblDiaUtil[[Abreviatura]:[1º Período]],3,FALSE)&lt;&gt;"",VLOOKUP(tblHorasJan[Dia],tblDiaUtil[[Abreviatura]:[1º Período]],3,FALSE),JORNADA_PERIODO_1),
IF(IF(ISERROR(VLOOKUP(tblHorasJan[Evento 
(2º Período)],tblEvento[[Evento]:[Libera o Período]],4,FALSE)),FALSE,IF(VLOOKUP(tblHorasJan[Evento 
(2º Período)],tblEvento[[Evento]:[Libera o Período]],4,FALSE)="Não",TRUE,FALSE)),
-IF(VLOOKUP(tblHorasJan[Dia],tblDiaUtil[[Abreviatura]:[2º Período]],4,FALSE)&lt;&gt;"",VLOOKUP(tblHorasJan[Dia],tblDiaUtil[[Abreviatura]:[2º Período]],4,FALSE),JORNADA_PERIODO_2),0))))</f>
        <v>0</v>
      </c>
      <c r="O20" s="14">
        <f>IF(tblHorasJan[Horas Trabalhadas Além Jornada]&gt;0,
        IF(ISNUMBER(tblHorasJan[Jornada Diária]),
              IF(HOUR(tblHorasJan[Horas Trabalhadas Além Jornada])&gt;=VLOOKUP(LIMITE,tblLimiteHora[],Tabelas!$I$1,FALSE),
                    VLOOKUP(LIMITE,tblLimiteHora[],Tabelas!$J$1,FALSE),
                    tblHorasJan[Horas Trabalhadas Além Jornada]),
              tblHorasJan[Horas Trabalhadas Além Jornada]),
        tblHorasJan[Horas Trabalhadas Além Jornada])+O19</f>
        <v>0</v>
      </c>
      <c r="P20" s="14" t="str">
        <f>IF(tblHorasJan[Horas Trabalhadas Além Jornada]&lt;0,IF(OR(tblHorasJan[Evento 
(1º Período)]="",tblHorasJan[Evento 
(2º Período)]=""),tblHorasJan[Horas Trabalhadas Além Jornada],""),"")</f>
        <v/>
      </c>
      <c r="Q20" s="14" t="str">
        <f>IF(tblHorasJan[Jornada Diária]&lt;&gt;"",IF((N(tblHorasJan[Jornada Diária])-ABS(N(tblHorasJan[Horas Trabalhadas Além Jornada])))=0,1,""),"")</f>
        <v/>
      </c>
      <c r="R20" s="14" t="str">
        <f>IF(tblHorasJan[Horas Trabalhadas Além Jornada]&gt;0,
IF(AND(VLOOKUP(TEXT(tblHorasJan[Data],"dddd"),tblDiaUtil[],3,FALSE)="Sim",IF(tblHorasJan[Evento 
(1º Período)]&lt;&gt;"",IF(VLOOKUP(tblHorasJan[Evento 
(1º Período)],tblEvento[],Tabelas!$E$1,FALSE)="Sim",FALSE,TRUE),TRUE),IF(tblHorasJan[Evento 
(2º Período)]&lt;&gt;"",IF(VLOOKUP(tblHorasJan[Evento 
(2º Período)],tblEvento[],Tabelas!$E$1,FALSE)="Sim",FALSE,TRUE),TRUE)),
tblHorasJan[Horas Trabalhadas Além Jornada],""),"")</f>
        <v/>
      </c>
      <c r="S20" s="14" t="str">
        <f>IF(tblHorasJan[Horas Trabalhadas Além Jornada]&gt;0,
IF(OR(VLOOKUP(TEXT(tblHorasJan[Data],"dddd"),tblDiaUtil[],3,FALSE)="Não",IF(tblHorasJan[Evento 
(1º Período)]&lt;&gt;"",IF(VLOOKUP(tblHorasJan[Evento 
(1º Período)],tblEvento[],Tabelas!$E$1,FALSE)="Sim",TRUE,FALSE),FALSE),IF(tblHorasJan[Evento 
(2º Período)]&lt;&gt;"",IF(VLOOKUP(tblHorasJan[Evento 
(2º Período)],tblEvento[],Tabelas!$E$1,FALSE)="Sim",TRUE,FALSE),FALSE)),
tblHorasJan[Horas Trabalhadas Além Jornada],""),"")</f>
        <v/>
      </c>
      <c r="T20" s="15" t="str">
        <f>IF(tblHorasJan[Evento 
(1º Período)]&lt;&gt;""," - " &amp;VLOOKUP(tblHorasJan[Evento 
(1º Período)],tblEvento[],Tabelas!$F$1,FALSE),"")&amp;IF(AND(tblHorasJan[Evento 
(2º Período)]&lt;&gt;"",tblHorasJan[Evento 
(2º Período)]&lt;&gt;tblHorasJan[Evento 
(1º Período)])," - " &amp; VLOOKUP(tblHorasJan[Evento 
(2º Período)],tblEvento[],Tabelas!$F$1,FALSE),"")</f>
        <v/>
      </c>
    </row>
    <row r="21" spans="2:20" x14ac:dyDescent="0.25">
      <c r="B21" s="11" t="str">
        <f t="shared" si="0"/>
        <v/>
      </c>
      <c r="C21" s="12" t="str">
        <f>TEXT(tblHorasJan[Data],"ddd")</f>
        <v/>
      </c>
      <c r="D21" s="25"/>
      <c r="E21" s="1"/>
      <c r="F21" s="1"/>
      <c r="G21" s="1"/>
      <c r="H21" s="1"/>
      <c r="I21" s="53"/>
      <c r="J21" s="4">
        <f>IF($B$6&lt;&gt;"",
IF(AND(tblHorasJan[Evento 
(1º Período)]&lt;&gt;"",IF(ISERROR(VLOOKUP(tblHorasJan[Evento 
(1º Período)],tblEvento[],Tabelas!$D$1,FALSE)),FALSE,VLOOKUP(tblHorasJan[Evento 
(1º Período)],tblEvento[],Tabelas!$D$1,FALSE)="Sim")),
        IF(JORNADA_PERIODO_1&lt;&gt;"",
IF(VLOOKUP(tblHorasJan[Dia],tblDiaUtil[[Abreviatura]:[1º Período]],3,FALSE)&gt;0,VLOOKUP(tblHorasJan[Dia],tblDiaUtil[[Abreviatura]:[1º Período]],3,FALSE),JORNADA_PERIODO_1),
IF(VLOOKUP(tblHorasJan[Dia],tblDiaUtil[[Abreviatura]:[1º Período]],3,FALSE)&gt;0,VLOOKUP(tblHorasJan[Dia],tblDiaUtil[[Abreviatura]:[1º Período]],3,FALSE),JORNADA/2)),
        IF(AND(ISNUMBER(tblHorasJan[Saída - 1 (Almoço)]),ISNUMBER(tblHorasJan[Entrada - 1])),
              IF(OR(AND(tblHorasJan[Evento 
(1º Período)]&lt;&gt;"",IF(ISERROR(VLOOKUP(tblHorasJan[Evento 
(1º Período)],tblEvento[],Tabelas!$E$1,FALSE)),FALSE,VLOOKUP(tblHorasJan[Evento 
(1º Período)],tblEvento[],Tabelas!$E$1,FALSE)="Sim")),IF(VLOOKUP(TEXT(tblHorasJan[Data],"dddd"),tblDiaUtil[],2,FALSE)="Não",TRUE,FALSE)),
                   tblHorasJan[Saída - 1 (Almoço)]-tblHorasJan[Entrada - 1],
                   IF(OR(HOUR(tblHorasJan[Saída - 1 (Almoço)]-tblHorasJan[Entrada - 1])&gt;0,ROUND(tblHorasJan[Saída - 1 (Almoço)]-tblHorasJan[Entrada - 1],6)&gt;ROUND(CARENCIA,6)),
                          tblHorasJan[Saída - 1 (Almoço)]-tblHorasJan[Entrada - 1],
                          0)),
                    0)),0)</f>
        <v>0</v>
      </c>
      <c r="K21" s="4">
        <f>IF($B$6&lt;&gt;"",
IF(AND(tblHorasJan[Evento 
(2º Período)]&lt;&gt;"",IF(ISERROR(VLOOKUP(tblHorasJan[Evento 
(2º Período)],tblEvento[],Tabelas!$D$1,FALSE)),FALSE,VLOOKUP(tblHorasJan[Evento 
(2º Período)],tblEvento[],Tabelas!$D$1,FALSE)="Sim")),
        IF(JORNADA_PERIODO_2&lt;&gt;"",
IF(VLOOKUP(tblHorasJan[Dia],tblDiaUtil[[Abreviatura]:[2º Período]],4,FALSE)&gt;0,VLOOKUP(tblHorasJan[Dia],tblDiaUtil[[Abreviatura]:[2º Período]],4,FALSE),JORNADA_PERIODO_2),
IF(VLOOKUP(tblHorasJan[Dia],tblDiaUtil[[Abreviatura]:[2º Período]],4,FALSE)&gt;0,VLOOKUP(tblHorasJan[Dia],tblDiaUtil[[Abreviatura]:[2º Período]],4,FALSE),JORNADA/2)),
        IF(AND(ISNUMBER(tblHorasJan[Saída - 2]),ISNUMBER(tblHorasJan[Entrada - 2 (Almoço)])),
              IF(OR(AND(tblHorasJan[Evento 
(2º Período)]&lt;&gt;"",IF(ISERROR(VLOOKUP(tblHorasJan[Evento 
(2º Período)],tblEvento[],Tabelas!$E$1,FALSE)),FALSE,VLOOKUP(tblHorasJan[Evento 
(2º Período)],tblEvento[],Tabelas!$E$1,FALSE)="Sim")),IF(VLOOKUP(TEXT(tblHorasJan[Data],"dddd"),tblDiaUtil[],2,FALSE)="Não",TRUE,FALSE)),
                   tblHorasJan[Saída - 2]-tblHorasJan[Entrada - 2 (Almoço)],
                   IF(OR(HOUR(tblHorasJan[Saída - 2]-tblHorasJan[Entrada - 2 (Almoço)])&gt;0,MINUTE(tblHorasJan[Saída - 2]-tblHorasJan[Entrada - 2 (Almoço)])&gt;CARENCIA),
                         tblHorasJan[Saída - 2]-tblHorasJan[Entrada - 2 (Almoço)],
                         0)),
       0)),0)</f>
        <v>0</v>
      </c>
      <c r="L21" s="4">
        <f>tblHorasJan[Horas Trabalhadas (1º Período)]+tblHorasJan[Horas Trabalhadas (2º Período)]</f>
        <v>0</v>
      </c>
      <c r="M21" s="4" t="str">
        <f>IF(tblHorasJan[Data]&lt;&gt;"",
        IF(
AND(VLOOKUP(TEXT(tblHorasJan[Data],"dddd"),tblDiaUtil[],3,FALSE)="Sim",IF(tblHorasJan[Evento 
(1º Período)]&lt;&gt;"",IF(VLOOKUP(tblHorasJan[Evento 
(1º Período)],tblEvento[],Tabelas!$E$1,FALSE)="Sim",FALSE,TRUE),TRUE),IF(tblHorasJan[Evento 
(2º Período)]&lt;&gt;"",IF(VLOOKUP(tblHorasJan[Evento 
(2º Período)],tblEvento[],Tabelas!$E$1,FALSE)="Sim",FALSE,TRUE),TRUE)),
              IF(VLOOKUP(tblHorasJan[Dia],tblDiaUtil[[Abreviatura]:[1º Período]],3,FALSE)&gt;0,VLOOKUP(tblHorasJan[Dia],tblDiaUtil[[Abreviatura]:[1º Período]],3,FALSE),JORNADA),
              ""),
         "")</f>
        <v/>
      </c>
      <c r="N21" s="14">
        <f>IF(OR(tblHorasJan[Horas Trabalhadas (1º Período)]&lt;&gt;0,tblHorasJan[Horas Trabalhadas (2º Período)]&lt;&gt;0),
        IF(ISNUMBER(tblHorasJan[Jornada Diária]),
              IF(tblHorasJan[Jornada Diária]&gt;(tblHorasJan[Horas Trabalhadas (2º Período)]+tblHorasJan[Horas Trabalhadas (1º Período)]),
                     IF(ROUND((tblHorasJan[Jornada Diária]-(tblHorasJan[Horas Trabalhadas (2º Período)]+tblHorasJan[Horas Trabalhadas (1º Período)])),6)&gt;ROUND(CARENCIA,6),
                           -tblHorasJan[Jornada Diária]+(tblHorasJan[Horas Trabalhadas (2º Período)]+tblHorasJan[Horas Trabalhadas (1º Período)]),
                           0),
                      IF(ROUND((tblHorasJan[Jornada Diária]-(tblHorasJan[Horas Trabalhadas (2º Período)]+tblHorasJan[Horas Trabalhadas (1º Período)])),6)&lt;ROUND(-CARENCIA,6),
                           -tblHorasJan[Jornada Diária]+(tblHorasJan[Horas Trabalhadas (2º Período)]+tblHorasJan[Horas Trabalhadas (1º Período)]),
                           0)),
              tblHorasJan[Horas Trabalhadas (2º Período)]+tblHorasJan[Horas Trabalhadas (1º Período)]),
         IF(AND(IF(ISERROR(VLOOKUP(tblHorasJan[Evento 
(1º Período)],tblEvento[[Evento]:[Libera o Período]],4,FALSE)),FALSE,IF(VLOOKUP(tblHorasJan[Evento 
(1º Período)],tblEvento[[Evento]:[Libera o Período]],4,FALSE)="Não",TRUE,FALSE)),IF(ISERROR(VLOOKUP(tblHorasJan[Evento 
(2º Período)],tblEvento[[Evento]:[Libera o Período]],4,FALSE)),FALSE,IF(VLOOKUP(tblHorasJan[Evento 
(2º Período)],tblEvento[[Evento]:[Libera o Período]],4,FALSE)="Não",TRUE,FALSE))),
-IF(VLOOKUP(tblHorasJan[Dia],tblDiaUtil[[Abreviatura]:[Total Jornada]],5,FALSE)&lt;&gt;"",VLOOKUP(tblHorasJan[Dia],tblDiaUtil[[Abreviatura]:[Total Jornada]],5,FALSE),JORNADA),
IF(IF(ISERROR(VLOOKUP(tblHorasJan[Evento 
(1º Período)],tblEvento[[Evento]:[Libera o Período]],4,FALSE)),FALSE,
IF(VLOOKUP(tblHorasJan[Evento 
(1º Período)],tblEvento[[Evento]:[Libera o Período]],4,FALSE)="Não",TRUE,FALSE)
),
-IF(VLOOKUP(tblHorasJan[Dia],tblDiaUtil[[Abreviatura]:[1º Período]],3,FALSE)&lt;&gt;"",VLOOKUP(tblHorasJan[Dia],tblDiaUtil[[Abreviatura]:[1º Período]],3,FALSE),JORNADA_PERIODO_1),
IF(IF(ISERROR(VLOOKUP(tblHorasJan[Evento 
(2º Período)],tblEvento[[Evento]:[Libera o Período]],4,FALSE)),FALSE,IF(VLOOKUP(tblHorasJan[Evento 
(2º Período)],tblEvento[[Evento]:[Libera o Período]],4,FALSE)="Não",TRUE,FALSE)),
-IF(VLOOKUP(tblHorasJan[Dia],tblDiaUtil[[Abreviatura]:[2º Período]],4,FALSE)&lt;&gt;"",VLOOKUP(tblHorasJan[Dia],tblDiaUtil[[Abreviatura]:[2º Período]],4,FALSE),JORNADA_PERIODO_2),0))))</f>
        <v>0</v>
      </c>
      <c r="O21" s="14">
        <f>IF(tblHorasJan[Horas Trabalhadas Além Jornada]&gt;0,
        IF(ISNUMBER(tblHorasJan[Jornada Diária]),
              IF(HOUR(tblHorasJan[Horas Trabalhadas Além Jornada])&gt;=VLOOKUP(LIMITE,tblLimiteHora[],Tabelas!$I$1,FALSE),
                    VLOOKUP(LIMITE,tblLimiteHora[],Tabelas!$J$1,FALSE),
                    tblHorasJan[Horas Trabalhadas Além Jornada]),
              tblHorasJan[Horas Trabalhadas Além Jornada]),
        tblHorasJan[Horas Trabalhadas Além Jornada])+O20</f>
        <v>0</v>
      </c>
      <c r="P21" s="14" t="str">
        <f>IF(tblHorasJan[Horas Trabalhadas Além Jornada]&lt;0,IF(OR(tblHorasJan[Evento 
(1º Período)]="",tblHorasJan[Evento 
(2º Período)]=""),tblHorasJan[Horas Trabalhadas Além Jornada],""),"")</f>
        <v/>
      </c>
      <c r="Q21" s="14" t="str">
        <f>IF(tblHorasJan[Jornada Diária]&lt;&gt;"",IF((N(tblHorasJan[Jornada Diária])-ABS(N(tblHorasJan[Horas Trabalhadas Além Jornada])))=0,1,""),"")</f>
        <v/>
      </c>
      <c r="R21" s="14" t="str">
        <f>IF(tblHorasJan[Horas Trabalhadas Além Jornada]&gt;0,
IF(AND(VLOOKUP(TEXT(tblHorasJan[Data],"dddd"),tblDiaUtil[],3,FALSE)="Sim",IF(tblHorasJan[Evento 
(1º Período)]&lt;&gt;"",IF(VLOOKUP(tblHorasJan[Evento 
(1º Período)],tblEvento[],Tabelas!$E$1,FALSE)="Sim",FALSE,TRUE),TRUE),IF(tblHorasJan[Evento 
(2º Período)]&lt;&gt;"",IF(VLOOKUP(tblHorasJan[Evento 
(2º Período)],tblEvento[],Tabelas!$E$1,FALSE)="Sim",FALSE,TRUE),TRUE)),
tblHorasJan[Horas Trabalhadas Além Jornada],""),"")</f>
        <v/>
      </c>
      <c r="S21" s="14" t="str">
        <f>IF(tblHorasJan[Horas Trabalhadas Além Jornada]&gt;0,
IF(OR(VLOOKUP(TEXT(tblHorasJan[Data],"dddd"),tblDiaUtil[],3,FALSE)="Não",IF(tblHorasJan[Evento 
(1º Período)]&lt;&gt;"",IF(VLOOKUP(tblHorasJan[Evento 
(1º Período)],tblEvento[],Tabelas!$E$1,FALSE)="Sim",TRUE,FALSE),FALSE),IF(tblHorasJan[Evento 
(2º Período)]&lt;&gt;"",IF(VLOOKUP(tblHorasJan[Evento 
(2º Período)],tblEvento[],Tabelas!$E$1,FALSE)="Sim",TRUE,FALSE),FALSE)),
tblHorasJan[Horas Trabalhadas Além Jornada],""),"")</f>
        <v/>
      </c>
      <c r="T21" s="15" t="str">
        <f>IF(tblHorasJan[Evento 
(1º Período)]&lt;&gt;""," - " &amp;VLOOKUP(tblHorasJan[Evento 
(1º Período)],tblEvento[],Tabelas!$F$1,FALSE),"")&amp;IF(AND(tblHorasJan[Evento 
(2º Período)]&lt;&gt;"",tblHorasJan[Evento 
(2º Período)]&lt;&gt;tblHorasJan[Evento 
(1º Período)])," - " &amp; VLOOKUP(tblHorasJan[Evento 
(2º Período)],tblEvento[],Tabelas!$F$1,FALSE),"")</f>
        <v/>
      </c>
    </row>
    <row r="22" spans="2:20" x14ac:dyDescent="0.25">
      <c r="B22" s="11" t="str">
        <f t="shared" si="0"/>
        <v/>
      </c>
      <c r="C22" s="12" t="str">
        <f>TEXT(tblHorasJan[Data],"ddd")</f>
        <v/>
      </c>
      <c r="D22" s="25"/>
      <c r="E22" s="1"/>
      <c r="F22" s="1"/>
      <c r="G22" s="1"/>
      <c r="H22" s="1"/>
      <c r="I22" s="53"/>
      <c r="J22" s="4">
        <f>IF($B$6&lt;&gt;"",
IF(AND(tblHorasJan[Evento 
(1º Período)]&lt;&gt;"",IF(ISERROR(VLOOKUP(tblHorasJan[Evento 
(1º Período)],tblEvento[],Tabelas!$D$1,FALSE)),FALSE,VLOOKUP(tblHorasJan[Evento 
(1º Período)],tblEvento[],Tabelas!$D$1,FALSE)="Sim")),
        IF(JORNADA_PERIODO_1&lt;&gt;"",
IF(VLOOKUP(tblHorasJan[Dia],tblDiaUtil[[Abreviatura]:[1º Período]],3,FALSE)&gt;0,VLOOKUP(tblHorasJan[Dia],tblDiaUtil[[Abreviatura]:[1º Período]],3,FALSE),JORNADA_PERIODO_1),
IF(VLOOKUP(tblHorasJan[Dia],tblDiaUtil[[Abreviatura]:[1º Período]],3,FALSE)&gt;0,VLOOKUP(tblHorasJan[Dia],tblDiaUtil[[Abreviatura]:[1º Período]],3,FALSE),JORNADA/2)),
        IF(AND(ISNUMBER(tblHorasJan[Saída - 1 (Almoço)]),ISNUMBER(tblHorasJan[Entrada - 1])),
              IF(OR(AND(tblHorasJan[Evento 
(1º Período)]&lt;&gt;"",IF(ISERROR(VLOOKUP(tblHorasJan[Evento 
(1º Período)],tblEvento[],Tabelas!$E$1,FALSE)),FALSE,VLOOKUP(tblHorasJan[Evento 
(1º Período)],tblEvento[],Tabelas!$E$1,FALSE)="Sim")),IF(VLOOKUP(TEXT(tblHorasJan[Data],"dddd"),tblDiaUtil[],2,FALSE)="Não",TRUE,FALSE)),
                   tblHorasJan[Saída - 1 (Almoço)]-tblHorasJan[Entrada - 1],
                   IF(OR(HOUR(tblHorasJan[Saída - 1 (Almoço)]-tblHorasJan[Entrada - 1])&gt;0,ROUND(tblHorasJan[Saída - 1 (Almoço)]-tblHorasJan[Entrada - 1],6)&gt;ROUND(CARENCIA,6)),
                          tblHorasJan[Saída - 1 (Almoço)]-tblHorasJan[Entrada - 1],
                          0)),
                    0)),0)</f>
        <v>0</v>
      </c>
      <c r="K22" s="4">
        <f>IF($B$6&lt;&gt;"",
IF(AND(tblHorasJan[Evento 
(2º Período)]&lt;&gt;"",IF(ISERROR(VLOOKUP(tblHorasJan[Evento 
(2º Período)],tblEvento[],Tabelas!$D$1,FALSE)),FALSE,VLOOKUP(tblHorasJan[Evento 
(2º Período)],tblEvento[],Tabelas!$D$1,FALSE)="Sim")),
        IF(JORNADA_PERIODO_2&lt;&gt;"",
IF(VLOOKUP(tblHorasJan[Dia],tblDiaUtil[[Abreviatura]:[2º Período]],4,FALSE)&gt;0,VLOOKUP(tblHorasJan[Dia],tblDiaUtil[[Abreviatura]:[2º Período]],4,FALSE),JORNADA_PERIODO_2),
IF(VLOOKUP(tblHorasJan[Dia],tblDiaUtil[[Abreviatura]:[2º Período]],4,FALSE)&gt;0,VLOOKUP(tblHorasJan[Dia],tblDiaUtil[[Abreviatura]:[2º Período]],4,FALSE),JORNADA/2)),
        IF(AND(ISNUMBER(tblHorasJan[Saída - 2]),ISNUMBER(tblHorasJan[Entrada - 2 (Almoço)])),
              IF(OR(AND(tblHorasJan[Evento 
(2º Período)]&lt;&gt;"",IF(ISERROR(VLOOKUP(tblHorasJan[Evento 
(2º Período)],tblEvento[],Tabelas!$E$1,FALSE)),FALSE,VLOOKUP(tblHorasJan[Evento 
(2º Período)],tblEvento[],Tabelas!$E$1,FALSE)="Sim")),IF(VLOOKUP(TEXT(tblHorasJan[Data],"dddd"),tblDiaUtil[],2,FALSE)="Não",TRUE,FALSE)),
                   tblHorasJan[Saída - 2]-tblHorasJan[Entrada - 2 (Almoço)],
                   IF(OR(HOUR(tblHorasJan[Saída - 2]-tblHorasJan[Entrada - 2 (Almoço)])&gt;0,MINUTE(tblHorasJan[Saída - 2]-tblHorasJan[Entrada - 2 (Almoço)])&gt;CARENCIA),
                         tblHorasJan[Saída - 2]-tblHorasJan[Entrada - 2 (Almoço)],
                         0)),
       0)),0)</f>
        <v>0</v>
      </c>
      <c r="L22" s="4">
        <f>tblHorasJan[Horas Trabalhadas (1º Período)]+tblHorasJan[Horas Trabalhadas (2º Período)]</f>
        <v>0</v>
      </c>
      <c r="M22" s="4" t="str">
        <f>IF(tblHorasJan[Data]&lt;&gt;"",
        IF(
AND(VLOOKUP(TEXT(tblHorasJan[Data],"dddd"),tblDiaUtil[],3,FALSE)="Sim",IF(tblHorasJan[Evento 
(1º Período)]&lt;&gt;"",IF(VLOOKUP(tblHorasJan[Evento 
(1º Período)],tblEvento[],Tabelas!$E$1,FALSE)="Sim",FALSE,TRUE),TRUE),IF(tblHorasJan[Evento 
(2º Período)]&lt;&gt;"",IF(VLOOKUP(tblHorasJan[Evento 
(2º Período)],tblEvento[],Tabelas!$E$1,FALSE)="Sim",FALSE,TRUE),TRUE)),
              IF(VLOOKUP(tblHorasJan[Dia],tblDiaUtil[[Abreviatura]:[1º Período]],3,FALSE)&gt;0,VLOOKUP(tblHorasJan[Dia],tblDiaUtil[[Abreviatura]:[1º Período]],3,FALSE),JORNADA),
              ""),
         "")</f>
        <v/>
      </c>
      <c r="N22" s="14">
        <f>IF(OR(tblHorasJan[Horas Trabalhadas (1º Período)]&lt;&gt;0,tblHorasJan[Horas Trabalhadas (2º Período)]&lt;&gt;0),
        IF(ISNUMBER(tblHorasJan[Jornada Diária]),
              IF(tblHorasJan[Jornada Diária]&gt;(tblHorasJan[Horas Trabalhadas (2º Período)]+tblHorasJan[Horas Trabalhadas (1º Período)]),
                     IF(ROUND((tblHorasJan[Jornada Diária]-(tblHorasJan[Horas Trabalhadas (2º Período)]+tblHorasJan[Horas Trabalhadas (1º Período)])),6)&gt;ROUND(CARENCIA,6),
                           -tblHorasJan[Jornada Diária]+(tblHorasJan[Horas Trabalhadas (2º Período)]+tblHorasJan[Horas Trabalhadas (1º Período)]),
                           0),
                      IF(ROUND((tblHorasJan[Jornada Diária]-(tblHorasJan[Horas Trabalhadas (2º Período)]+tblHorasJan[Horas Trabalhadas (1º Período)])),6)&lt;ROUND(-CARENCIA,6),
                           -tblHorasJan[Jornada Diária]+(tblHorasJan[Horas Trabalhadas (2º Período)]+tblHorasJan[Horas Trabalhadas (1º Período)]),
                           0)),
              tblHorasJan[Horas Trabalhadas (2º Período)]+tblHorasJan[Horas Trabalhadas (1º Período)]),
         IF(AND(IF(ISERROR(VLOOKUP(tblHorasJan[Evento 
(1º Período)],tblEvento[[Evento]:[Libera o Período]],4,FALSE)),FALSE,IF(VLOOKUP(tblHorasJan[Evento 
(1º Período)],tblEvento[[Evento]:[Libera o Período]],4,FALSE)="Não",TRUE,FALSE)),IF(ISERROR(VLOOKUP(tblHorasJan[Evento 
(2º Período)],tblEvento[[Evento]:[Libera o Período]],4,FALSE)),FALSE,IF(VLOOKUP(tblHorasJan[Evento 
(2º Período)],tblEvento[[Evento]:[Libera o Período]],4,FALSE)="Não",TRUE,FALSE))),
-IF(VLOOKUP(tblHorasJan[Dia],tblDiaUtil[[Abreviatura]:[Total Jornada]],5,FALSE)&lt;&gt;"",VLOOKUP(tblHorasJan[Dia],tblDiaUtil[[Abreviatura]:[Total Jornada]],5,FALSE),JORNADA),
IF(IF(ISERROR(VLOOKUP(tblHorasJan[Evento 
(1º Período)],tblEvento[[Evento]:[Libera o Período]],4,FALSE)),FALSE,
IF(VLOOKUP(tblHorasJan[Evento 
(1º Período)],tblEvento[[Evento]:[Libera o Período]],4,FALSE)="Não",TRUE,FALSE)
),
-IF(VLOOKUP(tblHorasJan[Dia],tblDiaUtil[[Abreviatura]:[1º Período]],3,FALSE)&lt;&gt;"",VLOOKUP(tblHorasJan[Dia],tblDiaUtil[[Abreviatura]:[1º Período]],3,FALSE),JORNADA_PERIODO_1),
IF(IF(ISERROR(VLOOKUP(tblHorasJan[Evento 
(2º Período)],tblEvento[[Evento]:[Libera o Período]],4,FALSE)),FALSE,IF(VLOOKUP(tblHorasJan[Evento 
(2º Período)],tblEvento[[Evento]:[Libera o Período]],4,FALSE)="Não",TRUE,FALSE)),
-IF(VLOOKUP(tblHorasJan[Dia],tblDiaUtil[[Abreviatura]:[2º Período]],4,FALSE)&lt;&gt;"",VLOOKUP(tblHorasJan[Dia],tblDiaUtil[[Abreviatura]:[2º Período]],4,FALSE),JORNADA_PERIODO_2),0))))</f>
        <v>0</v>
      </c>
      <c r="O22" s="14">
        <f>IF(tblHorasJan[Horas Trabalhadas Além Jornada]&gt;0,
        IF(ISNUMBER(tblHorasJan[Jornada Diária]),
              IF(HOUR(tblHorasJan[Horas Trabalhadas Além Jornada])&gt;=VLOOKUP(LIMITE,tblLimiteHora[],Tabelas!$I$1,FALSE),
                    VLOOKUP(LIMITE,tblLimiteHora[],Tabelas!$J$1,FALSE),
                    tblHorasJan[Horas Trabalhadas Além Jornada]),
              tblHorasJan[Horas Trabalhadas Além Jornada]),
        tblHorasJan[Horas Trabalhadas Além Jornada])+O21</f>
        <v>0</v>
      </c>
      <c r="P22" s="14" t="str">
        <f>IF(tblHorasJan[Horas Trabalhadas Além Jornada]&lt;0,IF(OR(tblHorasJan[Evento 
(1º Período)]="",tblHorasJan[Evento 
(2º Período)]=""),tblHorasJan[Horas Trabalhadas Além Jornada],""),"")</f>
        <v/>
      </c>
      <c r="Q22" s="14" t="str">
        <f>IF(tblHorasJan[Jornada Diária]&lt;&gt;"",IF((N(tblHorasJan[Jornada Diária])-ABS(N(tblHorasJan[Horas Trabalhadas Além Jornada])))=0,1,""),"")</f>
        <v/>
      </c>
      <c r="R22" s="14" t="str">
        <f>IF(tblHorasJan[Horas Trabalhadas Além Jornada]&gt;0,
IF(AND(VLOOKUP(TEXT(tblHorasJan[Data],"dddd"),tblDiaUtil[],3,FALSE)="Sim",IF(tblHorasJan[Evento 
(1º Período)]&lt;&gt;"",IF(VLOOKUP(tblHorasJan[Evento 
(1º Período)],tblEvento[],Tabelas!$E$1,FALSE)="Sim",FALSE,TRUE),TRUE),IF(tblHorasJan[Evento 
(2º Período)]&lt;&gt;"",IF(VLOOKUP(tblHorasJan[Evento 
(2º Período)],tblEvento[],Tabelas!$E$1,FALSE)="Sim",FALSE,TRUE),TRUE)),
tblHorasJan[Horas Trabalhadas Além Jornada],""),"")</f>
        <v/>
      </c>
      <c r="S22" s="14" t="str">
        <f>IF(tblHorasJan[Horas Trabalhadas Além Jornada]&gt;0,
IF(OR(VLOOKUP(TEXT(tblHorasJan[Data],"dddd"),tblDiaUtil[],3,FALSE)="Não",IF(tblHorasJan[Evento 
(1º Período)]&lt;&gt;"",IF(VLOOKUP(tblHorasJan[Evento 
(1º Período)],tblEvento[],Tabelas!$E$1,FALSE)="Sim",TRUE,FALSE),FALSE),IF(tblHorasJan[Evento 
(2º Período)]&lt;&gt;"",IF(VLOOKUP(tblHorasJan[Evento 
(2º Período)],tblEvento[],Tabelas!$E$1,FALSE)="Sim",TRUE,FALSE),FALSE)),
tblHorasJan[Horas Trabalhadas Além Jornada],""),"")</f>
        <v/>
      </c>
      <c r="T22" s="15" t="str">
        <f>IF(tblHorasJan[Evento 
(1º Período)]&lt;&gt;""," - " &amp;VLOOKUP(tblHorasJan[Evento 
(1º Período)],tblEvento[],Tabelas!$F$1,FALSE),"")&amp;IF(AND(tblHorasJan[Evento 
(2º Período)]&lt;&gt;"",tblHorasJan[Evento 
(2º Período)]&lt;&gt;tblHorasJan[Evento 
(1º Período)])," - " &amp; VLOOKUP(tblHorasJan[Evento 
(2º Período)],tblEvento[],Tabelas!$F$1,FALSE),"")</f>
        <v/>
      </c>
    </row>
    <row r="23" spans="2:20" x14ac:dyDescent="0.25">
      <c r="B23" s="11" t="str">
        <f t="shared" si="0"/>
        <v/>
      </c>
      <c r="C23" s="12" t="str">
        <f>TEXT(tblHorasJan[Data],"ddd")</f>
        <v/>
      </c>
      <c r="D23" s="25"/>
      <c r="E23" s="1"/>
      <c r="F23" s="1"/>
      <c r="G23" s="1"/>
      <c r="H23" s="1"/>
      <c r="I23" s="53"/>
      <c r="J23" s="4">
        <f>IF($B$6&lt;&gt;"",
IF(AND(tblHorasJan[Evento 
(1º Período)]&lt;&gt;"",IF(ISERROR(VLOOKUP(tblHorasJan[Evento 
(1º Período)],tblEvento[],Tabelas!$D$1,FALSE)),FALSE,VLOOKUP(tblHorasJan[Evento 
(1º Período)],tblEvento[],Tabelas!$D$1,FALSE)="Sim")),
        IF(JORNADA_PERIODO_1&lt;&gt;"",
IF(VLOOKUP(tblHorasJan[Dia],tblDiaUtil[[Abreviatura]:[1º Período]],3,FALSE)&gt;0,VLOOKUP(tblHorasJan[Dia],tblDiaUtil[[Abreviatura]:[1º Período]],3,FALSE),JORNADA_PERIODO_1),
IF(VLOOKUP(tblHorasJan[Dia],tblDiaUtil[[Abreviatura]:[1º Período]],3,FALSE)&gt;0,VLOOKUP(tblHorasJan[Dia],tblDiaUtil[[Abreviatura]:[1º Período]],3,FALSE),JORNADA/2)),
        IF(AND(ISNUMBER(tblHorasJan[Saída - 1 (Almoço)]),ISNUMBER(tblHorasJan[Entrada - 1])),
              IF(OR(AND(tblHorasJan[Evento 
(1º Período)]&lt;&gt;"",IF(ISERROR(VLOOKUP(tblHorasJan[Evento 
(1º Período)],tblEvento[],Tabelas!$E$1,FALSE)),FALSE,VLOOKUP(tblHorasJan[Evento 
(1º Período)],tblEvento[],Tabelas!$E$1,FALSE)="Sim")),IF(VLOOKUP(TEXT(tblHorasJan[Data],"dddd"),tblDiaUtil[],2,FALSE)="Não",TRUE,FALSE)),
                   tblHorasJan[Saída - 1 (Almoço)]-tblHorasJan[Entrada - 1],
                   IF(OR(HOUR(tblHorasJan[Saída - 1 (Almoço)]-tblHorasJan[Entrada - 1])&gt;0,ROUND(tblHorasJan[Saída - 1 (Almoço)]-tblHorasJan[Entrada - 1],6)&gt;ROUND(CARENCIA,6)),
                          tblHorasJan[Saída - 1 (Almoço)]-tblHorasJan[Entrada - 1],
                          0)),
                    0)),0)</f>
        <v>0</v>
      </c>
      <c r="K23" s="4">
        <f>IF($B$6&lt;&gt;"",
IF(AND(tblHorasJan[Evento 
(2º Período)]&lt;&gt;"",IF(ISERROR(VLOOKUP(tblHorasJan[Evento 
(2º Período)],tblEvento[],Tabelas!$D$1,FALSE)),FALSE,VLOOKUP(tblHorasJan[Evento 
(2º Período)],tblEvento[],Tabelas!$D$1,FALSE)="Sim")),
        IF(JORNADA_PERIODO_2&lt;&gt;"",
IF(VLOOKUP(tblHorasJan[Dia],tblDiaUtil[[Abreviatura]:[2º Período]],4,FALSE)&gt;0,VLOOKUP(tblHorasJan[Dia],tblDiaUtil[[Abreviatura]:[2º Período]],4,FALSE),JORNADA_PERIODO_2),
IF(VLOOKUP(tblHorasJan[Dia],tblDiaUtil[[Abreviatura]:[2º Período]],4,FALSE)&gt;0,VLOOKUP(tblHorasJan[Dia],tblDiaUtil[[Abreviatura]:[2º Período]],4,FALSE),JORNADA/2)),
        IF(AND(ISNUMBER(tblHorasJan[Saída - 2]),ISNUMBER(tblHorasJan[Entrada - 2 (Almoço)])),
              IF(OR(AND(tblHorasJan[Evento 
(2º Período)]&lt;&gt;"",IF(ISERROR(VLOOKUP(tblHorasJan[Evento 
(2º Período)],tblEvento[],Tabelas!$E$1,FALSE)),FALSE,VLOOKUP(tblHorasJan[Evento 
(2º Período)],tblEvento[],Tabelas!$E$1,FALSE)="Sim")),IF(VLOOKUP(TEXT(tblHorasJan[Data],"dddd"),tblDiaUtil[],2,FALSE)="Não",TRUE,FALSE)),
                   tblHorasJan[Saída - 2]-tblHorasJan[Entrada - 2 (Almoço)],
                   IF(OR(HOUR(tblHorasJan[Saída - 2]-tblHorasJan[Entrada - 2 (Almoço)])&gt;0,MINUTE(tblHorasJan[Saída - 2]-tblHorasJan[Entrada - 2 (Almoço)])&gt;CARENCIA),
                         tblHorasJan[Saída - 2]-tblHorasJan[Entrada - 2 (Almoço)],
                         0)),
       0)),0)</f>
        <v>0</v>
      </c>
      <c r="L23" s="4">
        <f>tblHorasJan[Horas Trabalhadas (1º Período)]+tblHorasJan[Horas Trabalhadas (2º Período)]</f>
        <v>0</v>
      </c>
      <c r="M23" s="4" t="str">
        <f>IF(tblHorasJan[Data]&lt;&gt;"",
        IF(
AND(VLOOKUP(TEXT(tblHorasJan[Data],"dddd"),tblDiaUtil[],3,FALSE)="Sim",IF(tblHorasJan[Evento 
(1º Período)]&lt;&gt;"",IF(VLOOKUP(tblHorasJan[Evento 
(1º Período)],tblEvento[],Tabelas!$E$1,FALSE)="Sim",FALSE,TRUE),TRUE),IF(tblHorasJan[Evento 
(2º Período)]&lt;&gt;"",IF(VLOOKUP(tblHorasJan[Evento 
(2º Período)],tblEvento[],Tabelas!$E$1,FALSE)="Sim",FALSE,TRUE),TRUE)),
              IF(VLOOKUP(tblHorasJan[Dia],tblDiaUtil[[Abreviatura]:[1º Período]],3,FALSE)&gt;0,VLOOKUP(tblHorasJan[Dia],tblDiaUtil[[Abreviatura]:[1º Período]],3,FALSE),JORNADA),
              ""),
         "")</f>
        <v/>
      </c>
      <c r="N23" s="14">
        <f>IF(OR(tblHorasJan[Horas Trabalhadas (1º Período)]&lt;&gt;0,tblHorasJan[Horas Trabalhadas (2º Período)]&lt;&gt;0),
        IF(ISNUMBER(tblHorasJan[Jornada Diária]),
              IF(tblHorasJan[Jornada Diária]&gt;(tblHorasJan[Horas Trabalhadas (2º Período)]+tblHorasJan[Horas Trabalhadas (1º Período)]),
                     IF(ROUND((tblHorasJan[Jornada Diária]-(tblHorasJan[Horas Trabalhadas (2º Período)]+tblHorasJan[Horas Trabalhadas (1º Período)])),6)&gt;ROUND(CARENCIA,6),
                           -tblHorasJan[Jornada Diária]+(tblHorasJan[Horas Trabalhadas (2º Período)]+tblHorasJan[Horas Trabalhadas (1º Período)]),
                           0),
                      IF(ROUND((tblHorasJan[Jornada Diária]-(tblHorasJan[Horas Trabalhadas (2º Período)]+tblHorasJan[Horas Trabalhadas (1º Período)])),6)&lt;ROUND(-CARENCIA,6),
                           -tblHorasJan[Jornada Diária]+(tblHorasJan[Horas Trabalhadas (2º Período)]+tblHorasJan[Horas Trabalhadas (1º Período)]),
                           0)),
              tblHorasJan[Horas Trabalhadas (2º Período)]+tblHorasJan[Horas Trabalhadas (1º Período)]),
         IF(AND(IF(ISERROR(VLOOKUP(tblHorasJan[Evento 
(1º Período)],tblEvento[[Evento]:[Libera o Período]],4,FALSE)),FALSE,IF(VLOOKUP(tblHorasJan[Evento 
(1º Período)],tblEvento[[Evento]:[Libera o Período]],4,FALSE)="Não",TRUE,FALSE)),IF(ISERROR(VLOOKUP(tblHorasJan[Evento 
(2º Período)],tblEvento[[Evento]:[Libera o Período]],4,FALSE)),FALSE,IF(VLOOKUP(tblHorasJan[Evento 
(2º Período)],tblEvento[[Evento]:[Libera o Período]],4,FALSE)="Não",TRUE,FALSE))),
-IF(VLOOKUP(tblHorasJan[Dia],tblDiaUtil[[Abreviatura]:[Total Jornada]],5,FALSE)&lt;&gt;"",VLOOKUP(tblHorasJan[Dia],tblDiaUtil[[Abreviatura]:[Total Jornada]],5,FALSE),JORNADA),
IF(IF(ISERROR(VLOOKUP(tblHorasJan[Evento 
(1º Período)],tblEvento[[Evento]:[Libera o Período]],4,FALSE)),FALSE,
IF(VLOOKUP(tblHorasJan[Evento 
(1º Período)],tblEvento[[Evento]:[Libera o Período]],4,FALSE)="Não",TRUE,FALSE)
),
-IF(VLOOKUP(tblHorasJan[Dia],tblDiaUtil[[Abreviatura]:[1º Período]],3,FALSE)&lt;&gt;"",VLOOKUP(tblHorasJan[Dia],tblDiaUtil[[Abreviatura]:[1º Período]],3,FALSE),JORNADA_PERIODO_1),
IF(IF(ISERROR(VLOOKUP(tblHorasJan[Evento 
(2º Período)],tblEvento[[Evento]:[Libera o Período]],4,FALSE)),FALSE,IF(VLOOKUP(tblHorasJan[Evento 
(2º Período)],tblEvento[[Evento]:[Libera o Período]],4,FALSE)="Não",TRUE,FALSE)),
-IF(VLOOKUP(tblHorasJan[Dia],tblDiaUtil[[Abreviatura]:[2º Período]],4,FALSE)&lt;&gt;"",VLOOKUP(tblHorasJan[Dia],tblDiaUtil[[Abreviatura]:[2º Período]],4,FALSE),JORNADA_PERIODO_2),0))))</f>
        <v>0</v>
      </c>
      <c r="O23" s="14">
        <f>IF(tblHorasJan[Horas Trabalhadas Além Jornada]&gt;0,
        IF(ISNUMBER(tblHorasJan[Jornada Diária]),
              IF(HOUR(tblHorasJan[Horas Trabalhadas Além Jornada])&gt;=VLOOKUP(LIMITE,tblLimiteHora[],Tabelas!$I$1,FALSE),
                    VLOOKUP(LIMITE,tblLimiteHora[],Tabelas!$J$1,FALSE),
                    tblHorasJan[Horas Trabalhadas Além Jornada]),
              tblHorasJan[Horas Trabalhadas Além Jornada]),
        tblHorasJan[Horas Trabalhadas Além Jornada])+O22</f>
        <v>0</v>
      </c>
      <c r="P23" s="14" t="str">
        <f>IF(tblHorasJan[Horas Trabalhadas Além Jornada]&lt;0,IF(OR(tblHorasJan[Evento 
(1º Período)]="",tblHorasJan[Evento 
(2º Período)]=""),tblHorasJan[Horas Trabalhadas Além Jornada],""),"")</f>
        <v/>
      </c>
      <c r="Q23" s="14" t="str">
        <f>IF(tblHorasJan[Jornada Diária]&lt;&gt;"",IF((N(tblHorasJan[Jornada Diária])-ABS(N(tblHorasJan[Horas Trabalhadas Além Jornada])))=0,1,""),"")</f>
        <v/>
      </c>
      <c r="R23" s="14" t="str">
        <f>IF(tblHorasJan[Horas Trabalhadas Além Jornada]&gt;0,
IF(AND(VLOOKUP(TEXT(tblHorasJan[Data],"dddd"),tblDiaUtil[],3,FALSE)="Sim",IF(tblHorasJan[Evento 
(1º Período)]&lt;&gt;"",IF(VLOOKUP(tblHorasJan[Evento 
(1º Período)],tblEvento[],Tabelas!$E$1,FALSE)="Sim",FALSE,TRUE),TRUE),IF(tblHorasJan[Evento 
(2º Período)]&lt;&gt;"",IF(VLOOKUP(tblHorasJan[Evento 
(2º Período)],tblEvento[],Tabelas!$E$1,FALSE)="Sim",FALSE,TRUE),TRUE)),
tblHorasJan[Horas Trabalhadas Além Jornada],""),"")</f>
        <v/>
      </c>
      <c r="S23" s="14" t="str">
        <f>IF(tblHorasJan[Horas Trabalhadas Além Jornada]&gt;0,
IF(OR(VLOOKUP(TEXT(tblHorasJan[Data],"dddd"),tblDiaUtil[],3,FALSE)="Não",IF(tblHorasJan[Evento 
(1º Período)]&lt;&gt;"",IF(VLOOKUP(tblHorasJan[Evento 
(1º Período)],tblEvento[],Tabelas!$E$1,FALSE)="Sim",TRUE,FALSE),FALSE),IF(tblHorasJan[Evento 
(2º Período)]&lt;&gt;"",IF(VLOOKUP(tblHorasJan[Evento 
(2º Período)],tblEvento[],Tabelas!$E$1,FALSE)="Sim",TRUE,FALSE),FALSE)),
tblHorasJan[Horas Trabalhadas Além Jornada],""),"")</f>
        <v/>
      </c>
      <c r="T23" s="15" t="str">
        <f>IF(tblHorasJan[Evento 
(1º Período)]&lt;&gt;""," - " &amp;VLOOKUP(tblHorasJan[Evento 
(1º Período)],tblEvento[],Tabelas!$F$1,FALSE),"")&amp;IF(AND(tblHorasJan[Evento 
(2º Período)]&lt;&gt;"",tblHorasJan[Evento 
(2º Período)]&lt;&gt;tblHorasJan[Evento 
(1º Período)])," - " &amp; VLOOKUP(tblHorasJan[Evento 
(2º Período)],tblEvento[],Tabelas!$F$1,FALSE),"")</f>
        <v/>
      </c>
    </row>
    <row r="24" spans="2:20" x14ac:dyDescent="0.25">
      <c r="B24" s="11" t="str">
        <f t="shared" si="0"/>
        <v/>
      </c>
      <c r="C24" s="12" t="str">
        <f>TEXT(tblHorasJan[Data],"ddd")</f>
        <v/>
      </c>
      <c r="D24" s="25"/>
      <c r="E24" s="1"/>
      <c r="F24" s="1"/>
      <c r="G24" s="1"/>
      <c r="H24" s="1"/>
      <c r="I24" s="53"/>
      <c r="J24" s="4">
        <f>IF($B$6&lt;&gt;"",
IF(AND(tblHorasJan[Evento 
(1º Período)]&lt;&gt;"",IF(ISERROR(VLOOKUP(tblHorasJan[Evento 
(1º Período)],tblEvento[],Tabelas!$D$1,FALSE)),FALSE,VLOOKUP(tblHorasJan[Evento 
(1º Período)],tblEvento[],Tabelas!$D$1,FALSE)="Sim")),
        IF(JORNADA_PERIODO_1&lt;&gt;"",
IF(VLOOKUP(tblHorasJan[Dia],tblDiaUtil[[Abreviatura]:[1º Período]],3,FALSE)&gt;0,VLOOKUP(tblHorasJan[Dia],tblDiaUtil[[Abreviatura]:[1º Período]],3,FALSE),JORNADA_PERIODO_1),
IF(VLOOKUP(tblHorasJan[Dia],tblDiaUtil[[Abreviatura]:[1º Período]],3,FALSE)&gt;0,VLOOKUP(tblHorasJan[Dia],tblDiaUtil[[Abreviatura]:[1º Período]],3,FALSE),JORNADA/2)),
        IF(AND(ISNUMBER(tblHorasJan[Saída - 1 (Almoço)]),ISNUMBER(tblHorasJan[Entrada - 1])),
              IF(OR(AND(tblHorasJan[Evento 
(1º Período)]&lt;&gt;"",IF(ISERROR(VLOOKUP(tblHorasJan[Evento 
(1º Período)],tblEvento[],Tabelas!$E$1,FALSE)),FALSE,VLOOKUP(tblHorasJan[Evento 
(1º Período)],tblEvento[],Tabelas!$E$1,FALSE)="Sim")),IF(VLOOKUP(TEXT(tblHorasJan[Data],"dddd"),tblDiaUtil[],2,FALSE)="Não",TRUE,FALSE)),
                   tblHorasJan[Saída - 1 (Almoço)]-tblHorasJan[Entrada - 1],
                   IF(OR(HOUR(tblHorasJan[Saída - 1 (Almoço)]-tblHorasJan[Entrada - 1])&gt;0,ROUND(tblHorasJan[Saída - 1 (Almoço)]-tblHorasJan[Entrada - 1],6)&gt;ROUND(CARENCIA,6)),
                          tblHorasJan[Saída - 1 (Almoço)]-tblHorasJan[Entrada - 1],
                          0)),
                    0)),0)</f>
        <v>0</v>
      </c>
      <c r="K24" s="4">
        <f>IF($B$6&lt;&gt;"",
IF(AND(tblHorasJan[Evento 
(2º Período)]&lt;&gt;"",IF(ISERROR(VLOOKUP(tblHorasJan[Evento 
(2º Período)],tblEvento[],Tabelas!$D$1,FALSE)),FALSE,VLOOKUP(tblHorasJan[Evento 
(2º Período)],tblEvento[],Tabelas!$D$1,FALSE)="Sim")),
        IF(JORNADA_PERIODO_2&lt;&gt;"",
IF(VLOOKUP(tblHorasJan[Dia],tblDiaUtil[[Abreviatura]:[2º Período]],4,FALSE)&gt;0,VLOOKUP(tblHorasJan[Dia],tblDiaUtil[[Abreviatura]:[2º Período]],4,FALSE),JORNADA_PERIODO_2),
IF(VLOOKUP(tblHorasJan[Dia],tblDiaUtil[[Abreviatura]:[2º Período]],4,FALSE)&gt;0,VLOOKUP(tblHorasJan[Dia],tblDiaUtil[[Abreviatura]:[2º Período]],4,FALSE),JORNADA/2)),
        IF(AND(ISNUMBER(tblHorasJan[Saída - 2]),ISNUMBER(tblHorasJan[Entrada - 2 (Almoço)])),
              IF(OR(AND(tblHorasJan[Evento 
(2º Período)]&lt;&gt;"",IF(ISERROR(VLOOKUP(tblHorasJan[Evento 
(2º Período)],tblEvento[],Tabelas!$E$1,FALSE)),FALSE,VLOOKUP(tblHorasJan[Evento 
(2º Período)],tblEvento[],Tabelas!$E$1,FALSE)="Sim")),IF(VLOOKUP(TEXT(tblHorasJan[Data],"dddd"),tblDiaUtil[],2,FALSE)="Não",TRUE,FALSE)),
                   tblHorasJan[Saída - 2]-tblHorasJan[Entrada - 2 (Almoço)],
                   IF(OR(HOUR(tblHorasJan[Saída - 2]-tblHorasJan[Entrada - 2 (Almoço)])&gt;0,MINUTE(tblHorasJan[Saída - 2]-tblHorasJan[Entrada - 2 (Almoço)])&gt;CARENCIA),
                         tblHorasJan[Saída - 2]-tblHorasJan[Entrada - 2 (Almoço)],
                         0)),
       0)),0)</f>
        <v>0</v>
      </c>
      <c r="L24" s="4">
        <f>tblHorasJan[Horas Trabalhadas (1º Período)]+tblHorasJan[Horas Trabalhadas (2º Período)]</f>
        <v>0</v>
      </c>
      <c r="M24" s="4" t="str">
        <f>IF(tblHorasJan[Data]&lt;&gt;"",
        IF(
AND(VLOOKUP(TEXT(tblHorasJan[Data],"dddd"),tblDiaUtil[],3,FALSE)="Sim",IF(tblHorasJan[Evento 
(1º Período)]&lt;&gt;"",IF(VLOOKUP(tblHorasJan[Evento 
(1º Período)],tblEvento[],Tabelas!$E$1,FALSE)="Sim",FALSE,TRUE),TRUE),IF(tblHorasJan[Evento 
(2º Período)]&lt;&gt;"",IF(VLOOKUP(tblHorasJan[Evento 
(2º Período)],tblEvento[],Tabelas!$E$1,FALSE)="Sim",FALSE,TRUE),TRUE)),
              IF(VLOOKUP(tblHorasJan[Dia],tblDiaUtil[[Abreviatura]:[1º Período]],3,FALSE)&gt;0,VLOOKUP(tblHorasJan[Dia],tblDiaUtil[[Abreviatura]:[1º Período]],3,FALSE),JORNADA),
              ""),
         "")</f>
        <v/>
      </c>
      <c r="N24" s="14">
        <f>IF(OR(tblHorasJan[Horas Trabalhadas (1º Período)]&lt;&gt;0,tblHorasJan[Horas Trabalhadas (2º Período)]&lt;&gt;0),
        IF(ISNUMBER(tblHorasJan[Jornada Diária]),
              IF(tblHorasJan[Jornada Diária]&gt;(tblHorasJan[Horas Trabalhadas (2º Período)]+tblHorasJan[Horas Trabalhadas (1º Período)]),
                     IF(ROUND((tblHorasJan[Jornada Diária]-(tblHorasJan[Horas Trabalhadas (2º Período)]+tblHorasJan[Horas Trabalhadas (1º Período)])),6)&gt;ROUND(CARENCIA,6),
                           -tblHorasJan[Jornada Diária]+(tblHorasJan[Horas Trabalhadas (2º Período)]+tblHorasJan[Horas Trabalhadas (1º Período)]),
                           0),
                      IF(ROUND((tblHorasJan[Jornada Diária]-(tblHorasJan[Horas Trabalhadas (2º Período)]+tblHorasJan[Horas Trabalhadas (1º Período)])),6)&lt;ROUND(-CARENCIA,6),
                           -tblHorasJan[Jornada Diária]+(tblHorasJan[Horas Trabalhadas (2º Período)]+tblHorasJan[Horas Trabalhadas (1º Período)]),
                           0)),
              tblHorasJan[Horas Trabalhadas (2º Período)]+tblHorasJan[Horas Trabalhadas (1º Período)]),
         IF(AND(IF(ISERROR(VLOOKUP(tblHorasJan[Evento 
(1º Período)],tblEvento[[Evento]:[Libera o Período]],4,FALSE)),FALSE,IF(VLOOKUP(tblHorasJan[Evento 
(1º Período)],tblEvento[[Evento]:[Libera o Período]],4,FALSE)="Não",TRUE,FALSE)),IF(ISERROR(VLOOKUP(tblHorasJan[Evento 
(2º Período)],tblEvento[[Evento]:[Libera o Período]],4,FALSE)),FALSE,IF(VLOOKUP(tblHorasJan[Evento 
(2º Período)],tblEvento[[Evento]:[Libera o Período]],4,FALSE)="Não",TRUE,FALSE))),
-IF(VLOOKUP(tblHorasJan[Dia],tblDiaUtil[[Abreviatura]:[Total Jornada]],5,FALSE)&lt;&gt;"",VLOOKUP(tblHorasJan[Dia],tblDiaUtil[[Abreviatura]:[Total Jornada]],5,FALSE),JORNADA),
IF(IF(ISERROR(VLOOKUP(tblHorasJan[Evento 
(1º Período)],tblEvento[[Evento]:[Libera o Período]],4,FALSE)),FALSE,
IF(VLOOKUP(tblHorasJan[Evento 
(1º Período)],tblEvento[[Evento]:[Libera o Período]],4,FALSE)="Não",TRUE,FALSE)
),
-IF(VLOOKUP(tblHorasJan[Dia],tblDiaUtil[[Abreviatura]:[1º Período]],3,FALSE)&lt;&gt;"",VLOOKUP(tblHorasJan[Dia],tblDiaUtil[[Abreviatura]:[1º Período]],3,FALSE),JORNADA_PERIODO_1),
IF(IF(ISERROR(VLOOKUP(tblHorasJan[Evento 
(2º Período)],tblEvento[[Evento]:[Libera o Período]],4,FALSE)),FALSE,IF(VLOOKUP(tblHorasJan[Evento 
(2º Período)],tblEvento[[Evento]:[Libera o Período]],4,FALSE)="Não",TRUE,FALSE)),
-IF(VLOOKUP(tblHorasJan[Dia],tblDiaUtil[[Abreviatura]:[2º Período]],4,FALSE)&lt;&gt;"",VLOOKUP(tblHorasJan[Dia],tblDiaUtil[[Abreviatura]:[2º Período]],4,FALSE),JORNADA_PERIODO_2),0))))</f>
        <v>0</v>
      </c>
      <c r="O24" s="14">
        <f>IF(tblHorasJan[Horas Trabalhadas Além Jornada]&gt;0,
        IF(ISNUMBER(tblHorasJan[Jornada Diária]),
              IF(HOUR(tblHorasJan[Horas Trabalhadas Além Jornada])&gt;=VLOOKUP(LIMITE,tblLimiteHora[],Tabelas!$I$1,FALSE),
                    VLOOKUP(LIMITE,tblLimiteHora[],Tabelas!$J$1,FALSE),
                    tblHorasJan[Horas Trabalhadas Além Jornada]),
              tblHorasJan[Horas Trabalhadas Além Jornada]),
        tblHorasJan[Horas Trabalhadas Além Jornada])+O23</f>
        <v>0</v>
      </c>
      <c r="P24" s="14" t="str">
        <f>IF(tblHorasJan[Horas Trabalhadas Além Jornada]&lt;0,IF(OR(tblHorasJan[Evento 
(1º Período)]="",tblHorasJan[Evento 
(2º Período)]=""),tblHorasJan[Horas Trabalhadas Além Jornada],""),"")</f>
        <v/>
      </c>
      <c r="Q24" s="14" t="str">
        <f>IF(tblHorasJan[Jornada Diária]&lt;&gt;"",IF((N(tblHorasJan[Jornada Diária])-ABS(N(tblHorasJan[Horas Trabalhadas Além Jornada])))=0,1,""),"")</f>
        <v/>
      </c>
      <c r="R24" s="14" t="str">
        <f>IF(tblHorasJan[Horas Trabalhadas Além Jornada]&gt;0,
IF(AND(VLOOKUP(TEXT(tblHorasJan[Data],"dddd"),tblDiaUtil[],3,FALSE)="Sim",IF(tblHorasJan[Evento 
(1º Período)]&lt;&gt;"",IF(VLOOKUP(tblHorasJan[Evento 
(1º Período)],tblEvento[],Tabelas!$E$1,FALSE)="Sim",FALSE,TRUE),TRUE),IF(tblHorasJan[Evento 
(2º Período)]&lt;&gt;"",IF(VLOOKUP(tblHorasJan[Evento 
(2º Período)],tblEvento[],Tabelas!$E$1,FALSE)="Sim",FALSE,TRUE),TRUE)),
tblHorasJan[Horas Trabalhadas Além Jornada],""),"")</f>
        <v/>
      </c>
      <c r="S24" s="14" t="str">
        <f>IF(tblHorasJan[Horas Trabalhadas Além Jornada]&gt;0,
IF(OR(VLOOKUP(TEXT(tblHorasJan[Data],"dddd"),tblDiaUtil[],3,FALSE)="Não",IF(tblHorasJan[Evento 
(1º Período)]&lt;&gt;"",IF(VLOOKUP(tblHorasJan[Evento 
(1º Período)],tblEvento[],Tabelas!$E$1,FALSE)="Sim",TRUE,FALSE),FALSE),IF(tblHorasJan[Evento 
(2º Período)]&lt;&gt;"",IF(VLOOKUP(tblHorasJan[Evento 
(2º Período)],tblEvento[],Tabelas!$E$1,FALSE)="Sim",TRUE,FALSE),FALSE)),
tblHorasJan[Horas Trabalhadas Além Jornada],""),"")</f>
        <v/>
      </c>
      <c r="T24" s="15" t="str">
        <f>IF(tblHorasJan[Evento 
(1º Período)]&lt;&gt;""," - " &amp;VLOOKUP(tblHorasJan[Evento 
(1º Período)],tblEvento[],Tabelas!$F$1,FALSE),"")&amp;IF(AND(tblHorasJan[Evento 
(2º Período)]&lt;&gt;"",tblHorasJan[Evento 
(2º Período)]&lt;&gt;tblHorasJan[Evento 
(1º Período)])," - " &amp; VLOOKUP(tblHorasJan[Evento 
(2º Período)],tblEvento[],Tabelas!$F$1,FALSE),"")</f>
        <v/>
      </c>
    </row>
    <row r="25" spans="2:20" x14ac:dyDescent="0.25">
      <c r="B25" s="11" t="str">
        <f t="shared" si="0"/>
        <v/>
      </c>
      <c r="C25" s="12" t="str">
        <f>TEXT(tblHorasJan[Data],"ddd")</f>
        <v/>
      </c>
      <c r="D25" s="25"/>
      <c r="E25" s="1"/>
      <c r="F25" s="1"/>
      <c r="G25" s="1"/>
      <c r="H25" s="1"/>
      <c r="I25" s="53"/>
      <c r="J25" s="4">
        <f>IF($B$6&lt;&gt;"",
IF(AND(tblHorasJan[Evento 
(1º Período)]&lt;&gt;"",IF(ISERROR(VLOOKUP(tblHorasJan[Evento 
(1º Período)],tblEvento[],Tabelas!$D$1,FALSE)),FALSE,VLOOKUP(tblHorasJan[Evento 
(1º Período)],tblEvento[],Tabelas!$D$1,FALSE)="Sim")),
        IF(JORNADA_PERIODO_1&lt;&gt;"",
IF(VLOOKUP(tblHorasJan[Dia],tblDiaUtil[[Abreviatura]:[1º Período]],3,FALSE)&gt;0,VLOOKUP(tblHorasJan[Dia],tblDiaUtil[[Abreviatura]:[1º Período]],3,FALSE),JORNADA_PERIODO_1),
IF(VLOOKUP(tblHorasJan[Dia],tblDiaUtil[[Abreviatura]:[1º Período]],3,FALSE)&gt;0,VLOOKUP(tblHorasJan[Dia],tblDiaUtil[[Abreviatura]:[1º Período]],3,FALSE),JORNADA/2)),
        IF(AND(ISNUMBER(tblHorasJan[Saída - 1 (Almoço)]),ISNUMBER(tblHorasJan[Entrada - 1])),
              IF(OR(AND(tblHorasJan[Evento 
(1º Período)]&lt;&gt;"",IF(ISERROR(VLOOKUP(tblHorasJan[Evento 
(1º Período)],tblEvento[],Tabelas!$E$1,FALSE)),FALSE,VLOOKUP(tblHorasJan[Evento 
(1º Período)],tblEvento[],Tabelas!$E$1,FALSE)="Sim")),IF(VLOOKUP(TEXT(tblHorasJan[Data],"dddd"),tblDiaUtil[],2,FALSE)="Não",TRUE,FALSE)),
                   tblHorasJan[Saída - 1 (Almoço)]-tblHorasJan[Entrada - 1],
                   IF(OR(HOUR(tblHorasJan[Saída - 1 (Almoço)]-tblHorasJan[Entrada - 1])&gt;0,ROUND(tblHorasJan[Saída - 1 (Almoço)]-tblHorasJan[Entrada - 1],6)&gt;ROUND(CARENCIA,6)),
                          tblHorasJan[Saída - 1 (Almoço)]-tblHorasJan[Entrada - 1],
                          0)),
                    0)),0)</f>
        <v>0</v>
      </c>
      <c r="K25" s="4">
        <f>IF($B$6&lt;&gt;"",
IF(AND(tblHorasJan[Evento 
(2º Período)]&lt;&gt;"",IF(ISERROR(VLOOKUP(tblHorasJan[Evento 
(2º Período)],tblEvento[],Tabelas!$D$1,FALSE)),FALSE,VLOOKUP(tblHorasJan[Evento 
(2º Período)],tblEvento[],Tabelas!$D$1,FALSE)="Sim")),
        IF(JORNADA_PERIODO_2&lt;&gt;"",
IF(VLOOKUP(tblHorasJan[Dia],tblDiaUtil[[Abreviatura]:[2º Período]],4,FALSE)&gt;0,VLOOKUP(tblHorasJan[Dia],tblDiaUtil[[Abreviatura]:[2º Período]],4,FALSE),JORNADA_PERIODO_2),
IF(VLOOKUP(tblHorasJan[Dia],tblDiaUtil[[Abreviatura]:[2º Período]],4,FALSE)&gt;0,VLOOKUP(tblHorasJan[Dia],tblDiaUtil[[Abreviatura]:[2º Período]],4,FALSE),JORNADA/2)),
        IF(AND(ISNUMBER(tblHorasJan[Saída - 2]),ISNUMBER(tblHorasJan[Entrada - 2 (Almoço)])),
              IF(OR(AND(tblHorasJan[Evento 
(2º Período)]&lt;&gt;"",IF(ISERROR(VLOOKUP(tblHorasJan[Evento 
(2º Período)],tblEvento[],Tabelas!$E$1,FALSE)),FALSE,VLOOKUP(tblHorasJan[Evento 
(2º Período)],tblEvento[],Tabelas!$E$1,FALSE)="Sim")),IF(VLOOKUP(TEXT(tblHorasJan[Data],"dddd"),tblDiaUtil[],2,FALSE)="Não",TRUE,FALSE)),
                   tblHorasJan[Saída - 2]-tblHorasJan[Entrada - 2 (Almoço)],
                   IF(OR(HOUR(tblHorasJan[Saída - 2]-tblHorasJan[Entrada - 2 (Almoço)])&gt;0,MINUTE(tblHorasJan[Saída - 2]-tblHorasJan[Entrada - 2 (Almoço)])&gt;CARENCIA),
                         tblHorasJan[Saída - 2]-tblHorasJan[Entrada - 2 (Almoço)],
                         0)),
       0)),0)</f>
        <v>0</v>
      </c>
      <c r="L25" s="4">
        <f>tblHorasJan[Horas Trabalhadas (1º Período)]+tblHorasJan[Horas Trabalhadas (2º Período)]</f>
        <v>0</v>
      </c>
      <c r="M25" s="4" t="str">
        <f>IF(tblHorasJan[Data]&lt;&gt;"",
        IF(
AND(VLOOKUP(TEXT(tblHorasJan[Data],"dddd"),tblDiaUtil[],3,FALSE)="Sim",IF(tblHorasJan[Evento 
(1º Período)]&lt;&gt;"",IF(VLOOKUP(tblHorasJan[Evento 
(1º Período)],tblEvento[],Tabelas!$E$1,FALSE)="Sim",FALSE,TRUE),TRUE),IF(tblHorasJan[Evento 
(2º Período)]&lt;&gt;"",IF(VLOOKUP(tblHorasJan[Evento 
(2º Período)],tblEvento[],Tabelas!$E$1,FALSE)="Sim",FALSE,TRUE),TRUE)),
              IF(VLOOKUP(tblHorasJan[Dia],tblDiaUtil[[Abreviatura]:[1º Período]],3,FALSE)&gt;0,VLOOKUP(tblHorasJan[Dia],tblDiaUtil[[Abreviatura]:[1º Período]],3,FALSE),JORNADA),
              ""),
         "")</f>
        <v/>
      </c>
      <c r="N25" s="14">
        <f>IF(OR(tblHorasJan[Horas Trabalhadas (1º Período)]&lt;&gt;0,tblHorasJan[Horas Trabalhadas (2º Período)]&lt;&gt;0),
        IF(ISNUMBER(tblHorasJan[Jornada Diária]),
              IF(tblHorasJan[Jornada Diária]&gt;(tblHorasJan[Horas Trabalhadas (2º Período)]+tblHorasJan[Horas Trabalhadas (1º Período)]),
                     IF(ROUND((tblHorasJan[Jornada Diária]-(tblHorasJan[Horas Trabalhadas (2º Período)]+tblHorasJan[Horas Trabalhadas (1º Período)])),6)&gt;ROUND(CARENCIA,6),
                           -tblHorasJan[Jornada Diária]+(tblHorasJan[Horas Trabalhadas (2º Período)]+tblHorasJan[Horas Trabalhadas (1º Período)]),
                           0),
                      IF(ROUND((tblHorasJan[Jornada Diária]-(tblHorasJan[Horas Trabalhadas (2º Período)]+tblHorasJan[Horas Trabalhadas (1º Período)])),6)&lt;ROUND(-CARENCIA,6),
                           -tblHorasJan[Jornada Diária]+(tblHorasJan[Horas Trabalhadas (2º Período)]+tblHorasJan[Horas Trabalhadas (1º Período)]),
                           0)),
              tblHorasJan[Horas Trabalhadas (2º Período)]+tblHorasJan[Horas Trabalhadas (1º Período)]),
         IF(AND(IF(ISERROR(VLOOKUP(tblHorasJan[Evento 
(1º Período)],tblEvento[[Evento]:[Libera o Período]],4,FALSE)),FALSE,IF(VLOOKUP(tblHorasJan[Evento 
(1º Período)],tblEvento[[Evento]:[Libera o Período]],4,FALSE)="Não",TRUE,FALSE)),IF(ISERROR(VLOOKUP(tblHorasJan[Evento 
(2º Período)],tblEvento[[Evento]:[Libera o Período]],4,FALSE)),FALSE,IF(VLOOKUP(tblHorasJan[Evento 
(2º Período)],tblEvento[[Evento]:[Libera o Período]],4,FALSE)="Não",TRUE,FALSE))),
-IF(VLOOKUP(tblHorasJan[Dia],tblDiaUtil[[Abreviatura]:[Total Jornada]],5,FALSE)&lt;&gt;"",VLOOKUP(tblHorasJan[Dia],tblDiaUtil[[Abreviatura]:[Total Jornada]],5,FALSE),JORNADA),
IF(IF(ISERROR(VLOOKUP(tblHorasJan[Evento 
(1º Período)],tblEvento[[Evento]:[Libera o Período]],4,FALSE)),FALSE,
IF(VLOOKUP(tblHorasJan[Evento 
(1º Período)],tblEvento[[Evento]:[Libera o Período]],4,FALSE)="Não",TRUE,FALSE)
),
-IF(VLOOKUP(tblHorasJan[Dia],tblDiaUtil[[Abreviatura]:[1º Período]],3,FALSE)&lt;&gt;"",VLOOKUP(tblHorasJan[Dia],tblDiaUtil[[Abreviatura]:[1º Período]],3,FALSE),JORNADA_PERIODO_1),
IF(IF(ISERROR(VLOOKUP(tblHorasJan[Evento 
(2º Período)],tblEvento[[Evento]:[Libera o Período]],4,FALSE)),FALSE,IF(VLOOKUP(tblHorasJan[Evento 
(2º Período)],tblEvento[[Evento]:[Libera o Período]],4,FALSE)="Não",TRUE,FALSE)),
-IF(VLOOKUP(tblHorasJan[Dia],tblDiaUtil[[Abreviatura]:[2º Período]],4,FALSE)&lt;&gt;"",VLOOKUP(tblHorasJan[Dia],tblDiaUtil[[Abreviatura]:[2º Período]],4,FALSE),JORNADA_PERIODO_2),0))))</f>
        <v>0</v>
      </c>
      <c r="O25" s="14">
        <f>IF(tblHorasJan[Horas Trabalhadas Além Jornada]&gt;0,
        IF(ISNUMBER(tblHorasJan[Jornada Diária]),
              IF(HOUR(tblHorasJan[Horas Trabalhadas Além Jornada])&gt;=VLOOKUP(LIMITE,tblLimiteHora[],Tabelas!$I$1,FALSE),
                    VLOOKUP(LIMITE,tblLimiteHora[],Tabelas!$J$1,FALSE),
                    tblHorasJan[Horas Trabalhadas Além Jornada]),
              tblHorasJan[Horas Trabalhadas Além Jornada]),
        tblHorasJan[Horas Trabalhadas Além Jornada])+O24</f>
        <v>0</v>
      </c>
      <c r="P25" s="14" t="str">
        <f>IF(tblHorasJan[Horas Trabalhadas Além Jornada]&lt;0,IF(OR(tblHorasJan[Evento 
(1º Período)]="",tblHorasJan[Evento 
(2º Período)]=""),tblHorasJan[Horas Trabalhadas Além Jornada],""),"")</f>
        <v/>
      </c>
      <c r="Q25" s="14" t="str">
        <f>IF(tblHorasJan[Jornada Diária]&lt;&gt;"",IF((N(tblHorasJan[Jornada Diária])-ABS(N(tblHorasJan[Horas Trabalhadas Além Jornada])))=0,1,""),"")</f>
        <v/>
      </c>
      <c r="R25" s="14" t="str">
        <f>IF(tblHorasJan[Horas Trabalhadas Além Jornada]&gt;0,
IF(AND(VLOOKUP(TEXT(tblHorasJan[Data],"dddd"),tblDiaUtil[],3,FALSE)="Sim",IF(tblHorasJan[Evento 
(1º Período)]&lt;&gt;"",IF(VLOOKUP(tblHorasJan[Evento 
(1º Período)],tblEvento[],Tabelas!$E$1,FALSE)="Sim",FALSE,TRUE),TRUE),IF(tblHorasJan[Evento 
(2º Período)]&lt;&gt;"",IF(VLOOKUP(tblHorasJan[Evento 
(2º Período)],tblEvento[],Tabelas!$E$1,FALSE)="Sim",FALSE,TRUE),TRUE)),
tblHorasJan[Horas Trabalhadas Além Jornada],""),"")</f>
        <v/>
      </c>
      <c r="S25" s="14" t="str">
        <f>IF(tblHorasJan[Horas Trabalhadas Além Jornada]&gt;0,
IF(OR(VLOOKUP(TEXT(tblHorasJan[Data],"dddd"),tblDiaUtil[],3,FALSE)="Não",IF(tblHorasJan[Evento 
(1º Período)]&lt;&gt;"",IF(VLOOKUP(tblHorasJan[Evento 
(1º Período)],tblEvento[],Tabelas!$E$1,FALSE)="Sim",TRUE,FALSE),FALSE),IF(tblHorasJan[Evento 
(2º Período)]&lt;&gt;"",IF(VLOOKUP(tblHorasJan[Evento 
(2º Período)],tblEvento[],Tabelas!$E$1,FALSE)="Sim",TRUE,FALSE),FALSE)),
tblHorasJan[Horas Trabalhadas Além Jornada],""),"")</f>
        <v/>
      </c>
      <c r="T25" s="15" t="str">
        <f>IF(tblHorasJan[Evento 
(1º Período)]&lt;&gt;""," - " &amp;VLOOKUP(tblHorasJan[Evento 
(1º Período)],tblEvento[],Tabelas!$F$1,FALSE),"")&amp;IF(AND(tblHorasJan[Evento 
(2º Período)]&lt;&gt;"",tblHorasJan[Evento 
(2º Período)]&lt;&gt;tblHorasJan[Evento 
(1º Período)])," - " &amp; VLOOKUP(tblHorasJan[Evento 
(2º Período)],tblEvento[],Tabelas!$F$1,FALSE),"")</f>
        <v/>
      </c>
    </row>
    <row r="26" spans="2:20" x14ac:dyDescent="0.25">
      <c r="B26" s="11" t="str">
        <f t="shared" si="0"/>
        <v/>
      </c>
      <c r="C26" s="12" t="str">
        <f>TEXT(tblHorasJan[Data],"ddd")</f>
        <v/>
      </c>
      <c r="D26" s="25"/>
      <c r="E26" s="1"/>
      <c r="F26" s="1"/>
      <c r="G26" s="1"/>
      <c r="H26" s="1"/>
      <c r="I26" s="53"/>
      <c r="J26" s="4">
        <f>IF($B$6&lt;&gt;"",
IF(AND(tblHorasJan[Evento 
(1º Período)]&lt;&gt;"",IF(ISERROR(VLOOKUP(tblHorasJan[Evento 
(1º Período)],tblEvento[],Tabelas!$D$1,FALSE)),FALSE,VLOOKUP(tblHorasJan[Evento 
(1º Período)],tblEvento[],Tabelas!$D$1,FALSE)="Sim")),
        IF(JORNADA_PERIODO_1&lt;&gt;"",
IF(VLOOKUP(tblHorasJan[Dia],tblDiaUtil[[Abreviatura]:[1º Período]],3,FALSE)&gt;0,VLOOKUP(tblHorasJan[Dia],tblDiaUtil[[Abreviatura]:[1º Período]],3,FALSE),JORNADA_PERIODO_1),
IF(VLOOKUP(tblHorasJan[Dia],tblDiaUtil[[Abreviatura]:[1º Período]],3,FALSE)&gt;0,VLOOKUP(tblHorasJan[Dia],tblDiaUtil[[Abreviatura]:[1º Período]],3,FALSE),JORNADA/2)),
        IF(AND(ISNUMBER(tblHorasJan[Saída - 1 (Almoço)]),ISNUMBER(tblHorasJan[Entrada - 1])),
              IF(OR(AND(tblHorasJan[Evento 
(1º Período)]&lt;&gt;"",IF(ISERROR(VLOOKUP(tblHorasJan[Evento 
(1º Período)],tblEvento[],Tabelas!$E$1,FALSE)),FALSE,VLOOKUP(tblHorasJan[Evento 
(1º Período)],tblEvento[],Tabelas!$E$1,FALSE)="Sim")),IF(VLOOKUP(TEXT(tblHorasJan[Data],"dddd"),tblDiaUtil[],2,FALSE)="Não",TRUE,FALSE)),
                   tblHorasJan[Saída - 1 (Almoço)]-tblHorasJan[Entrada - 1],
                   IF(OR(HOUR(tblHorasJan[Saída - 1 (Almoço)]-tblHorasJan[Entrada - 1])&gt;0,ROUND(tblHorasJan[Saída - 1 (Almoço)]-tblHorasJan[Entrada - 1],6)&gt;ROUND(CARENCIA,6)),
                          tblHorasJan[Saída - 1 (Almoço)]-tblHorasJan[Entrada - 1],
                          0)),
                    0)),0)</f>
        <v>0</v>
      </c>
      <c r="K26" s="4">
        <f>IF($B$6&lt;&gt;"",
IF(AND(tblHorasJan[Evento 
(2º Período)]&lt;&gt;"",IF(ISERROR(VLOOKUP(tblHorasJan[Evento 
(2º Período)],tblEvento[],Tabelas!$D$1,FALSE)),FALSE,VLOOKUP(tblHorasJan[Evento 
(2º Período)],tblEvento[],Tabelas!$D$1,FALSE)="Sim")),
        IF(JORNADA_PERIODO_2&lt;&gt;"",
IF(VLOOKUP(tblHorasJan[Dia],tblDiaUtil[[Abreviatura]:[2º Período]],4,FALSE)&gt;0,VLOOKUP(tblHorasJan[Dia],tblDiaUtil[[Abreviatura]:[2º Período]],4,FALSE),JORNADA_PERIODO_2),
IF(VLOOKUP(tblHorasJan[Dia],tblDiaUtil[[Abreviatura]:[2º Período]],4,FALSE)&gt;0,VLOOKUP(tblHorasJan[Dia],tblDiaUtil[[Abreviatura]:[2º Período]],4,FALSE),JORNADA/2)),
        IF(AND(ISNUMBER(tblHorasJan[Saída - 2]),ISNUMBER(tblHorasJan[Entrada - 2 (Almoço)])),
              IF(OR(AND(tblHorasJan[Evento 
(2º Período)]&lt;&gt;"",IF(ISERROR(VLOOKUP(tblHorasJan[Evento 
(2º Período)],tblEvento[],Tabelas!$E$1,FALSE)),FALSE,VLOOKUP(tblHorasJan[Evento 
(2º Período)],tblEvento[],Tabelas!$E$1,FALSE)="Sim")),IF(VLOOKUP(TEXT(tblHorasJan[Data],"dddd"),tblDiaUtil[],2,FALSE)="Não",TRUE,FALSE)),
                   tblHorasJan[Saída - 2]-tblHorasJan[Entrada - 2 (Almoço)],
                   IF(OR(HOUR(tblHorasJan[Saída - 2]-tblHorasJan[Entrada - 2 (Almoço)])&gt;0,MINUTE(tblHorasJan[Saída - 2]-tblHorasJan[Entrada - 2 (Almoço)])&gt;CARENCIA),
                         tblHorasJan[Saída - 2]-tblHorasJan[Entrada - 2 (Almoço)],
                         0)),
       0)),0)</f>
        <v>0</v>
      </c>
      <c r="L26" s="4">
        <f>tblHorasJan[Horas Trabalhadas (1º Período)]+tblHorasJan[Horas Trabalhadas (2º Período)]</f>
        <v>0</v>
      </c>
      <c r="M26" s="4" t="str">
        <f>IF(tblHorasJan[Data]&lt;&gt;"",
        IF(
AND(VLOOKUP(TEXT(tblHorasJan[Data],"dddd"),tblDiaUtil[],3,FALSE)="Sim",IF(tblHorasJan[Evento 
(1º Período)]&lt;&gt;"",IF(VLOOKUP(tblHorasJan[Evento 
(1º Período)],tblEvento[],Tabelas!$E$1,FALSE)="Sim",FALSE,TRUE),TRUE),IF(tblHorasJan[Evento 
(2º Período)]&lt;&gt;"",IF(VLOOKUP(tblHorasJan[Evento 
(2º Período)],tblEvento[],Tabelas!$E$1,FALSE)="Sim",FALSE,TRUE),TRUE)),
              IF(VLOOKUP(tblHorasJan[Dia],tblDiaUtil[[Abreviatura]:[1º Período]],3,FALSE)&gt;0,VLOOKUP(tblHorasJan[Dia],tblDiaUtil[[Abreviatura]:[1º Período]],3,FALSE),JORNADA),
              ""),
         "")</f>
        <v/>
      </c>
      <c r="N26" s="14">
        <f>IF(OR(tblHorasJan[Horas Trabalhadas (1º Período)]&lt;&gt;0,tblHorasJan[Horas Trabalhadas (2º Período)]&lt;&gt;0),
        IF(ISNUMBER(tblHorasJan[Jornada Diária]),
              IF(tblHorasJan[Jornada Diária]&gt;(tblHorasJan[Horas Trabalhadas (2º Período)]+tblHorasJan[Horas Trabalhadas (1º Período)]),
                     IF(ROUND((tblHorasJan[Jornada Diária]-(tblHorasJan[Horas Trabalhadas (2º Período)]+tblHorasJan[Horas Trabalhadas (1º Período)])),6)&gt;ROUND(CARENCIA,6),
                           -tblHorasJan[Jornada Diária]+(tblHorasJan[Horas Trabalhadas (2º Período)]+tblHorasJan[Horas Trabalhadas (1º Período)]),
                           0),
                      IF(ROUND((tblHorasJan[Jornada Diária]-(tblHorasJan[Horas Trabalhadas (2º Período)]+tblHorasJan[Horas Trabalhadas (1º Período)])),6)&lt;ROUND(-CARENCIA,6),
                           -tblHorasJan[Jornada Diária]+(tblHorasJan[Horas Trabalhadas (2º Período)]+tblHorasJan[Horas Trabalhadas (1º Período)]),
                           0)),
              tblHorasJan[Horas Trabalhadas (2º Período)]+tblHorasJan[Horas Trabalhadas (1º Período)]),
         IF(AND(IF(ISERROR(VLOOKUP(tblHorasJan[Evento 
(1º Período)],tblEvento[[Evento]:[Libera o Período]],4,FALSE)),FALSE,IF(VLOOKUP(tblHorasJan[Evento 
(1º Período)],tblEvento[[Evento]:[Libera o Período]],4,FALSE)="Não",TRUE,FALSE)),IF(ISERROR(VLOOKUP(tblHorasJan[Evento 
(2º Período)],tblEvento[[Evento]:[Libera o Período]],4,FALSE)),FALSE,IF(VLOOKUP(tblHorasJan[Evento 
(2º Período)],tblEvento[[Evento]:[Libera o Período]],4,FALSE)="Não",TRUE,FALSE))),
-IF(VLOOKUP(tblHorasJan[Dia],tblDiaUtil[[Abreviatura]:[Total Jornada]],5,FALSE)&lt;&gt;"",VLOOKUP(tblHorasJan[Dia],tblDiaUtil[[Abreviatura]:[Total Jornada]],5,FALSE),JORNADA),
IF(IF(ISERROR(VLOOKUP(tblHorasJan[Evento 
(1º Período)],tblEvento[[Evento]:[Libera o Período]],4,FALSE)),FALSE,
IF(VLOOKUP(tblHorasJan[Evento 
(1º Período)],tblEvento[[Evento]:[Libera o Período]],4,FALSE)="Não",TRUE,FALSE)
),
-IF(VLOOKUP(tblHorasJan[Dia],tblDiaUtil[[Abreviatura]:[1º Período]],3,FALSE)&lt;&gt;"",VLOOKUP(tblHorasJan[Dia],tblDiaUtil[[Abreviatura]:[1º Período]],3,FALSE),JORNADA_PERIODO_1),
IF(IF(ISERROR(VLOOKUP(tblHorasJan[Evento 
(2º Período)],tblEvento[[Evento]:[Libera o Período]],4,FALSE)),FALSE,IF(VLOOKUP(tblHorasJan[Evento 
(2º Período)],tblEvento[[Evento]:[Libera o Período]],4,FALSE)="Não",TRUE,FALSE)),
-IF(VLOOKUP(tblHorasJan[Dia],tblDiaUtil[[Abreviatura]:[2º Período]],4,FALSE)&lt;&gt;"",VLOOKUP(tblHorasJan[Dia],tblDiaUtil[[Abreviatura]:[2º Período]],4,FALSE),JORNADA_PERIODO_2),0))))</f>
        <v>0</v>
      </c>
      <c r="O26" s="14">
        <f>IF(tblHorasJan[Horas Trabalhadas Além Jornada]&gt;0,
        IF(ISNUMBER(tblHorasJan[Jornada Diária]),
              IF(HOUR(tblHorasJan[Horas Trabalhadas Além Jornada])&gt;=VLOOKUP(LIMITE,tblLimiteHora[],Tabelas!$I$1,FALSE),
                    VLOOKUP(LIMITE,tblLimiteHora[],Tabelas!$J$1,FALSE),
                    tblHorasJan[Horas Trabalhadas Além Jornada]),
              tblHorasJan[Horas Trabalhadas Além Jornada]),
        tblHorasJan[Horas Trabalhadas Além Jornada])+O25</f>
        <v>0</v>
      </c>
      <c r="P26" s="14" t="str">
        <f>IF(tblHorasJan[Horas Trabalhadas Além Jornada]&lt;0,IF(OR(tblHorasJan[Evento 
(1º Período)]="",tblHorasJan[Evento 
(2º Período)]=""),tblHorasJan[Horas Trabalhadas Além Jornada],""),"")</f>
        <v/>
      </c>
      <c r="Q26" s="14" t="str">
        <f>IF(tblHorasJan[Jornada Diária]&lt;&gt;"",IF((N(tblHorasJan[Jornada Diária])-ABS(N(tblHorasJan[Horas Trabalhadas Além Jornada])))=0,1,""),"")</f>
        <v/>
      </c>
      <c r="R26" s="14" t="str">
        <f>IF(tblHorasJan[Horas Trabalhadas Além Jornada]&gt;0,
IF(AND(VLOOKUP(TEXT(tblHorasJan[Data],"dddd"),tblDiaUtil[],3,FALSE)="Sim",IF(tblHorasJan[Evento 
(1º Período)]&lt;&gt;"",IF(VLOOKUP(tblHorasJan[Evento 
(1º Período)],tblEvento[],Tabelas!$E$1,FALSE)="Sim",FALSE,TRUE),TRUE),IF(tblHorasJan[Evento 
(2º Período)]&lt;&gt;"",IF(VLOOKUP(tblHorasJan[Evento 
(2º Período)],tblEvento[],Tabelas!$E$1,FALSE)="Sim",FALSE,TRUE),TRUE)),
tblHorasJan[Horas Trabalhadas Além Jornada],""),"")</f>
        <v/>
      </c>
      <c r="S26" s="14" t="str">
        <f>IF(tblHorasJan[Horas Trabalhadas Além Jornada]&gt;0,
IF(OR(VLOOKUP(TEXT(tblHorasJan[Data],"dddd"),tblDiaUtil[],3,FALSE)="Não",IF(tblHorasJan[Evento 
(1º Período)]&lt;&gt;"",IF(VLOOKUP(tblHorasJan[Evento 
(1º Período)],tblEvento[],Tabelas!$E$1,FALSE)="Sim",TRUE,FALSE),FALSE),IF(tblHorasJan[Evento 
(2º Período)]&lt;&gt;"",IF(VLOOKUP(tblHorasJan[Evento 
(2º Período)],tblEvento[],Tabelas!$E$1,FALSE)="Sim",TRUE,FALSE),FALSE)),
tblHorasJan[Horas Trabalhadas Além Jornada],""),"")</f>
        <v/>
      </c>
      <c r="T26" s="15" t="str">
        <f>IF(tblHorasJan[Evento 
(1º Período)]&lt;&gt;""," - " &amp;VLOOKUP(tblHorasJan[Evento 
(1º Período)],tblEvento[],Tabelas!$F$1,FALSE),"")&amp;IF(AND(tblHorasJan[Evento 
(2º Período)]&lt;&gt;"",tblHorasJan[Evento 
(2º Período)]&lt;&gt;tblHorasJan[Evento 
(1º Período)])," - " &amp; VLOOKUP(tblHorasJan[Evento 
(2º Período)],tblEvento[],Tabelas!$F$1,FALSE),"")</f>
        <v/>
      </c>
    </row>
    <row r="27" spans="2:20" x14ac:dyDescent="0.25">
      <c r="B27" s="11" t="str">
        <f t="shared" si="0"/>
        <v/>
      </c>
      <c r="C27" s="12" t="str">
        <f>TEXT(tblHorasJan[Data],"ddd")</f>
        <v/>
      </c>
      <c r="D27" s="25"/>
      <c r="E27" s="1"/>
      <c r="F27" s="1"/>
      <c r="G27" s="1"/>
      <c r="H27" s="1"/>
      <c r="I27" s="53"/>
      <c r="J27" s="4">
        <f>IF($B$6&lt;&gt;"",
IF(AND(tblHorasJan[Evento 
(1º Período)]&lt;&gt;"",IF(ISERROR(VLOOKUP(tblHorasJan[Evento 
(1º Período)],tblEvento[],Tabelas!$D$1,FALSE)),FALSE,VLOOKUP(tblHorasJan[Evento 
(1º Período)],tblEvento[],Tabelas!$D$1,FALSE)="Sim")),
        IF(JORNADA_PERIODO_1&lt;&gt;"",
IF(VLOOKUP(tblHorasJan[Dia],tblDiaUtil[[Abreviatura]:[1º Período]],3,FALSE)&gt;0,VLOOKUP(tblHorasJan[Dia],tblDiaUtil[[Abreviatura]:[1º Período]],3,FALSE),JORNADA_PERIODO_1),
IF(VLOOKUP(tblHorasJan[Dia],tblDiaUtil[[Abreviatura]:[1º Período]],3,FALSE)&gt;0,VLOOKUP(tblHorasJan[Dia],tblDiaUtil[[Abreviatura]:[1º Período]],3,FALSE),JORNADA/2)),
        IF(AND(ISNUMBER(tblHorasJan[Saída - 1 (Almoço)]),ISNUMBER(tblHorasJan[Entrada - 1])),
              IF(OR(AND(tblHorasJan[Evento 
(1º Período)]&lt;&gt;"",IF(ISERROR(VLOOKUP(tblHorasJan[Evento 
(1º Período)],tblEvento[],Tabelas!$E$1,FALSE)),FALSE,VLOOKUP(tblHorasJan[Evento 
(1º Período)],tblEvento[],Tabelas!$E$1,FALSE)="Sim")),IF(VLOOKUP(TEXT(tblHorasJan[Data],"dddd"),tblDiaUtil[],2,FALSE)="Não",TRUE,FALSE)),
                   tblHorasJan[Saída - 1 (Almoço)]-tblHorasJan[Entrada - 1],
                   IF(OR(HOUR(tblHorasJan[Saída - 1 (Almoço)]-tblHorasJan[Entrada - 1])&gt;0,ROUND(tblHorasJan[Saída - 1 (Almoço)]-tblHorasJan[Entrada - 1],6)&gt;ROUND(CARENCIA,6)),
                          tblHorasJan[Saída - 1 (Almoço)]-tblHorasJan[Entrada - 1],
                          0)),
                    0)),0)</f>
        <v>0</v>
      </c>
      <c r="K27" s="4">
        <f>IF($B$6&lt;&gt;"",
IF(AND(tblHorasJan[Evento 
(2º Período)]&lt;&gt;"",IF(ISERROR(VLOOKUP(tblHorasJan[Evento 
(2º Período)],tblEvento[],Tabelas!$D$1,FALSE)),FALSE,VLOOKUP(tblHorasJan[Evento 
(2º Período)],tblEvento[],Tabelas!$D$1,FALSE)="Sim")),
        IF(JORNADA_PERIODO_2&lt;&gt;"",
IF(VLOOKUP(tblHorasJan[Dia],tblDiaUtil[[Abreviatura]:[2º Período]],4,FALSE)&gt;0,VLOOKUP(tblHorasJan[Dia],tblDiaUtil[[Abreviatura]:[2º Período]],4,FALSE),JORNADA_PERIODO_2),
IF(VLOOKUP(tblHorasJan[Dia],tblDiaUtil[[Abreviatura]:[2º Período]],4,FALSE)&gt;0,VLOOKUP(tblHorasJan[Dia],tblDiaUtil[[Abreviatura]:[2º Período]],4,FALSE),JORNADA/2)),
        IF(AND(ISNUMBER(tblHorasJan[Saída - 2]),ISNUMBER(tblHorasJan[Entrada - 2 (Almoço)])),
              IF(OR(AND(tblHorasJan[Evento 
(2º Período)]&lt;&gt;"",IF(ISERROR(VLOOKUP(tblHorasJan[Evento 
(2º Período)],tblEvento[],Tabelas!$E$1,FALSE)),FALSE,VLOOKUP(tblHorasJan[Evento 
(2º Período)],tblEvento[],Tabelas!$E$1,FALSE)="Sim")),IF(VLOOKUP(TEXT(tblHorasJan[Data],"dddd"),tblDiaUtil[],2,FALSE)="Não",TRUE,FALSE)),
                   tblHorasJan[Saída - 2]-tblHorasJan[Entrada - 2 (Almoço)],
                   IF(OR(HOUR(tblHorasJan[Saída - 2]-tblHorasJan[Entrada - 2 (Almoço)])&gt;0,MINUTE(tblHorasJan[Saída - 2]-tblHorasJan[Entrada - 2 (Almoço)])&gt;CARENCIA),
                         tblHorasJan[Saída - 2]-tblHorasJan[Entrada - 2 (Almoço)],
                         0)),
       0)),0)</f>
        <v>0</v>
      </c>
      <c r="L27" s="4">
        <f>tblHorasJan[Horas Trabalhadas (1º Período)]+tblHorasJan[Horas Trabalhadas (2º Período)]</f>
        <v>0</v>
      </c>
      <c r="M27" s="4" t="str">
        <f>IF(tblHorasJan[Data]&lt;&gt;"",
        IF(
AND(VLOOKUP(TEXT(tblHorasJan[Data],"dddd"),tblDiaUtil[],3,FALSE)="Sim",IF(tblHorasJan[Evento 
(1º Período)]&lt;&gt;"",IF(VLOOKUP(tblHorasJan[Evento 
(1º Período)],tblEvento[],Tabelas!$E$1,FALSE)="Sim",FALSE,TRUE),TRUE),IF(tblHorasJan[Evento 
(2º Período)]&lt;&gt;"",IF(VLOOKUP(tblHorasJan[Evento 
(2º Período)],tblEvento[],Tabelas!$E$1,FALSE)="Sim",FALSE,TRUE),TRUE)),
              IF(VLOOKUP(tblHorasJan[Dia],tblDiaUtil[[Abreviatura]:[1º Período]],3,FALSE)&gt;0,VLOOKUP(tblHorasJan[Dia],tblDiaUtil[[Abreviatura]:[1º Período]],3,FALSE),JORNADA),
              ""),
         "")</f>
        <v/>
      </c>
      <c r="N27" s="14">
        <f>IF(OR(tblHorasJan[Horas Trabalhadas (1º Período)]&lt;&gt;0,tblHorasJan[Horas Trabalhadas (2º Período)]&lt;&gt;0),
        IF(ISNUMBER(tblHorasJan[Jornada Diária]),
              IF(tblHorasJan[Jornada Diária]&gt;(tblHorasJan[Horas Trabalhadas (2º Período)]+tblHorasJan[Horas Trabalhadas (1º Período)]),
                     IF(ROUND((tblHorasJan[Jornada Diária]-(tblHorasJan[Horas Trabalhadas (2º Período)]+tblHorasJan[Horas Trabalhadas (1º Período)])),6)&gt;ROUND(CARENCIA,6),
                           -tblHorasJan[Jornada Diária]+(tblHorasJan[Horas Trabalhadas (2º Período)]+tblHorasJan[Horas Trabalhadas (1º Período)]),
                           0),
                      IF(ROUND((tblHorasJan[Jornada Diária]-(tblHorasJan[Horas Trabalhadas (2º Período)]+tblHorasJan[Horas Trabalhadas (1º Período)])),6)&lt;ROUND(-CARENCIA,6),
                           -tblHorasJan[Jornada Diária]+(tblHorasJan[Horas Trabalhadas (2º Período)]+tblHorasJan[Horas Trabalhadas (1º Período)]),
                           0)),
              tblHorasJan[Horas Trabalhadas (2º Período)]+tblHorasJan[Horas Trabalhadas (1º Período)]),
         IF(AND(IF(ISERROR(VLOOKUP(tblHorasJan[Evento 
(1º Período)],tblEvento[[Evento]:[Libera o Período]],4,FALSE)),FALSE,IF(VLOOKUP(tblHorasJan[Evento 
(1º Período)],tblEvento[[Evento]:[Libera o Período]],4,FALSE)="Não",TRUE,FALSE)),IF(ISERROR(VLOOKUP(tblHorasJan[Evento 
(2º Período)],tblEvento[[Evento]:[Libera o Período]],4,FALSE)),FALSE,IF(VLOOKUP(tblHorasJan[Evento 
(2º Período)],tblEvento[[Evento]:[Libera o Período]],4,FALSE)="Não",TRUE,FALSE))),
-IF(VLOOKUP(tblHorasJan[Dia],tblDiaUtil[[Abreviatura]:[Total Jornada]],5,FALSE)&lt;&gt;"",VLOOKUP(tblHorasJan[Dia],tblDiaUtil[[Abreviatura]:[Total Jornada]],5,FALSE),JORNADA),
IF(IF(ISERROR(VLOOKUP(tblHorasJan[Evento 
(1º Período)],tblEvento[[Evento]:[Libera o Período]],4,FALSE)),FALSE,
IF(VLOOKUP(tblHorasJan[Evento 
(1º Período)],tblEvento[[Evento]:[Libera o Período]],4,FALSE)="Não",TRUE,FALSE)
),
-IF(VLOOKUP(tblHorasJan[Dia],tblDiaUtil[[Abreviatura]:[1º Período]],3,FALSE)&lt;&gt;"",VLOOKUP(tblHorasJan[Dia],tblDiaUtil[[Abreviatura]:[1º Período]],3,FALSE),JORNADA_PERIODO_1),
IF(IF(ISERROR(VLOOKUP(tblHorasJan[Evento 
(2º Período)],tblEvento[[Evento]:[Libera o Período]],4,FALSE)),FALSE,IF(VLOOKUP(tblHorasJan[Evento 
(2º Período)],tblEvento[[Evento]:[Libera o Período]],4,FALSE)="Não",TRUE,FALSE)),
-IF(VLOOKUP(tblHorasJan[Dia],tblDiaUtil[[Abreviatura]:[2º Período]],4,FALSE)&lt;&gt;"",VLOOKUP(tblHorasJan[Dia],tblDiaUtil[[Abreviatura]:[2º Período]],4,FALSE),JORNADA_PERIODO_2),0))))</f>
        <v>0</v>
      </c>
      <c r="O27" s="14">
        <f>IF(tblHorasJan[Horas Trabalhadas Além Jornada]&gt;0,
        IF(ISNUMBER(tblHorasJan[Jornada Diária]),
              IF(HOUR(tblHorasJan[Horas Trabalhadas Além Jornada])&gt;=VLOOKUP(LIMITE,tblLimiteHora[],Tabelas!$I$1,FALSE),
                    VLOOKUP(LIMITE,tblLimiteHora[],Tabelas!$J$1,FALSE),
                    tblHorasJan[Horas Trabalhadas Além Jornada]),
              tblHorasJan[Horas Trabalhadas Além Jornada]),
        tblHorasJan[Horas Trabalhadas Além Jornada])+O26</f>
        <v>0</v>
      </c>
      <c r="P27" s="14" t="str">
        <f>IF(tblHorasJan[Horas Trabalhadas Além Jornada]&lt;0,IF(OR(tblHorasJan[Evento 
(1º Período)]="",tblHorasJan[Evento 
(2º Período)]=""),tblHorasJan[Horas Trabalhadas Além Jornada],""),"")</f>
        <v/>
      </c>
      <c r="Q27" s="14" t="str">
        <f>IF(tblHorasJan[Jornada Diária]&lt;&gt;"",IF((N(tblHorasJan[Jornada Diária])-ABS(N(tblHorasJan[Horas Trabalhadas Além Jornada])))=0,1,""),"")</f>
        <v/>
      </c>
      <c r="R27" s="14" t="str">
        <f>IF(tblHorasJan[Horas Trabalhadas Além Jornada]&gt;0,
IF(AND(VLOOKUP(TEXT(tblHorasJan[Data],"dddd"),tblDiaUtil[],3,FALSE)="Sim",IF(tblHorasJan[Evento 
(1º Período)]&lt;&gt;"",IF(VLOOKUP(tblHorasJan[Evento 
(1º Período)],tblEvento[],Tabelas!$E$1,FALSE)="Sim",FALSE,TRUE),TRUE),IF(tblHorasJan[Evento 
(2º Período)]&lt;&gt;"",IF(VLOOKUP(tblHorasJan[Evento 
(2º Período)],tblEvento[],Tabelas!$E$1,FALSE)="Sim",FALSE,TRUE),TRUE)),
tblHorasJan[Horas Trabalhadas Além Jornada],""),"")</f>
        <v/>
      </c>
      <c r="S27" s="14" t="str">
        <f>IF(tblHorasJan[Horas Trabalhadas Além Jornada]&gt;0,
IF(OR(VLOOKUP(TEXT(tblHorasJan[Data],"dddd"),tblDiaUtil[],3,FALSE)="Não",IF(tblHorasJan[Evento 
(1º Período)]&lt;&gt;"",IF(VLOOKUP(tblHorasJan[Evento 
(1º Período)],tblEvento[],Tabelas!$E$1,FALSE)="Sim",TRUE,FALSE),FALSE),IF(tblHorasJan[Evento 
(2º Período)]&lt;&gt;"",IF(VLOOKUP(tblHorasJan[Evento 
(2º Período)],tblEvento[],Tabelas!$E$1,FALSE)="Sim",TRUE,FALSE),FALSE)),
tblHorasJan[Horas Trabalhadas Além Jornada],""),"")</f>
        <v/>
      </c>
      <c r="T27" s="15" t="str">
        <f>IF(tblHorasJan[Evento 
(1º Período)]&lt;&gt;""," - " &amp;VLOOKUP(tblHorasJan[Evento 
(1º Período)],tblEvento[],Tabelas!$F$1,FALSE),"")&amp;IF(AND(tblHorasJan[Evento 
(2º Período)]&lt;&gt;"",tblHorasJan[Evento 
(2º Período)]&lt;&gt;tblHorasJan[Evento 
(1º Período)])," - " &amp; VLOOKUP(tblHorasJan[Evento 
(2º Período)],tblEvento[],Tabelas!$F$1,FALSE),"")</f>
        <v/>
      </c>
    </row>
    <row r="28" spans="2:20" x14ac:dyDescent="0.25">
      <c r="B28" s="11" t="str">
        <f t="shared" si="0"/>
        <v/>
      </c>
      <c r="C28" s="12" t="str">
        <f>TEXT(tblHorasJan[Data],"ddd")</f>
        <v/>
      </c>
      <c r="D28" s="25"/>
      <c r="E28" s="1"/>
      <c r="F28" s="1"/>
      <c r="G28" s="1"/>
      <c r="H28" s="1"/>
      <c r="I28" s="53"/>
      <c r="J28" s="4">
        <f>IF($B$6&lt;&gt;"",
IF(AND(tblHorasJan[Evento 
(1º Período)]&lt;&gt;"",IF(ISERROR(VLOOKUP(tblHorasJan[Evento 
(1º Período)],tblEvento[],Tabelas!$D$1,FALSE)),FALSE,VLOOKUP(tblHorasJan[Evento 
(1º Período)],tblEvento[],Tabelas!$D$1,FALSE)="Sim")),
        IF(JORNADA_PERIODO_1&lt;&gt;"",
IF(VLOOKUP(tblHorasJan[Dia],tblDiaUtil[[Abreviatura]:[1º Período]],3,FALSE)&gt;0,VLOOKUP(tblHorasJan[Dia],tblDiaUtil[[Abreviatura]:[1º Período]],3,FALSE),JORNADA_PERIODO_1),
IF(VLOOKUP(tblHorasJan[Dia],tblDiaUtil[[Abreviatura]:[1º Período]],3,FALSE)&gt;0,VLOOKUP(tblHorasJan[Dia],tblDiaUtil[[Abreviatura]:[1º Período]],3,FALSE),JORNADA/2)),
        IF(AND(ISNUMBER(tblHorasJan[Saída - 1 (Almoço)]),ISNUMBER(tblHorasJan[Entrada - 1])),
              IF(OR(AND(tblHorasJan[Evento 
(1º Período)]&lt;&gt;"",IF(ISERROR(VLOOKUP(tblHorasJan[Evento 
(1º Período)],tblEvento[],Tabelas!$E$1,FALSE)),FALSE,VLOOKUP(tblHorasJan[Evento 
(1º Período)],tblEvento[],Tabelas!$E$1,FALSE)="Sim")),IF(VLOOKUP(TEXT(tblHorasJan[Data],"dddd"),tblDiaUtil[],2,FALSE)="Não",TRUE,FALSE)),
                   tblHorasJan[Saída - 1 (Almoço)]-tblHorasJan[Entrada - 1],
                   IF(OR(HOUR(tblHorasJan[Saída - 1 (Almoço)]-tblHorasJan[Entrada - 1])&gt;0,ROUND(tblHorasJan[Saída - 1 (Almoço)]-tblHorasJan[Entrada - 1],6)&gt;ROUND(CARENCIA,6)),
                          tblHorasJan[Saída - 1 (Almoço)]-tblHorasJan[Entrada - 1],
                          0)),
                    0)),0)</f>
        <v>0</v>
      </c>
      <c r="K28" s="4">
        <f>IF($B$6&lt;&gt;"",
IF(AND(tblHorasJan[Evento 
(2º Período)]&lt;&gt;"",IF(ISERROR(VLOOKUP(tblHorasJan[Evento 
(2º Período)],tblEvento[],Tabelas!$D$1,FALSE)),FALSE,VLOOKUP(tblHorasJan[Evento 
(2º Período)],tblEvento[],Tabelas!$D$1,FALSE)="Sim")),
        IF(JORNADA_PERIODO_2&lt;&gt;"",
IF(VLOOKUP(tblHorasJan[Dia],tblDiaUtil[[Abreviatura]:[2º Período]],4,FALSE)&gt;0,VLOOKUP(tblHorasJan[Dia],tblDiaUtil[[Abreviatura]:[2º Período]],4,FALSE),JORNADA_PERIODO_2),
IF(VLOOKUP(tblHorasJan[Dia],tblDiaUtil[[Abreviatura]:[2º Período]],4,FALSE)&gt;0,VLOOKUP(tblHorasJan[Dia],tblDiaUtil[[Abreviatura]:[2º Período]],4,FALSE),JORNADA/2)),
        IF(AND(ISNUMBER(tblHorasJan[Saída - 2]),ISNUMBER(tblHorasJan[Entrada - 2 (Almoço)])),
              IF(OR(AND(tblHorasJan[Evento 
(2º Período)]&lt;&gt;"",IF(ISERROR(VLOOKUP(tblHorasJan[Evento 
(2º Período)],tblEvento[],Tabelas!$E$1,FALSE)),FALSE,VLOOKUP(tblHorasJan[Evento 
(2º Período)],tblEvento[],Tabelas!$E$1,FALSE)="Sim")),IF(VLOOKUP(TEXT(tblHorasJan[Data],"dddd"),tblDiaUtil[],2,FALSE)="Não",TRUE,FALSE)),
                   tblHorasJan[Saída - 2]-tblHorasJan[Entrada - 2 (Almoço)],
                   IF(OR(HOUR(tblHorasJan[Saída - 2]-tblHorasJan[Entrada - 2 (Almoço)])&gt;0,MINUTE(tblHorasJan[Saída - 2]-tblHorasJan[Entrada - 2 (Almoço)])&gt;CARENCIA),
                         tblHorasJan[Saída - 2]-tblHorasJan[Entrada - 2 (Almoço)],
                         0)),
       0)),0)</f>
        <v>0</v>
      </c>
      <c r="L28" s="4">
        <f>tblHorasJan[Horas Trabalhadas (1º Período)]+tblHorasJan[Horas Trabalhadas (2º Período)]</f>
        <v>0</v>
      </c>
      <c r="M28" s="4" t="str">
        <f>IF(tblHorasJan[Data]&lt;&gt;"",
        IF(
AND(VLOOKUP(TEXT(tblHorasJan[Data],"dddd"),tblDiaUtil[],3,FALSE)="Sim",IF(tblHorasJan[Evento 
(1º Período)]&lt;&gt;"",IF(VLOOKUP(tblHorasJan[Evento 
(1º Período)],tblEvento[],Tabelas!$E$1,FALSE)="Sim",FALSE,TRUE),TRUE),IF(tblHorasJan[Evento 
(2º Período)]&lt;&gt;"",IF(VLOOKUP(tblHorasJan[Evento 
(2º Período)],tblEvento[],Tabelas!$E$1,FALSE)="Sim",FALSE,TRUE),TRUE)),
              IF(VLOOKUP(tblHorasJan[Dia],tblDiaUtil[[Abreviatura]:[1º Período]],3,FALSE)&gt;0,VLOOKUP(tblHorasJan[Dia],tblDiaUtil[[Abreviatura]:[1º Período]],3,FALSE),JORNADA),
              ""),
         "")</f>
        <v/>
      </c>
      <c r="N28" s="14">
        <f>IF(OR(tblHorasJan[Horas Trabalhadas (1º Período)]&lt;&gt;0,tblHorasJan[Horas Trabalhadas (2º Período)]&lt;&gt;0),
        IF(ISNUMBER(tblHorasJan[Jornada Diária]),
              IF(tblHorasJan[Jornada Diária]&gt;(tblHorasJan[Horas Trabalhadas (2º Período)]+tblHorasJan[Horas Trabalhadas (1º Período)]),
                     IF(ROUND((tblHorasJan[Jornada Diária]-(tblHorasJan[Horas Trabalhadas (2º Período)]+tblHorasJan[Horas Trabalhadas (1º Período)])),6)&gt;ROUND(CARENCIA,6),
                           -tblHorasJan[Jornada Diária]+(tblHorasJan[Horas Trabalhadas (2º Período)]+tblHorasJan[Horas Trabalhadas (1º Período)]),
                           0),
                      IF(ROUND((tblHorasJan[Jornada Diária]-(tblHorasJan[Horas Trabalhadas (2º Período)]+tblHorasJan[Horas Trabalhadas (1º Período)])),6)&lt;ROUND(-CARENCIA,6),
                           -tblHorasJan[Jornada Diária]+(tblHorasJan[Horas Trabalhadas (2º Período)]+tblHorasJan[Horas Trabalhadas (1º Período)]),
                           0)),
              tblHorasJan[Horas Trabalhadas (2º Período)]+tblHorasJan[Horas Trabalhadas (1º Período)]),
         IF(AND(IF(ISERROR(VLOOKUP(tblHorasJan[Evento 
(1º Período)],tblEvento[[Evento]:[Libera o Período]],4,FALSE)),FALSE,IF(VLOOKUP(tblHorasJan[Evento 
(1º Período)],tblEvento[[Evento]:[Libera o Período]],4,FALSE)="Não",TRUE,FALSE)),IF(ISERROR(VLOOKUP(tblHorasJan[Evento 
(2º Período)],tblEvento[[Evento]:[Libera o Período]],4,FALSE)),FALSE,IF(VLOOKUP(tblHorasJan[Evento 
(2º Período)],tblEvento[[Evento]:[Libera o Período]],4,FALSE)="Não",TRUE,FALSE))),
-IF(VLOOKUP(tblHorasJan[Dia],tblDiaUtil[[Abreviatura]:[Total Jornada]],5,FALSE)&lt;&gt;"",VLOOKUP(tblHorasJan[Dia],tblDiaUtil[[Abreviatura]:[Total Jornada]],5,FALSE),JORNADA),
IF(IF(ISERROR(VLOOKUP(tblHorasJan[Evento 
(1º Período)],tblEvento[[Evento]:[Libera o Período]],4,FALSE)),FALSE,
IF(VLOOKUP(tblHorasJan[Evento 
(1º Período)],tblEvento[[Evento]:[Libera o Período]],4,FALSE)="Não",TRUE,FALSE)
),
-IF(VLOOKUP(tblHorasJan[Dia],tblDiaUtil[[Abreviatura]:[1º Período]],3,FALSE)&lt;&gt;"",VLOOKUP(tblHorasJan[Dia],tblDiaUtil[[Abreviatura]:[1º Período]],3,FALSE),JORNADA_PERIODO_1),
IF(IF(ISERROR(VLOOKUP(tblHorasJan[Evento 
(2º Período)],tblEvento[[Evento]:[Libera o Período]],4,FALSE)),FALSE,IF(VLOOKUP(tblHorasJan[Evento 
(2º Período)],tblEvento[[Evento]:[Libera o Período]],4,FALSE)="Não",TRUE,FALSE)),
-IF(VLOOKUP(tblHorasJan[Dia],tblDiaUtil[[Abreviatura]:[2º Período]],4,FALSE)&lt;&gt;"",VLOOKUP(tblHorasJan[Dia],tblDiaUtil[[Abreviatura]:[2º Período]],4,FALSE),JORNADA_PERIODO_2),0))))</f>
        <v>0</v>
      </c>
      <c r="O28" s="14">
        <f>IF(tblHorasJan[Horas Trabalhadas Além Jornada]&gt;0,
        IF(ISNUMBER(tblHorasJan[Jornada Diária]),
              IF(HOUR(tblHorasJan[Horas Trabalhadas Além Jornada])&gt;=VLOOKUP(LIMITE,tblLimiteHora[],Tabelas!$I$1,FALSE),
                    VLOOKUP(LIMITE,tblLimiteHora[],Tabelas!$J$1,FALSE),
                    tblHorasJan[Horas Trabalhadas Além Jornada]),
              tblHorasJan[Horas Trabalhadas Além Jornada]),
        tblHorasJan[Horas Trabalhadas Além Jornada])+O27</f>
        <v>0</v>
      </c>
      <c r="P28" s="14" t="str">
        <f>IF(tblHorasJan[Horas Trabalhadas Além Jornada]&lt;0,IF(OR(tblHorasJan[Evento 
(1º Período)]="",tblHorasJan[Evento 
(2º Período)]=""),tblHorasJan[Horas Trabalhadas Além Jornada],""),"")</f>
        <v/>
      </c>
      <c r="Q28" s="14" t="str">
        <f>IF(tblHorasJan[Jornada Diária]&lt;&gt;"",IF((N(tblHorasJan[Jornada Diária])-ABS(N(tblHorasJan[Horas Trabalhadas Além Jornada])))=0,1,""),"")</f>
        <v/>
      </c>
      <c r="R28" s="14" t="str">
        <f>IF(tblHorasJan[Horas Trabalhadas Além Jornada]&gt;0,
IF(AND(VLOOKUP(TEXT(tblHorasJan[Data],"dddd"),tblDiaUtil[],3,FALSE)="Sim",IF(tblHorasJan[Evento 
(1º Período)]&lt;&gt;"",IF(VLOOKUP(tblHorasJan[Evento 
(1º Período)],tblEvento[],Tabelas!$E$1,FALSE)="Sim",FALSE,TRUE),TRUE),IF(tblHorasJan[Evento 
(2º Período)]&lt;&gt;"",IF(VLOOKUP(tblHorasJan[Evento 
(2º Período)],tblEvento[],Tabelas!$E$1,FALSE)="Sim",FALSE,TRUE),TRUE)),
tblHorasJan[Horas Trabalhadas Além Jornada],""),"")</f>
        <v/>
      </c>
      <c r="S28" s="14" t="str">
        <f>IF(tblHorasJan[Horas Trabalhadas Além Jornada]&gt;0,
IF(OR(VLOOKUP(TEXT(tblHorasJan[Data],"dddd"),tblDiaUtil[],3,FALSE)="Não",IF(tblHorasJan[Evento 
(1º Período)]&lt;&gt;"",IF(VLOOKUP(tblHorasJan[Evento 
(1º Período)],tblEvento[],Tabelas!$E$1,FALSE)="Sim",TRUE,FALSE),FALSE),IF(tblHorasJan[Evento 
(2º Período)]&lt;&gt;"",IF(VLOOKUP(tblHorasJan[Evento 
(2º Período)],tblEvento[],Tabelas!$E$1,FALSE)="Sim",TRUE,FALSE),FALSE)),
tblHorasJan[Horas Trabalhadas Além Jornada],""),"")</f>
        <v/>
      </c>
      <c r="T28" s="15" t="str">
        <f>IF(tblHorasJan[Evento 
(1º Período)]&lt;&gt;""," - " &amp;VLOOKUP(tblHorasJan[Evento 
(1º Período)],tblEvento[],Tabelas!$F$1,FALSE),"")&amp;IF(AND(tblHorasJan[Evento 
(2º Período)]&lt;&gt;"",tblHorasJan[Evento 
(2º Período)]&lt;&gt;tblHorasJan[Evento 
(1º Período)])," - " &amp; VLOOKUP(tblHorasJan[Evento 
(2º Período)],tblEvento[],Tabelas!$F$1,FALSE),"")</f>
        <v/>
      </c>
    </row>
    <row r="29" spans="2:20" x14ac:dyDescent="0.25">
      <c r="B29" s="11" t="str">
        <f t="shared" si="0"/>
        <v/>
      </c>
      <c r="C29" s="12" t="str">
        <f>TEXT(tblHorasJan[Data],"ddd")</f>
        <v/>
      </c>
      <c r="D29" s="25"/>
      <c r="E29" s="1"/>
      <c r="F29" s="1"/>
      <c r="G29" s="1"/>
      <c r="H29" s="1"/>
      <c r="I29" s="53"/>
      <c r="J29" s="4">
        <f>IF($B$6&lt;&gt;"",
IF(AND(tblHorasJan[Evento 
(1º Período)]&lt;&gt;"",IF(ISERROR(VLOOKUP(tblHorasJan[Evento 
(1º Período)],tblEvento[],Tabelas!$D$1,FALSE)),FALSE,VLOOKUP(tblHorasJan[Evento 
(1º Período)],tblEvento[],Tabelas!$D$1,FALSE)="Sim")),
        IF(JORNADA_PERIODO_1&lt;&gt;"",
IF(VLOOKUP(tblHorasJan[Dia],tblDiaUtil[[Abreviatura]:[1º Período]],3,FALSE)&gt;0,VLOOKUP(tblHorasJan[Dia],tblDiaUtil[[Abreviatura]:[1º Período]],3,FALSE),JORNADA_PERIODO_1),
IF(VLOOKUP(tblHorasJan[Dia],tblDiaUtil[[Abreviatura]:[1º Período]],3,FALSE)&gt;0,VLOOKUP(tblHorasJan[Dia],tblDiaUtil[[Abreviatura]:[1º Período]],3,FALSE),JORNADA/2)),
        IF(AND(ISNUMBER(tblHorasJan[Saída - 1 (Almoço)]),ISNUMBER(tblHorasJan[Entrada - 1])),
              IF(OR(AND(tblHorasJan[Evento 
(1º Período)]&lt;&gt;"",IF(ISERROR(VLOOKUP(tblHorasJan[Evento 
(1º Período)],tblEvento[],Tabelas!$E$1,FALSE)),FALSE,VLOOKUP(tblHorasJan[Evento 
(1º Período)],tblEvento[],Tabelas!$E$1,FALSE)="Sim")),IF(VLOOKUP(TEXT(tblHorasJan[Data],"dddd"),tblDiaUtil[],2,FALSE)="Não",TRUE,FALSE)),
                   tblHorasJan[Saída - 1 (Almoço)]-tblHorasJan[Entrada - 1],
                   IF(OR(HOUR(tblHorasJan[Saída - 1 (Almoço)]-tblHorasJan[Entrada - 1])&gt;0,ROUND(tblHorasJan[Saída - 1 (Almoço)]-tblHorasJan[Entrada - 1],6)&gt;ROUND(CARENCIA,6)),
                          tblHorasJan[Saída - 1 (Almoço)]-tblHorasJan[Entrada - 1],
                          0)),
                    0)),0)</f>
        <v>0</v>
      </c>
      <c r="K29" s="4">
        <f>IF($B$6&lt;&gt;"",
IF(AND(tblHorasJan[Evento 
(2º Período)]&lt;&gt;"",IF(ISERROR(VLOOKUP(tblHorasJan[Evento 
(2º Período)],tblEvento[],Tabelas!$D$1,FALSE)),FALSE,VLOOKUP(tblHorasJan[Evento 
(2º Período)],tblEvento[],Tabelas!$D$1,FALSE)="Sim")),
        IF(JORNADA_PERIODO_2&lt;&gt;"",
IF(VLOOKUP(tblHorasJan[Dia],tblDiaUtil[[Abreviatura]:[2º Período]],4,FALSE)&gt;0,VLOOKUP(tblHorasJan[Dia],tblDiaUtil[[Abreviatura]:[2º Período]],4,FALSE),JORNADA_PERIODO_2),
IF(VLOOKUP(tblHorasJan[Dia],tblDiaUtil[[Abreviatura]:[2º Período]],4,FALSE)&gt;0,VLOOKUP(tblHorasJan[Dia],tblDiaUtil[[Abreviatura]:[2º Período]],4,FALSE),JORNADA/2)),
        IF(AND(ISNUMBER(tblHorasJan[Saída - 2]),ISNUMBER(tblHorasJan[Entrada - 2 (Almoço)])),
              IF(OR(AND(tblHorasJan[Evento 
(2º Período)]&lt;&gt;"",IF(ISERROR(VLOOKUP(tblHorasJan[Evento 
(2º Período)],tblEvento[],Tabelas!$E$1,FALSE)),FALSE,VLOOKUP(tblHorasJan[Evento 
(2º Período)],tblEvento[],Tabelas!$E$1,FALSE)="Sim")),IF(VLOOKUP(TEXT(tblHorasJan[Data],"dddd"),tblDiaUtil[],2,FALSE)="Não",TRUE,FALSE)),
                   tblHorasJan[Saída - 2]-tblHorasJan[Entrada - 2 (Almoço)],
                   IF(OR(HOUR(tblHorasJan[Saída - 2]-tblHorasJan[Entrada - 2 (Almoço)])&gt;0,MINUTE(tblHorasJan[Saída - 2]-tblHorasJan[Entrada - 2 (Almoço)])&gt;CARENCIA),
                         tblHorasJan[Saída - 2]-tblHorasJan[Entrada - 2 (Almoço)],
                         0)),
       0)),0)</f>
        <v>0</v>
      </c>
      <c r="L29" s="4">
        <f>tblHorasJan[Horas Trabalhadas (1º Período)]+tblHorasJan[Horas Trabalhadas (2º Período)]</f>
        <v>0</v>
      </c>
      <c r="M29" s="4" t="str">
        <f>IF(tblHorasJan[Data]&lt;&gt;"",
        IF(
AND(VLOOKUP(TEXT(tblHorasJan[Data],"dddd"),tblDiaUtil[],3,FALSE)="Sim",IF(tblHorasJan[Evento 
(1º Período)]&lt;&gt;"",IF(VLOOKUP(tblHorasJan[Evento 
(1º Período)],tblEvento[],Tabelas!$E$1,FALSE)="Sim",FALSE,TRUE),TRUE),IF(tblHorasJan[Evento 
(2º Período)]&lt;&gt;"",IF(VLOOKUP(tblHorasJan[Evento 
(2º Período)],tblEvento[],Tabelas!$E$1,FALSE)="Sim",FALSE,TRUE),TRUE)),
              IF(VLOOKUP(tblHorasJan[Dia],tblDiaUtil[[Abreviatura]:[1º Período]],3,FALSE)&gt;0,VLOOKUP(tblHorasJan[Dia],tblDiaUtil[[Abreviatura]:[1º Período]],3,FALSE),JORNADA),
              ""),
         "")</f>
        <v/>
      </c>
      <c r="N29" s="14">
        <f>IF(OR(tblHorasJan[Horas Trabalhadas (1º Período)]&lt;&gt;0,tblHorasJan[Horas Trabalhadas (2º Período)]&lt;&gt;0),
        IF(ISNUMBER(tblHorasJan[Jornada Diária]),
              IF(tblHorasJan[Jornada Diária]&gt;(tblHorasJan[Horas Trabalhadas (2º Período)]+tblHorasJan[Horas Trabalhadas (1º Período)]),
                     IF(ROUND((tblHorasJan[Jornada Diária]-(tblHorasJan[Horas Trabalhadas (2º Período)]+tblHorasJan[Horas Trabalhadas (1º Período)])),6)&gt;ROUND(CARENCIA,6),
                           -tblHorasJan[Jornada Diária]+(tblHorasJan[Horas Trabalhadas (2º Período)]+tblHorasJan[Horas Trabalhadas (1º Período)]),
                           0),
                      IF(ROUND((tblHorasJan[Jornada Diária]-(tblHorasJan[Horas Trabalhadas (2º Período)]+tblHorasJan[Horas Trabalhadas (1º Período)])),6)&lt;ROUND(-CARENCIA,6),
                           -tblHorasJan[Jornada Diária]+(tblHorasJan[Horas Trabalhadas (2º Período)]+tblHorasJan[Horas Trabalhadas (1º Período)]),
                           0)),
              tblHorasJan[Horas Trabalhadas (2º Período)]+tblHorasJan[Horas Trabalhadas (1º Período)]),
         IF(AND(IF(ISERROR(VLOOKUP(tblHorasJan[Evento 
(1º Período)],tblEvento[[Evento]:[Libera o Período]],4,FALSE)),FALSE,IF(VLOOKUP(tblHorasJan[Evento 
(1º Período)],tblEvento[[Evento]:[Libera o Período]],4,FALSE)="Não",TRUE,FALSE)),IF(ISERROR(VLOOKUP(tblHorasJan[Evento 
(2º Período)],tblEvento[[Evento]:[Libera o Período]],4,FALSE)),FALSE,IF(VLOOKUP(tblHorasJan[Evento 
(2º Período)],tblEvento[[Evento]:[Libera o Período]],4,FALSE)="Não",TRUE,FALSE))),
-IF(VLOOKUP(tblHorasJan[Dia],tblDiaUtil[[Abreviatura]:[Total Jornada]],5,FALSE)&lt;&gt;"",VLOOKUP(tblHorasJan[Dia],tblDiaUtil[[Abreviatura]:[Total Jornada]],5,FALSE),JORNADA),
IF(IF(ISERROR(VLOOKUP(tblHorasJan[Evento 
(1º Período)],tblEvento[[Evento]:[Libera o Período]],4,FALSE)),FALSE,
IF(VLOOKUP(tblHorasJan[Evento 
(1º Período)],tblEvento[[Evento]:[Libera o Período]],4,FALSE)="Não",TRUE,FALSE)
),
-IF(VLOOKUP(tblHorasJan[Dia],tblDiaUtil[[Abreviatura]:[1º Período]],3,FALSE)&lt;&gt;"",VLOOKUP(tblHorasJan[Dia],tblDiaUtil[[Abreviatura]:[1º Período]],3,FALSE),JORNADA_PERIODO_1),
IF(IF(ISERROR(VLOOKUP(tblHorasJan[Evento 
(2º Período)],tblEvento[[Evento]:[Libera o Período]],4,FALSE)),FALSE,IF(VLOOKUP(tblHorasJan[Evento 
(2º Período)],tblEvento[[Evento]:[Libera o Período]],4,FALSE)="Não",TRUE,FALSE)),
-IF(VLOOKUP(tblHorasJan[Dia],tblDiaUtil[[Abreviatura]:[2º Período]],4,FALSE)&lt;&gt;"",VLOOKUP(tblHorasJan[Dia],tblDiaUtil[[Abreviatura]:[2º Período]],4,FALSE),JORNADA_PERIODO_2),0))))</f>
        <v>0</v>
      </c>
      <c r="O29" s="14">
        <f>IF(tblHorasJan[Horas Trabalhadas Além Jornada]&gt;0,
        IF(ISNUMBER(tblHorasJan[Jornada Diária]),
              IF(HOUR(tblHorasJan[Horas Trabalhadas Além Jornada])&gt;=VLOOKUP(LIMITE,tblLimiteHora[],Tabelas!$I$1,FALSE),
                    VLOOKUP(LIMITE,tblLimiteHora[],Tabelas!$J$1,FALSE),
                    tblHorasJan[Horas Trabalhadas Além Jornada]),
              tblHorasJan[Horas Trabalhadas Além Jornada]),
        tblHorasJan[Horas Trabalhadas Além Jornada])+O28</f>
        <v>0</v>
      </c>
      <c r="P29" s="14" t="str">
        <f>IF(tblHorasJan[Horas Trabalhadas Além Jornada]&lt;0,IF(OR(tblHorasJan[Evento 
(1º Período)]="",tblHorasJan[Evento 
(2º Período)]=""),tblHorasJan[Horas Trabalhadas Além Jornada],""),"")</f>
        <v/>
      </c>
      <c r="Q29" s="14" t="str">
        <f>IF(tblHorasJan[Jornada Diária]&lt;&gt;"",IF((N(tblHorasJan[Jornada Diária])-ABS(N(tblHorasJan[Horas Trabalhadas Além Jornada])))=0,1,""),"")</f>
        <v/>
      </c>
      <c r="R29" s="14" t="str">
        <f>IF(tblHorasJan[Horas Trabalhadas Além Jornada]&gt;0,
IF(AND(VLOOKUP(TEXT(tblHorasJan[Data],"dddd"),tblDiaUtil[],3,FALSE)="Sim",IF(tblHorasJan[Evento 
(1º Período)]&lt;&gt;"",IF(VLOOKUP(tblHorasJan[Evento 
(1º Período)],tblEvento[],Tabelas!$E$1,FALSE)="Sim",FALSE,TRUE),TRUE),IF(tblHorasJan[Evento 
(2º Período)]&lt;&gt;"",IF(VLOOKUP(tblHorasJan[Evento 
(2º Período)],tblEvento[],Tabelas!$E$1,FALSE)="Sim",FALSE,TRUE),TRUE)),
tblHorasJan[Horas Trabalhadas Além Jornada],""),"")</f>
        <v/>
      </c>
      <c r="S29" s="14" t="str">
        <f>IF(tblHorasJan[Horas Trabalhadas Além Jornada]&gt;0,
IF(OR(VLOOKUP(TEXT(tblHorasJan[Data],"dddd"),tblDiaUtil[],3,FALSE)="Não",IF(tblHorasJan[Evento 
(1º Período)]&lt;&gt;"",IF(VLOOKUP(tblHorasJan[Evento 
(1º Período)],tblEvento[],Tabelas!$E$1,FALSE)="Sim",TRUE,FALSE),FALSE),IF(tblHorasJan[Evento 
(2º Período)]&lt;&gt;"",IF(VLOOKUP(tblHorasJan[Evento 
(2º Período)],tblEvento[],Tabelas!$E$1,FALSE)="Sim",TRUE,FALSE),FALSE)),
tblHorasJan[Horas Trabalhadas Além Jornada],""),"")</f>
        <v/>
      </c>
      <c r="T29" s="15" t="str">
        <f>IF(tblHorasJan[Evento 
(1º Período)]&lt;&gt;""," - " &amp;VLOOKUP(tblHorasJan[Evento 
(1º Período)],tblEvento[],Tabelas!$F$1,FALSE),"")&amp;IF(AND(tblHorasJan[Evento 
(2º Período)]&lt;&gt;"",tblHorasJan[Evento 
(2º Período)]&lt;&gt;tblHorasJan[Evento 
(1º Período)])," - " &amp; VLOOKUP(tblHorasJan[Evento 
(2º Período)],tblEvento[],Tabelas!$F$1,FALSE),"")</f>
        <v/>
      </c>
    </row>
    <row r="30" spans="2:20" x14ac:dyDescent="0.25">
      <c r="B30" s="11" t="str">
        <f t="shared" si="0"/>
        <v/>
      </c>
      <c r="C30" s="12" t="str">
        <f>TEXT(tblHorasJan[Data],"ddd")</f>
        <v/>
      </c>
      <c r="D30" s="25"/>
      <c r="E30" s="1"/>
      <c r="F30" s="1"/>
      <c r="G30" s="1"/>
      <c r="H30" s="1"/>
      <c r="I30" s="53"/>
      <c r="J30" s="4">
        <f>IF($B$6&lt;&gt;"",
IF(AND(tblHorasJan[Evento 
(1º Período)]&lt;&gt;"",IF(ISERROR(VLOOKUP(tblHorasJan[Evento 
(1º Período)],tblEvento[],Tabelas!$D$1,FALSE)),FALSE,VLOOKUP(tblHorasJan[Evento 
(1º Período)],tblEvento[],Tabelas!$D$1,FALSE)="Sim")),
        IF(JORNADA_PERIODO_1&lt;&gt;"",
IF(VLOOKUP(tblHorasJan[Dia],tblDiaUtil[[Abreviatura]:[1º Período]],3,FALSE)&gt;0,VLOOKUP(tblHorasJan[Dia],tblDiaUtil[[Abreviatura]:[1º Período]],3,FALSE),JORNADA_PERIODO_1),
IF(VLOOKUP(tblHorasJan[Dia],tblDiaUtil[[Abreviatura]:[1º Período]],3,FALSE)&gt;0,VLOOKUP(tblHorasJan[Dia],tblDiaUtil[[Abreviatura]:[1º Período]],3,FALSE),JORNADA/2)),
        IF(AND(ISNUMBER(tblHorasJan[Saída - 1 (Almoço)]),ISNUMBER(tblHorasJan[Entrada - 1])),
              IF(OR(AND(tblHorasJan[Evento 
(1º Período)]&lt;&gt;"",IF(ISERROR(VLOOKUP(tblHorasJan[Evento 
(1º Período)],tblEvento[],Tabelas!$E$1,FALSE)),FALSE,VLOOKUP(tblHorasJan[Evento 
(1º Período)],tblEvento[],Tabelas!$E$1,FALSE)="Sim")),IF(VLOOKUP(TEXT(tblHorasJan[Data],"dddd"),tblDiaUtil[],2,FALSE)="Não",TRUE,FALSE)),
                   tblHorasJan[Saída - 1 (Almoço)]-tblHorasJan[Entrada - 1],
                   IF(OR(HOUR(tblHorasJan[Saída - 1 (Almoço)]-tblHorasJan[Entrada - 1])&gt;0,ROUND(tblHorasJan[Saída - 1 (Almoço)]-tblHorasJan[Entrada - 1],6)&gt;ROUND(CARENCIA,6)),
                          tblHorasJan[Saída - 1 (Almoço)]-tblHorasJan[Entrada - 1],
                          0)),
                    0)),0)</f>
        <v>0</v>
      </c>
      <c r="K30" s="4">
        <f>IF($B$6&lt;&gt;"",
IF(AND(tblHorasJan[Evento 
(2º Período)]&lt;&gt;"",IF(ISERROR(VLOOKUP(tblHorasJan[Evento 
(2º Período)],tblEvento[],Tabelas!$D$1,FALSE)),FALSE,VLOOKUP(tblHorasJan[Evento 
(2º Período)],tblEvento[],Tabelas!$D$1,FALSE)="Sim")),
        IF(JORNADA_PERIODO_2&lt;&gt;"",
IF(VLOOKUP(tblHorasJan[Dia],tblDiaUtil[[Abreviatura]:[2º Período]],4,FALSE)&gt;0,VLOOKUP(tblHorasJan[Dia],tblDiaUtil[[Abreviatura]:[2º Período]],4,FALSE),JORNADA_PERIODO_2),
IF(VLOOKUP(tblHorasJan[Dia],tblDiaUtil[[Abreviatura]:[2º Período]],4,FALSE)&gt;0,VLOOKUP(tblHorasJan[Dia],tblDiaUtil[[Abreviatura]:[2º Período]],4,FALSE),JORNADA/2)),
        IF(AND(ISNUMBER(tblHorasJan[Saída - 2]),ISNUMBER(tblHorasJan[Entrada - 2 (Almoço)])),
              IF(OR(AND(tblHorasJan[Evento 
(2º Período)]&lt;&gt;"",IF(ISERROR(VLOOKUP(tblHorasJan[Evento 
(2º Período)],tblEvento[],Tabelas!$E$1,FALSE)),FALSE,VLOOKUP(tblHorasJan[Evento 
(2º Período)],tblEvento[],Tabelas!$E$1,FALSE)="Sim")),IF(VLOOKUP(TEXT(tblHorasJan[Data],"dddd"),tblDiaUtil[],2,FALSE)="Não",TRUE,FALSE)),
                   tblHorasJan[Saída - 2]-tblHorasJan[Entrada - 2 (Almoço)],
                   IF(OR(HOUR(tblHorasJan[Saída - 2]-tblHorasJan[Entrada - 2 (Almoço)])&gt;0,MINUTE(tblHorasJan[Saída - 2]-tblHorasJan[Entrada - 2 (Almoço)])&gt;CARENCIA),
                         tblHorasJan[Saída - 2]-tblHorasJan[Entrada - 2 (Almoço)],
                         0)),
       0)),0)</f>
        <v>0</v>
      </c>
      <c r="L30" s="4">
        <f>tblHorasJan[Horas Trabalhadas (1º Período)]+tblHorasJan[Horas Trabalhadas (2º Período)]</f>
        <v>0</v>
      </c>
      <c r="M30" s="4" t="str">
        <f>IF(tblHorasJan[Data]&lt;&gt;"",
        IF(
AND(VLOOKUP(TEXT(tblHorasJan[Data],"dddd"),tblDiaUtil[],3,FALSE)="Sim",IF(tblHorasJan[Evento 
(1º Período)]&lt;&gt;"",IF(VLOOKUP(tblHorasJan[Evento 
(1º Período)],tblEvento[],Tabelas!$E$1,FALSE)="Sim",FALSE,TRUE),TRUE),IF(tblHorasJan[Evento 
(2º Período)]&lt;&gt;"",IF(VLOOKUP(tblHorasJan[Evento 
(2º Período)],tblEvento[],Tabelas!$E$1,FALSE)="Sim",FALSE,TRUE),TRUE)),
              IF(VLOOKUP(tblHorasJan[Dia],tblDiaUtil[[Abreviatura]:[1º Período]],3,FALSE)&gt;0,VLOOKUP(tblHorasJan[Dia],tblDiaUtil[[Abreviatura]:[1º Período]],3,FALSE),JORNADA),
              ""),
         "")</f>
        <v/>
      </c>
      <c r="N30" s="14">
        <f>IF(OR(tblHorasJan[Horas Trabalhadas (1º Período)]&lt;&gt;0,tblHorasJan[Horas Trabalhadas (2º Período)]&lt;&gt;0),
        IF(ISNUMBER(tblHorasJan[Jornada Diária]),
              IF(tblHorasJan[Jornada Diária]&gt;(tblHorasJan[Horas Trabalhadas (2º Período)]+tblHorasJan[Horas Trabalhadas (1º Período)]),
                     IF(ROUND((tblHorasJan[Jornada Diária]-(tblHorasJan[Horas Trabalhadas (2º Período)]+tblHorasJan[Horas Trabalhadas (1º Período)])),6)&gt;ROUND(CARENCIA,6),
                           -tblHorasJan[Jornada Diária]+(tblHorasJan[Horas Trabalhadas (2º Período)]+tblHorasJan[Horas Trabalhadas (1º Período)]),
                           0),
                      IF(ROUND((tblHorasJan[Jornada Diária]-(tblHorasJan[Horas Trabalhadas (2º Período)]+tblHorasJan[Horas Trabalhadas (1º Período)])),6)&lt;ROUND(-CARENCIA,6),
                           -tblHorasJan[Jornada Diária]+(tblHorasJan[Horas Trabalhadas (2º Período)]+tblHorasJan[Horas Trabalhadas (1º Período)]),
                           0)),
              tblHorasJan[Horas Trabalhadas (2º Período)]+tblHorasJan[Horas Trabalhadas (1º Período)]),
         IF(AND(IF(ISERROR(VLOOKUP(tblHorasJan[Evento 
(1º Período)],tblEvento[[Evento]:[Libera o Período]],4,FALSE)),FALSE,IF(VLOOKUP(tblHorasJan[Evento 
(1º Período)],tblEvento[[Evento]:[Libera o Período]],4,FALSE)="Não",TRUE,FALSE)),IF(ISERROR(VLOOKUP(tblHorasJan[Evento 
(2º Período)],tblEvento[[Evento]:[Libera o Período]],4,FALSE)),FALSE,IF(VLOOKUP(tblHorasJan[Evento 
(2º Período)],tblEvento[[Evento]:[Libera o Período]],4,FALSE)="Não",TRUE,FALSE))),
-IF(VLOOKUP(tblHorasJan[Dia],tblDiaUtil[[Abreviatura]:[Total Jornada]],5,FALSE)&lt;&gt;"",VLOOKUP(tblHorasJan[Dia],tblDiaUtil[[Abreviatura]:[Total Jornada]],5,FALSE),JORNADA),
IF(IF(ISERROR(VLOOKUP(tblHorasJan[Evento 
(1º Período)],tblEvento[[Evento]:[Libera o Período]],4,FALSE)),FALSE,
IF(VLOOKUP(tblHorasJan[Evento 
(1º Período)],tblEvento[[Evento]:[Libera o Período]],4,FALSE)="Não",TRUE,FALSE)
),
-IF(VLOOKUP(tblHorasJan[Dia],tblDiaUtil[[Abreviatura]:[1º Período]],3,FALSE)&lt;&gt;"",VLOOKUP(tblHorasJan[Dia],tblDiaUtil[[Abreviatura]:[1º Período]],3,FALSE),JORNADA_PERIODO_1),
IF(IF(ISERROR(VLOOKUP(tblHorasJan[Evento 
(2º Período)],tblEvento[[Evento]:[Libera o Período]],4,FALSE)),FALSE,IF(VLOOKUP(tblHorasJan[Evento 
(2º Período)],tblEvento[[Evento]:[Libera o Período]],4,FALSE)="Não",TRUE,FALSE)),
-IF(VLOOKUP(tblHorasJan[Dia],tblDiaUtil[[Abreviatura]:[2º Período]],4,FALSE)&lt;&gt;"",VLOOKUP(tblHorasJan[Dia],tblDiaUtil[[Abreviatura]:[2º Período]],4,FALSE),JORNADA_PERIODO_2),0))))</f>
        <v>0</v>
      </c>
      <c r="O30" s="14">
        <f>IF(tblHorasJan[Horas Trabalhadas Além Jornada]&gt;0,
        IF(ISNUMBER(tblHorasJan[Jornada Diária]),
              IF(HOUR(tblHorasJan[Horas Trabalhadas Além Jornada])&gt;=VLOOKUP(LIMITE,tblLimiteHora[],Tabelas!$I$1,FALSE),
                    VLOOKUP(LIMITE,tblLimiteHora[],Tabelas!$J$1,FALSE),
                    tblHorasJan[Horas Trabalhadas Além Jornada]),
              tblHorasJan[Horas Trabalhadas Além Jornada]),
        tblHorasJan[Horas Trabalhadas Além Jornada])+O29</f>
        <v>0</v>
      </c>
      <c r="P30" s="14" t="str">
        <f>IF(tblHorasJan[Horas Trabalhadas Além Jornada]&lt;0,IF(OR(tblHorasJan[Evento 
(1º Período)]="",tblHorasJan[Evento 
(2º Período)]=""),tblHorasJan[Horas Trabalhadas Além Jornada],""),"")</f>
        <v/>
      </c>
      <c r="Q30" s="14" t="str">
        <f>IF(tblHorasJan[Jornada Diária]&lt;&gt;"",IF((N(tblHorasJan[Jornada Diária])-ABS(N(tblHorasJan[Horas Trabalhadas Além Jornada])))=0,1,""),"")</f>
        <v/>
      </c>
      <c r="R30" s="14" t="str">
        <f>IF(tblHorasJan[Horas Trabalhadas Além Jornada]&gt;0,
IF(AND(VLOOKUP(TEXT(tblHorasJan[Data],"dddd"),tblDiaUtil[],3,FALSE)="Sim",IF(tblHorasJan[Evento 
(1º Período)]&lt;&gt;"",IF(VLOOKUP(tblHorasJan[Evento 
(1º Período)],tblEvento[],Tabelas!$E$1,FALSE)="Sim",FALSE,TRUE),TRUE),IF(tblHorasJan[Evento 
(2º Período)]&lt;&gt;"",IF(VLOOKUP(tblHorasJan[Evento 
(2º Período)],tblEvento[],Tabelas!$E$1,FALSE)="Sim",FALSE,TRUE),TRUE)),
tblHorasJan[Horas Trabalhadas Além Jornada],""),"")</f>
        <v/>
      </c>
      <c r="S30" s="14" t="str">
        <f>IF(tblHorasJan[Horas Trabalhadas Além Jornada]&gt;0,
IF(OR(VLOOKUP(TEXT(tblHorasJan[Data],"dddd"),tblDiaUtil[],3,FALSE)="Não",IF(tblHorasJan[Evento 
(1º Período)]&lt;&gt;"",IF(VLOOKUP(tblHorasJan[Evento 
(1º Período)],tblEvento[],Tabelas!$E$1,FALSE)="Sim",TRUE,FALSE),FALSE),IF(tblHorasJan[Evento 
(2º Período)]&lt;&gt;"",IF(VLOOKUP(tblHorasJan[Evento 
(2º Período)],tblEvento[],Tabelas!$E$1,FALSE)="Sim",TRUE,FALSE),FALSE)),
tblHorasJan[Horas Trabalhadas Além Jornada],""),"")</f>
        <v/>
      </c>
      <c r="T30" s="15" t="str">
        <f>IF(tblHorasJan[Evento 
(1º Período)]&lt;&gt;""," - " &amp;VLOOKUP(tblHorasJan[Evento 
(1º Período)],tblEvento[],Tabelas!$F$1,FALSE),"")&amp;IF(AND(tblHorasJan[Evento 
(2º Período)]&lt;&gt;"",tblHorasJan[Evento 
(2º Período)]&lt;&gt;tblHorasJan[Evento 
(1º Período)])," - " &amp; VLOOKUP(tblHorasJan[Evento 
(2º Período)],tblEvento[],Tabelas!$F$1,FALSE),"")</f>
        <v/>
      </c>
    </row>
    <row r="31" spans="2:20" x14ac:dyDescent="0.25">
      <c r="B31" s="11" t="str">
        <f t="shared" si="0"/>
        <v/>
      </c>
      <c r="C31" s="12" t="str">
        <f>TEXT(tblHorasJan[Data],"ddd")</f>
        <v/>
      </c>
      <c r="D31" s="25"/>
      <c r="E31" s="1"/>
      <c r="F31" s="1"/>
      <c r="G31" s="1"/>
      <c r="H31" s="1"/>
      <c r="I31" s="53"/>
      <c r="J31" s="4">
        <f>IF($B$6&lt;&gt;"",
IF(AND(tblHorasJan[Evento 
(1º Período)]&lt;&gt;"",IF(ISERROR(VLOOKUP(tblHorasJan[Evento 
(1º Período)],tblEvento[],Tabelas!$D$1,FALSE)),FALSE,VLOOKUP(tblHorasJan[Evento 
(1º Período)],tblEvento[],Tabelas!$D$1,FALSE)="Sim")),
        IF(JORNADA_PERIODO_1&lt;&gt;"",
IF(VLOOKUP(tblHorasJan[Dia],tblDiaUtil[[Abreviatura]:[1º Período]],3,FALSE)&gt;0,VLOOKUP(tblHorasJan[Dia],tblDiaUtil[[Abreviatura]:[1º Período]],3,FALSE),JORNADA_PERIODO_1),
IF(VLOOKUP(tblHorasJan[Dia],tblDiaUtil[[Abreviatura]:[1º Período]],3,FALSE)&gt;0,VLOOKUP(tblHorasJan[Dia],tblDiaUtil[[Abreviatura]:[1º Período]],3,FALSE),JORNADA/2)),
        IF(AND(ISNUMBER(tblHorasJan[Saída - 1 (Almoço)]),ISNUMBER(tblHorasJan[Entrada - 1])),
              IF(OR(AND(tblHorasJan[Evento 
(1º Período)]&lt;&gt;"",IF(ISERROR(VLOOKUP(tblHorasJan[Evento 
(1º Período)],tblEvento[],Tabelas!$E$1,FALSE)),FALSE,VLOOKUP(tblHorasJan[Evento 
(1º Período)],tblEvento[],Tabelas!$E$1,FALSE)="Sim")),IF(VLOOKUP(TEXT(tblHorasJan[Data],"dddd"),tblDiaUtil[],2,FALSE)="Não",TRUE,FALSE)),
                   tblHorasJan[Saída - 1 (Almoço)]-tblHorasJan[Entrada - 1],
                   IF(OR(HOUR(tblHorasJan[Saída - 1 (Almoço)]-tblHorasJan[Entrada - 1])&gt;0,ROUND(tblHorasJan[Saída - 1 (Almoço)]-tblHorasJan[Entrada - 1],6)&gt;ROUND(CARENCIA,6)),
                          tblHorasJan[Saída - 1 (Almoço)]-tblHorasJan[Entrada - 1],
                          0)),
                    0)),0)</f>
        <v>0</v>
      </c>
      <c r="K31" s="4">
        <f>IF($B$6&lt;&gt;"",
IF(AND(tblHorasJan[Evento 
(2º Período)]&lt;&gt;"",IF(ISERROR(VLOOKUP(tblHorasJan[Evento 
(2º Período)],tblEvento[],Tabelas!$D$1,FALSE)),FALSE,VLOOKUP(tblHorasJan[Evento 
(2º Período)],tblEvento[],Tabelas!$D$1,FALSE)="Sim")),
        IF(JORNADA_PERIODO_2&lt;&gt;"",
IF(VLOOKUP(tblHorasJan[Dia],tblDiaUtil[[Abreviatura]:[2º Período]],4,FALSE)&gt;0,VLOOKUP(tblHorasJan[Dia],tblDiaUtil[[Abreviatura]:[2º Período]],4,FALSE),JORNADA_PERIODO_2),
IF(VLOOKUP(tblHorasJan[Dia],tblDiaUtil[[Abreviatura]:[2º Período]],4,FALSE)&gt;0,VLOOKUP(tblHorasJan[Dia],tblDiaUtil[[Abreviatura]:[2º Período]],4,FALSE),JORNADA/2)),
        IF(AND(ISNUMBER(tblHorasJan[Saída - 2]),ISNUMBER(tblHorasJan[Entrada - 2 (Almoço)])),
              IF(OR(AND(tblHorasJan[Evento 
(2º Período)]&lt;&gt;"",IF(ISERROR(VLOOKUP(tblHorasJan[Evento 
(2º Período)],tblEvento[],Tabelas!$E$1,FALSE)),FALSE,VLOOKUP(tblHorasJan[Evento 
(2º Período)],tblEvento[],Tabelas!$E$1,FALSE)="Sim")),IF(VLOOKUP(TEXT(tblHorasJan[Data],"dddd"),tblDiaUtil[],2,FALSE)="Não",TRUE,FALSE)),
                   tblHorasJan[Saída - 2]-tblHorasJan[Entrada - 2 (Almoço)],
                   IF(OR(HOUR(tblHorasJan[Saída - 2]-tblHorasJan[Entrada - 2 (Almoço)])&gt;0,MINUTE(tblHorasJan[Saída - 2]-tblHorasJan[Entrada - 2 (Almoço)])&gt;CARENCIA),
                         tblHorasJan[Saída - 2]-tblHorasJan[Entrada - 2 (Almoço)],
                         0)),
       0)),0)</f>
        <v>0</v>
      </c>
      <c r="L31" s="4">
        <f>tblHorasJan[Horas Trabalhadas (1º Período)]+tblHorasJan[Horas Trabalhadas (2º Período)]</f>
        <v>0</v>
      </c>
      <c r="M31" s="4" t="str">
        <f>IF(tblHorasJan[Data]&lt;&gt;"",
        IF(
AND(VLOOKUP(TEXT(tblHorasJan[Data],"dddd"),tblDiaUtil[],3,FALSE)="Sim",IF(tblHorasJan[Evento 
(1º Período)]&lt;&gt;"",IF(VLOOKUP(tblHorasJan[Evento 
(1º Período)],tblEvento[],Tabelas!$E$1,FALSE)="Sim",FALSE,TRUE),TRUE),IF(tblHorasJan[Evento 
(2º Período)]&lt;&gt;"",IF(VLOOKUP(tblHorasJan[Evento 
(2º Período)],tblEvento[],Tabelas!$E$1,FALSE)="Sim",FALSE,TRUE),TRUE)),
              IF(VLOOKUP(tblHorasJan[Dia],tblDiaUtil[[Abreviatura]:[1º Período]],3,FALSE)&gt;0,VLOOKUP(tblHorasJan[Dia],tblDiaUtil[[Abreviatura]:[1º Período]],3,FALSE),JORNADA),
              ""),
         "")</f>
        <v/>
      </c>
      <c r="N31" s="14">
        <f>IF(OR(tblHorasJan[Horas Trabalhadas (1º Período)]&lt;&gt;0,tblHorasJan[Horas Trabalhadas (2º Período)]&lt;&gt;0),
        IF(ISNUMBER(tblHorasJan[Jornada Diária]),
              IF(tblHorasJan[Jornada Diária]&gt;(tblHorasJan[Horas Trabalhadas (2º Período)]+tblHorasJan[Horas Trabalhadas (1º Período)]),
                     IF(ROUND((tblHorasJan[Jornada Diária]-(tblHorasJan[Horas Trabalhadas (2º Período)]+tblHorasJan[Horas Trabalhadas (1º Período)])),6)&gt;ROUND(CARENCIA,6),
                           -tblHorasJan[Jornada Diária]+(tblHorasJan[Horas Trabalhadas (2º Período)]+tblHorasJan[Horas Trabalhadas (1º Período)]),
                           0),
                      IF(ROUND((tblHorasJan[Jornada Diária]-(tblHorasJan[Horas Trabalhadas (2º Período)]+tblHorasJan[Horas Trabalhadas (1º Período)])),6)&lt;ROUND(-CARENCIA,6),
                           -tblHorasJan[Jornada Diária]+(tblHorasJan[Horas Trabalhadas (2º Período)]+tblHorasJan[Horas Trabalhadas (1º Período)]),
                           0)),
              tblHorasJan[Horas Trabalhadas (2º Período)]+tblHorasJan[Horas Trabalhadas (1º Período)]),
         IF(AND(IF(ISERROR(VLOOKUP(tblHorasJan[Evento 
(1º Período)],tblEvento[[Evento]:[Libera o Período]],4,FALSE)),FALSE,IF(VLOOKUP(tblHorasJan[Evento 
(1º Período)],tblEvento[[Evento]:[Libera o Período]],4,FALSE)="Não",TRUE,FALSE)),IF(ISERROR(VLOOKUP(tblHorasJan[Evento 
(2º Período)],tblEvento[[Evento]:[Libera o Período]],4,FALSE)),FALSE,IF(VLOOKUP(tblHorasJan[Evento 
(2º Período)],tblEvento[[Evento]:[Libera o Período]],4,FALSE)="Não",TRUE,FALSE))),
-IF(VLOOKUP(tblHorasJan[Dia],tblDiaUtil[[Abreviatura]:[Total Jornada]],5,FALSE)&lt;&gt;"",VLOOKUP(tblHorasJan[Dia],tblDiaUtil[[Abreviatura]:[Total Jornada]],5,FALSE),JORNADA),
IF(IF(ISERROR(VLOOKUP(tblHorasJan[Evento 
(1º Período)],tblEvento[[Evento]:[Libera o Período]],4,FALSE)),FALSE,
IF(VLOOKUP(tblHorasJan[Evento 
(1º Período)],tblEvento[[Evento]:[Libera o Período]],4,FALSE)="Não",TRUE,FALSE)
),
-IF(VLOOKUP(tblHorasJan[Dia],tblDiaUtil[[Abreviatura]:[1º Período]],3,FALSE)&lt;&gt;"",VLOOKUP(tblHorasJan[Dia],tblDiaUtil[[Abreviatura]:[1º Período]],3,FALSE),JORNADA_PERIODO_1),
IF(IF(ISERROR(VLOOKUP(tblHorasJan[Evento 
(2º Período)],tblEvento[[Evento]:[Libera o Período]],4,FALSE)),FALSE,IF(VLOOKUP(tblHorasJan[Evento 
(2º Período)],tblEvento[[Evento]:[Libera o Período]],4,FALSE)="Não",TRUE,FALSE)),
-IF(VLOOKUP(tblHorasJan[Dia],tblDiaUtil[[Abreviatura]:[2º Período]],4,FALSE)&lt;&gt;"",VLOOKUP(tblHorasJan[Dia],tblDiaUtil[[Abreviatura]:[2º Período]],4,FALSE),JORNADA_PERIODO_2),0))))</f>
        <v>0</v>
      </c>
      <c r="O31" s="14">
        <f>IF(tblHorasJan[Horas Trabalhadas Além Jornada]&gt;0,
        IF(ISNUMBER(tblHorasJan[Jornada Diária]),
              IF(HOUR(tblHorasJan[Horas Trabalhadas Além Jornada])&gt;=VLOOKUP(LIMITE,tblLimiteHora[],Tabelas!$I$1,FALSE),
                    VLOOKUP(LIMITE,tblLimiteHora[],Tabelas!$J$1,FALSE),
                    tblHorasJan[Horas Trabalhadas Além Jornada]),
              tblHorasJan[Horas Trabalhadas Além Jornada]),
        tblHorasJan[Horas Trabalhadas Além Jornada])+O30</f>
        <v>0</v>
      </c>
      <c r="P31" s="14" t="str">
        <f>IF(tblHorasJan[Horas Trabalhadas Além Jornada]&lt;0,IF(OR(tblHorasJan[Evento 
(1º Período)]="",tblHorasJan[Evento 
(2º Período)]=""),tblHorasJan[Horas Trabalhadas Além Jornada],""),"")</f>
        <v/>
      </c>
      <c r="Q31" s="14" t="str">
        <f>IF(tblHorasJan[Jornada Diária]&lt;&gt;"",IF((N(tblHorasJan[Jornada Diária])-ABS(N(tblHorasJan[Horas Trabalhadas Além Jornada])))=0,1,""),"")</f>
        <v/>
      </c>
      <c r="R31" s="14" t="str">
        <f>IF(tblHorasJan[Horas Trabalhadas Além Jornada]&gt;0,
IF(AND(VLOOKUP(TEXT(tblHorasJan[Data],"dddd"),tblDiaUtil[],3,FALSE)="Sim",IF(tblHorasJan[Evento 
(1º Período)]&lt;&gt;"",IF(VLOOKUP(tblHorasJan[Evento 
(1º Período)],tblEvento[],Tabelas!$E$1,FALSE)="Sim",FALSE,TRUE),TRUE),IF(tblHorasJan[Evento 
(2º Período)]&lt;&gt;"",IF(VLOOKUP(tblHorasJan[Evento 
(2º Período)],tblEvento[],Tabelas!$E$1,FALSE)="Sim",FALSE,TRUE),TRUE)),
tblHorasJan[Horas Trabalhadas Além Jornada],""),"")</f>
        <v/>
      </c>
      <c r="S31" s="14" t="str">
        <f>IF(tblHorasJan[Horas Trabalhadas Além Jornada]&gt;0,
IF(OR(VLOOKUP(TEXT(tblHorasJan[Data],"dddd"),tblDiaUtil[],3,FALSE)="Não",IF(tblHorasJan[Evento 
(1º Período)]&lt;&gt;"",IF(VLOOKUP(tblHorasJan[Evento 
(1º Período)],tblEvento[],Tabelas!$E$1,FALSE)="Sim",TRUE,FALSE),FALSE),IF(tblHorasJan[Evento 
(2º Período)]&lt;&gt;"",IF(VLOOKUP(tblHorasJan[Evento 
(2º Período)],tblEvento[],Tabelas!$E$1,FALSE)="Sim",TRUE,FALSE),FALSE)),
tblHorasJan[Horas Trabalhadas Além Jornada],""),"")</f>
        <v/>
      </c>
      <c r="T31" s="15" t="str">
        <f>IF(tblHorasJan[Evento 
(1º Período)]&lt;&gt;""," - " &amp;VLOOKUP(tblHorasJan[Evento 
(1º Período)],tblEvento[],Tabelas!$F$1,FALSE),"")&amp;IF(AND(tblHorasJan[Evento 
(2º Período)]&lt;&gt;"",tblHorasJan[Evento 
(2º Período)]&lt;&gt;tblHorasJan[Evento 
(1º Período)])," - " &amp; VLOOKUP(tblHorasJan[Evento 
(2º Período)],tblEvento[],Tabelas!$F$1,FALSE),"")</f>
        <v/>
      </c>
    </row>
    <row r="32" spans="2:20" x14ac:dyDescent="0.25">
      <c r="B32" s="11" t="str">
        <f t="shared" si="0"/>
        <v/>
      </c>
      <c r="C32" s="12" t="str">
        <f>TEXT(tblHorasJan[Data],"ddd")</f>
        <v/>
      </c>
      <c r="D32" s="25"/>
      <c r="E32" s="1"/>
      <c r="F32" s="1"/>
      <c r="G32" s="1"/>
      <c r="H32" s="1"/>
      <c r="I32" s="53"/>
      <c r="J32" s="4">
        <f>IF($B$6&lt;&gt;"",
IF(AND(tblHorasJan[Evento 
(1º Período)]&lt;&gt;"",IF(ISERROR(VLOOKUP(tblHorasJan[Evento 
(1º Período)],tblEvento[],Tabelas!$D$1,FALSE)),FALSE,VLOOKUP(tblHorasJan[Evento 
(1º Período)],tblEvento[],Tabelas!$D$1,FALSE)="Sim")),
        IF(JORNADA_PERIODO_1&lt;&gt;"",
IF(VLOOKUP(tblHorasJan[Dia],tblDiaUtil[[Abreviatura]:[1º Período]],3,FALSE)&gt;0,VLOOKUP(tblHorasJan[Dia],tblDiaUtil[[Abreviatura]:[1º Período]],3,FALSE),JORNADA_PERIODO_1),
IF(VLOOKUP(tblHorasJan[Dia],tblDiaUtil[[Abreviatura]:[1º Período]],3,FALSE)&gt;0,VLOOKUP(tblHorasJan[Dia],tblDiaUtil[[Abreviatura]:[1º Período]],3,FALSE),JORNADA/2)),
        IF(AND(ISNUMBER(tblHorasJan[Saída - 1 (Almoço)]),ISNUMBER(tblHorasJan[Entrada - 1])),
              IF(OR(AND(tblHorasJan[Evento 
(1º Período)]&lt;&gt;"",IF(ISERROR(VLOOKUP(tblHorasJan[Evento 
(1º Período)],tblEvento[],Tabelas!$E$1,FALSE)),FALSE,VLOOKUP(tblHorasJan[Evento 
(1º Período)],tblEvento[],Tabelas!$E$1,FALSE)="Sim")),IF(VLOOKUP(TEXT(tblHorasJan[Data],"dddd"),tblDiaUtil[],2,FALSE)="Não",TRUE,FALSE)),
                   tblHorasJan[Saída - 1 (Almoço)]-tblHorasJan[Entrada - 1],
                   IF(OR(HOUR(tblHorasJan[Saída - 1 (Almoço)]-tblHorasJan[Entrada - 1])&gt;0,ROUND(tblHorasJan[Saída - 1 (Almoço)]-tblHorasJan[Entrada - 1],6)&gt;ROUND(CARENCIA,6)),
                          tblHorasJan[Saída - 1 (Almoço)]-tblHorasJan[Entrada - 1],
                          0)),
                    0)),0)</f>
        <v>0</v>
      </c>
      <c r="K32" s="4">
        <f>IF($B$6&lt;&gt;"",
IF(AND(tblHorasJan[Evento 
(2º Período)]&lt;&gt;"",IF(ISERROR(VLOOKUP(tblHorasJan[Evento 
(2º Período)],tblEvento[],Tabelas!$D$1,FALSE)),FALSE,VLOOKUP(tblHorasJan[Evento 
(2º Período)],tblEvento[],Tabelas!$D$1,FALSE)="Sim")),
        IF(JORNADA_PERIODO_2&lt;&gt;"",
IF(VLOOKUP(tblHorasJan[Dia],tblDiaUtil[[Abreviatura]:[2º Período]],4,FALSE)&gt;0,VLOOKUP(tblHorasJan[Dia],tblDiaUtil[[Abreviatura]:[2º Período]],4,FALSE),JORNADA_PERIODO_2),
IF(VLOOKUP(tblHorasJan[Dia],tblDiaUtil[[Abreviatura]:[2º Período]],4,FALSE)&gt;0,VLOOKUP(tblHorasJan[Dia],tblDiaUtil[[Abreviatura]:[2º Período]],4,FALSE),JORNADA/2)),
        IF(AND(ISNUMBER(tblHorasJan[Saída - 2]),ISNUMBER(tblHorasJan[Entrada - 2 (Almoço)])),
              IF(OR(AND(tblHorasJan[Evento 
(2º Período)]&lt;&gt;"",IF(ISERROR(VLOOKUP(tblHorasJan[Evento 
(2º Período)],tblEvento[],Tabelas!$E$1,FALSE)),FALSE,VLOOKUP(tblHorasJan[Evento 
(2º Período)],tblEvento[],Tabelas!$E$1,FALSE)="Sim")),IF(VLOOKUP(TEXT(tblHorasJan[Data],"dddd"),tblDiaUtil[],2,FALSE)="Não",TRUE,FALSE)),
                   tblHorasJan[Saída - 2]-tblHorasJan[Entrada - 2 (Almoço)],
                   IF(OR(HOUR(tblHorasJan[Saída - 2]-tblHorasJan[Entrada - 2 (Almoço)])&gt;0,MINUTE(tblHorasJan[Saída - 2]-tblHorasJan[Entrada - 2 (Almoço)])&gt;CARENCIA),
                         tblHorasJan[Saída - 2]-tblHorasJan[Entrada - 2 (Almoço)],
                         0)),
       0)),0)</f>
        <v>0</v>
      </c>
      <c r="L32" s="4">
        <f>tblHorasJan[Horas Trabalhadas (1º Período)]+tblHorasJan[Horas Trabalhadas (2º Período)]</f>
        <v>0</v>
      </c>
      <c r="M32" s="4" t="str">
        <f>IF(tblHorasJan[Data]&lt;&gt;"",
        IF(
AND(VLOOKUP(TEXT(tblHorasJan[Data],"dddd"),tblDiaUtil[],3,FALSE)="Sim",IF(tblHorasJan[Evento 
(1º Período)]&lt;&gt;"",IF(VLOOKUP(tblHorasJan[Evento 
(1º Período)],tblEvento[],Tabelas!$E$1,FALSE)="Sim",FALSE,TRUE),TRUE),IF(tblHorasJan[Evento 
(2º Período)]&lt;&gt;"",IF(VLOOKUP(tblHorasJan[Evento 
(2º Período)],tblEvento[],Tabelas!$E$1,FALSE)="Sim",FALSE,TRUE),TRUE)),
              IF(VLOOKUP(tblHorasJan[Dia],tblDiaUtil[[Abreviatura]:[1º Período]],3,FALSE)&gt;0,VLOOKUP(tblHorasJan[Dia],tblDiaUtil[[Abreviatura]:[1º Período]],3,FALSE),JORNADA),
              ""),
         "")</f>
        <v/>
      </c>
      <c r="N32" s="14">
        <f>IF(OR(tblHorasJan[Horas Trabalhadas (1º Período)]&lt;&gt;0,tblHorasJan[Horas Trabalhadas (2º Período)]&lt;&gt;0),
        IF(ISNUMBER(tblHorasJan[Jornada Diária]),
              IF(tblHorasJan[Jornada Diária]&gt;(tblHorasJan[Horas Trabalhadas (2º Período)]+tblHorasJan[Horas Trabalhadas (1º Período)]),
                     IF(ROUND((tblHorasJan[Jornada Diária]-(tblHorasJan[Horas Trabalhadas (2º Período)]+tblHorasJan[Horas Trabalhadas (1º Período)])),6)&gt;ROUND(CARENCIA,6),
                           -tblHorasJan[Jornada Diária]+(tblHorasJan[Horas Trabalhadas (2º Período)]+tblHorasJan[Horas Trabalhadas (1º Período)]),
                           0),
                      IF(ROUND((tblHorasJan[Jornada Diária]-(tblHorasJan[Horas Trabalhadas (2º Período)]+tblHorasJan[Horas Trabalhadas (1º Período)])),6)&lt;ROUND(-CARENCIA,6),
                           -tblHorasJan[Jornada Diária]+(tblHorasJan[Horas Trabalhadas (2º Período)]+tblHorasJan[Horas Trabalhadas (1º Período)]),
                           0)),
              tblHorasJan[Horas Trabalhadas (2º Período)]+tblHorasJan[Horas Trabalhadas (1º Período)]),
         IF(AND(IF(ISERROR(VLOOKUP(tblHorasJan[Evento 
(1º Período)],tblEvento[[Evento]:[Libera o Período]],4,FALSE)),FALSE,IF(VLOOKUP(tblHorasJan[Evento 
(1º Período)],tblEvento[[Evento]:[Libera o Período]],4,FALSE)="Não",TRUE,FALSE)),IF(ISERROR(VLOOKUP(tblHorasJan[Evento 
(2º Período)],tblEvento[[Evento]:[Libera o Período]],4,FALSE)),FALSE,IF(VLOOKUP(tblHorasJan[Evento 
(2º Período)],tblEvento[[Evento]:[Libera o Período]],4,FALSE)="Não",TRUE,FALSE))),
-IF(VLOOKUP(tblHorasJan[Dia],tblDiaUtil[[Abreviatura]:[Total Jornada]],5,FALSE)&lt;&gt;"",VLOOKUP(tblHorasJan[Dia],tblDiaUtil[[Abreviatura]:[Total Jornada]],5,FALSE),JORNADA),
IF(IF(ISERROR(VLOOKUP(tblHorasJan[Evento 
(1º Período)],tblEvento[[Evento]:[Libera o Período]],4,FALSE)),FALSE,
IF(VLOOKUP(tblHorasJan[Evento 
(1º Período)],tblEvento[[Evento]:[Libera o Período]],4,FALSE)="Não",TRUE,FALSE)
),
-IF(VLOOKUP(tblHorasJan[Dia],tblDiaUtil[[Abreviatura]:[1º Período]],3,FALSE)&lt;&gt;"",VLOOKUP(tblHorasJan[Dia],tblDiaUtil[[Abreviatura]:[1º Período]],3,FALSE),JORNADA_PERIODO_1),
IF(IF(ISERROR(VLOOKUP(tblHorasJan[Evento 
(2º Período)],tblEvento[[Evento]:[Libera o Período]],4,FALSE)),FALSE,IF(VLOOKUP(tblHorasJan[Evento 
(2º Período)],tblEvento[[Evento]:[Libera o Período]],4,FALSE)="Não",TRUE,FALSE)),
-IF(VLOOKUP(tblHorasJan[Dia],tblDiaUtil[[Abreviatura]:[2º Período]],4,FALSE)&lt;&gt;"",VLOOKUP(tblHorasJan[Dia],tblDiaUtil[[Abreviatura]:[2º Período]],4,FALSE),JORNADA_PERIODO_2),0))))</f>
        <v>0</v>
      </c>
      <c r="O32" s="14">
        <f>IF(tblHorasJan[Horas Trabalhadas Além Jornada]&gt;0,
        IF(ISNUMBER(tblHorasJan[Jornada Diária]),
              IF(HOUR(tblHorasJan[Horas Trabalhadas Além Jornada])&gt;=VLOOKUP(LIMITE,tblLimiteHora[],Tabelas!$I$1,FALSE),
                    VLOOKUP(LIMITE,tblLimiteHora[],Tabelas!$J$1,FALSE),
                    tblHorasJan[Horas Trabalhadas Além Jornada]),
              tblHorasJan[Horas Trabalhadas Além Jornada]),
        tblHorasJan[Horas Trabalhadas Além Jornada])+O31</f>
        <v>0</v>
      </c>
      <c r="P32" s="14" t="str">
        <f>IF(tblHorasJan[Horas Trabalhadas Além Jornada]&lt;0,IF(OR(tblHorasJan[Evento 
(1º Período)]="",tblHorasJan[Evento 
(2º Período)]=""),tblHorasJan[Horas Trabalhadas Além Jornada],""),"")</f>
        <v/>
      </c>
      <c r="Q32" s="14" t="str">
        <f>IF(tblHorasJan[Jornada Diária]&lt;&gt;"",IF((N(tblHorasJan[Jornada Diária])-ABS(N(tblHorasJan[Horas Trabalhadas Além Jornada])))=0,1,""),"")</f>
        <v/>
      </c>
      <c r="R32" s="14" t="str">
        <f>IF(tblHorasJan[Horas Trabalhadas Além Jornada]&gt;0,
IF(AND(VLOOKUP(TEXT(tblHorasJan[Data],"dddd"),tblDiaUtil[],3,FALSE)="Sim",IF(tblHorasJan[Evento 
(1º Período)]&lt;&gt;"",IF(VLOOKUP(tblHorasJan[Evento 
(1º Período)],tblEvento[],Tabelas!$E$1,FALSE)="Sim",FALSE,TRUE),TRUE),IF(tblHorasJan[Evento 
(2º Período)]&lt;&gt;"",IF(VLOOKUP(tblHorasJan[Evento 
(2º Período)],tblEvento[],Tabelas!$E$1,FALSE)="Sim",FALSE,TRUE),TRUE)),
tblHorasJan[Horas Trabalhadas Além Jornada],""),"")</f>
        <v/>
      </c>
      <c r="S32" s="14" t="str">
        <f>IF(tblHorasJan[Horas Trabalhadas Além Jornada]&gt;0,
IF(OR(VLOOKUP(TEXT(tblHorasJan[Data],"dddd"),tblDiaUtil[],3,FALSE)="Não",IF(tblHorasJan[Evento 
(1º Período)]&lt;&gt;"",IF(VLOOKUP(tblHorasJan[Evento 
(1º Período)],tblEvento[],Tabelas!$E$1,FALSE)="Sim",TRUE,FALSE),FALSE),IF(tblHorasJan[Evento 
(2º Período)]&lt;&gt;"",IF(VLOOKUP(tblHorasJan[Evento 
(2º Período)],tblEvento[],Tabelas!$E$1,FALSE)="Sim",TRUE,FALSE),FALSE)),
tblHorasJan[Horas Trabalhadas Além Jornada],""),"")</f>
        <v/>
      </c>
      <c r="T32" s="15" t="str">
        <f>IF(tblHorasJan[Evento 
(1º Período)]&lt;&gt;""," - " &amp;VLOOKUP(tblHorasJan[Evento 
(1º Período)],tblEvento[],Tabelas!$F$1,FALSE),"")&amp;IF(AND(tblHorasJan[Evento 
(2º Período)]&lt;&gt;"",tblHorasJan[Evento 
(2º Período)]&lt;&gt;tblHorasJan[Evento 
(1º Período)])," - " &amp; VLOOKUP(tblHorasJan[Evento 
(2º Período)],tblEvento[],Tabelas!$F$1,FALSE),"")</f>
        <v/>
      </c>
    </row>
    <row r="33" spans="2:21" x14ac:dyDescent="0.25">
      <c r="B33" s="11" t="str">
        <f t="shared" si="0"/>
        <v/>
      </c>
      <c r="C33" s="12" t="str">
        <f>TEXT(tblHorasJan[Data],"ddd")</f>
        <v/>
      </c>
      <c r="D33" s="25"/>
      <c r="E33" s="1"/>
      <c r="F33" s="1"/>
      <c r="G33" s="1"/>
      <c r="H33" s="1"/>
      <c r="I33" s="53"/>
      <c r="J33" s="4">
        <f>IF($B$6&lt;&gt;"",
IF(AND(tblHorasJan[Evento 
(1º Período)]&lt;&gt;"",IF(ISERROR(VLOOKUP(tblHorasJan[Evento 
(1º Período)],tblEvento[],Tabelas!$D$1,FALSE)),FALSE,VLOOKUP(tblHorasJan[Evento 
(1º Período)],tblEvento[],Tabelas!$D$1,FALSE)="Sim")),
        IF(JORNADA_PERIODO_1&lt;&gt;"",
IF(VLOOKUP(tblHorasJan[Dia],tblDiaUtil[[Abreviatura]:[1º Período]],3,FALSE)&gt;0,VLOOKUP(tblHorasJan[Dia],tblDiaUtil[[Abreviatura]:[1º Período]],3,FALSE),JORNADA_PERIODO_1),
IF(VLOOKUP(tblHorasJan[Dia],tblDiaUtil[[Abreviatura]:[1º Período]],3,FALSE)&gt;0,VLOOKUP(tblHorasJan[Dia],tblDiaUtil[[Abreviatura]:[1º Período]],3,FALSE),JORNADA/2)),
        IF(AND(ISNUMBER(tblHorasJan[Saída - 1 (Almoço)]),ISNUMBER(tblHorasJan[Entrada - 1])),
              IF(OR(AND(tblHorasJan[Evento 
(1º Período)]&lt;&gt;"",IF(ISERROR(VLOOKUP(tblHorasJan[Evento 
(1º Período)],tblEvento[],Tabelas!$E$1,FALSE)),FALSE,VLOOKUP(tblHorasJan[Evento 
(1º Período)],tblEvento[],Tabelas!$E$1,FALSE)="Sim")),IF(VLOOKUP(TEXT(tblHorasJan[Data],"dddd"),tblDiaUtil[],2,FALSE)="Não",TRUE,FALSE)),
                   tblHorasJan[Saída - 1 (Almoço)]-tblHorasJan[Entrada - 1],
                   IF(OR(HOUR(tblHorasJan[Saída - 1 (Almoço)]-tblHorasJan[Entrada - 1])&gt;0,ROUND(tblHorasJan[Saída - 1 (Almoço)]-tblHorasJan[Entrada - 1],6)&gt;ROUND(CARENCIA,6)),
                          tblHorasJan[Saída - 1 (Almoço)]-tblHorasJan[Entrada - 1],
                          0)),
                    0)),0)</f>
        <v>0</v>
      </c>
      <c r="K33" s="4">
        <f>IF($B$6&lt;&gt;"",
IF(AND(tblHorasJan[Evento 
(2º Período)]&lt;&gt;"",IF(ISERROR(VLOOKUP(tblHorasJan[Evento 
(2º Período)],tblEvento[],Tabelas!$D$1,FALSE)),FALSE,VLOOKUP(tblHorasJan[Evento 
(2º Período)],tblEvento[],Tabelas!$D$1,FALSE)="Sim")),
        IF(JORNADA_PERIODO_2&lt;&gt;"",
IF(VLOOKUP(tblHorasJan[Dia],tblDiaUtil[[Abreviatura]:[2º Período]],4,FALSE)&gt;0,VLOOKUP(tblHorasJan[Dia],tblDiaUtil[[Abreviatura]:[2º Período]],4,FALSE),JORNADA_PERIODO_2),
IF(VLOOKUP(tblHorasJan[Dia],tblDiaUtil[[Abreviatura]:[2º Período]],4,FALSE)&gt;0,VLOOKUP(tblHorasJan[Dia],tblDiaUtil[[Abreviatura]:[2º Período]],4,FALSE),JORNADA/2)),
        IF(AND(ISNUMBER(tblHorasJan[Saída - 2]),ISNUMBER(tblHorasJan[Entrada - 2 (Almoço)])),
              IF(OR(AND(tblHorasJan[Evento 
(2º Período)]&lt;&gt;"",IF(ISERROR(VLOOKUP(tblHorasJan[Evento 
(2º Período)],tblEvento[],Tabelas!$E$1,FALSE)),FALSE,VLOOKUP(tblHorasJan[Evento 
(2º Período)],tblEvento[],Tabelas!$E$1,FALSE)="Sim")),IF(VLOOKUP(TEXT(tblHorasJan[Data],"dddd"),tblDiaUtil[],2,FALSE)="Não",TRUE,FALSE)),
                   tblHorasJan[Saída - 2]-tblHorasJan[Entrada - 2 (Almoço)],
                   IF(OR(HOUR(tblHorasJan[Saída - 2]-tblHorasJan[Entrada - 2 (Almoço)])&gt;0,MINUTE(tblHorasJan[Saída - 2]-tblHorasJan[Entrada - 2 (Almoço)])&gt;CARENCIA),
                         tblHorasJan[Saída - 2]-tblHorasJan[Entrada - 2 (Almoço)],
                         0)),
       0)),0)</f>
        <v>0</v>
      </c>
      <c r="L33" s="4">
        <f>tblHorasJan[Horas Trabalhadas (1º Período)]+tblHorasJan[Horas Trabalhadas (2º Período)]</f>
        <v>0</v>
      </c>
      <c r="M33" s="4" t="str">
        <f>IF(tblHorasJan[Data]&lt;&gt;"",
        IF(
AND(VLOOKUP(TEXT(tblHorasJan[Data],"dddd"),tblDiaUtil[],3,FALSE)="Sim",IF(tblHorasJan[Evento 
(1º Período)]&lt;&gt;"",IF(VLOOKUP(tblHorasJan[Evento 
(1º Período)],tblEvento[],Tabelas!$E$1,FALSE)="Sim",FALSE,TRUE),TRUE),IF(tblHorasJan[Evento 
(2º Período)]&lt;&gt;"",IF(VLOOKUP(tblHorasJan[Evento 
(2º Período)],tblEvento[],Tabelas!$E$1,FALSE)="Sim",FALSE,TRUE),TRUE)),
              IF(VLOOKUP(tblHorasJan[Dia],tblDiaUtil[[Abreviatura]:[1º Período]],3,FALSE)&gt;0,VLOOKUP(tblHorasJan[Dia],tblDiaUtil[[Abreviatura]:[1º Período]],3,FALSE),JORNADA),
              ""),
         "")</f>
        <v/>
      </c>
      <c r="N33" s="14">
        <f>IF(OR(tblHorasJan[Horas Trabalhadas (1º Período)]&lt;&gt;0,tblHorasJan[Horas Trabalhadas (2º Período)]&lt;&gt;0),
        IF(ISNUMBER(tblHorasJan[Jornada Diária]),
              IF(tblHorasJan[Jornada Diária]&gt;(tblHorasJan[Horas Trabalhadas (2º Período)]+tblHorasJan[Horas Trabalhadas (1º Período)]),
                     IF(ROUND((tblHorasJan[Jornada Diária]-(tblHorasJan[Horas Trabalhadas (2º Período)]+tblHorasJan[Horas Trabalhadas (1º Período)])),6)&gt;ROUND(CARENCIA,6),
                           -tblHorasJan[Jornada Diária]+(tblHorasJan[Horas Trabalhadas (2º Período)]+tblHorasJan[Horas Trabalhadas (1º Período)]),
                           0),
                      IF(ROUND((tblHorasJan[Jornada Diária]-(tblHorasJan[Horas Trabalhadas (2º Período)]+tblHorasJan[Horas Trabalhadas (1º Período)])),6)&lt;ROUND(-CARENCIA,6),
                           -tblHorasJan[Jornada Diária]+(tblHorasJan[Horas Trabalhadas (2º Período)]+tblHorasJan[Horas Trabalhadas (1º Período)]),
                           0)),
              tblHorasJan[Horas Trabalhadas (2º Período)]+tblHorasJan[Horas Trabalhadas (1º Período)]),
         IF(AND(IF(ISERROR(VLOOKUP(tblHorasJan[Evento 
(1º Período)],tblEvento[[Evento]:[Libera o Período]],4,FALSE)),FALSE,IF(VLOOKUP(tblHorasJan[Evento 
(1º Período)],tblEvento[[Evento]:[Libera o Período]],4,FALSE)="Não",TRUE,FALSE)),IF(ISERROR(VLOOKUP(tblHorasJan[Evento 
(2º Período)],tblEvento[[Evento]:[Libera o Período]],4,FALSE)),FALSE,IF(VLOOKUP(tblHorasJan[Evento 
(2º Período)],tblEvento[[Evento]:[Libera o Período]],4,FALSE)="Não",TRUE,FALSE))),
-IF(VLOOKUP(tblHorasJan[Dia],tblDiaUtil[[Abreviatura]:[Total Jornada]],5,FALSE)&lt;&gt;"",VLOOKUP(tblHorasJan[Dia],tblDiaUtil[[Abreviatura]:[Total Jornada]],5,FALSE),JORNADA),
IF(IF(ISERROR(VLOOKUP(tblHorasJan[Evento 
(1º Período)],tblEvento[[Evento]:[Libera o Período]],4,FALSE)),FALSE,
IF(VLOOKUP(tblHorasJan[Evento 
(1º Período)],tblEvento[[Evento]:[Libera o Período]],4,FALSE)="Não",TRUE,FALSE)
),
-IF(VLOOKUP(tblHorasJan[Dia],tblDiaUtil[[Abreviatura]:[1º Período]],3,FALSE)&lt;&gt;"",VLOOKUP(tblHorasJan[Dia],tblDiaUtil[[Abreviatura]:[1º Período]],3,FALSE),JORNADA_PERIODO_1),
IF(IF(ISERROR(VLOOKUP(tblHorasJan[Evento 
(2º Período)],tblEvento[[Evento]:[Libera o Período]],4,FALSE)),FALSE,IF(VLOOKUP(tblHorasJan[Evento 
(2º Período)],tblEvento[[Evento]:[Libera o Período]],4,FALSE)="Não",TRUE,FALSE)),
-IF(VLOOKUP(tblHorasJan[Dia],tblDiaUtil[[Abreviatura]:[2º Período]],4,FALSE)&lt;&gt;"",VLOOKUP(tblHorasJan[Dia],tblDiaUtil[[Abreviatura]:[2º Período]],4,FALSE),JORNADA_PERIODO_2),0))))</f>
        <v>0</v>
      </c>
      <c r="O33" s="14">
        <f>IF(tblHorasJan[Horas Trabalhadas Além Jornada]&gt;0,
        IF(ISNUMBER(tblHorasJan[Jornada Diária]),
              IF(HOUR(tblHorasJan[Horas Trabalhadas Além Jornada])&gt;=VLOOKUP(LIMITE,tblLimiteHora[],Tabelas!$I$1,FALSE),
                    VLOOKUP(LIMITE,tblLimiteHora[],Tabelas!$J$1,FALSE),
                    tblHorasJan[Horas Trabalhadas Além Jornada]),
              tblHorasJan[Horas Trabalhadas Além Jornada]),
        tblHorasJan[Horas Trabalhadas Além Jornada])+O32</f>
        <v>0</v>
      </c>
      <c r="P33" s="14" t="str">
        <f>IF(tblHorasJan[Horas Trabalhadas Além Jornada]&lt;0,IF(OR(tblHorasJan[Evento 
(1º Período)]="",tblHorasJan[Evento 
(2º Período)]=""),tblHorasJan[Horas Trabalhadas Além Jornada],""),"")</f>
        <v/>
      </c>
      <c r="Q33" s="14" t="str">
        <f>IF(tblHorasJan[Jornada Diária]&lt;&gt;"",IF((N(tblHorasJan[Jornada Diária])-ABS(N(tblHorasJan[Horas Trabalhadas Além Jornada])))=0,1,""),"")</f>
        <v/>
      </c>
      <c r="R33" s="14" t="str">
        <f>IF(tblHorasJan[Horas Trabalhadas Além Jornada]&gt;0,
IF(AND(VLOOKUP(TEXT(tblHorasJan[Data],"dddd"),tblDiaUtil[],3,FALSE)="Sim",IF(tblHorasJan[Evento 
(1º Período)]&lt;&gt;"",IF(VLOOKUP(tblHorasJan[Evento 
(1º Período)],tblEvento[],Tabelas!$E$1,FALSE)="Sim",FALSE,TRUE),TRUE),IF(tblHorasJan[Evento 
(2º Período)]&lt;&gt;"",IF(VLOOKUP(tblHorasJan[Evento 
(2º Período)],tblEvento[],Tabelas!$E$1,FALSE)="Sim",FALSE,TRUE),TRUE)),
tblHorasJan[Horas Trabalhadas Além Jornada],""),"")</f>
        <v/>
      </c>
      <c r="S33" s="14" t="str">
        <f>IF(tblHorasJan[Horas Trabalhadas Além Jornada]&gt;0,
IF(OR(VLOOKUP(TEXT(tblHorasJan[Data],"dddd"),tblDiaUtil[],3,FALSE)="Não",IF(tblHorasJan[Evento 
(1º Período)]&lt;&gt;"",IF(VLOOKUP(tblHorasJan[Evento 
(1º Período)],tblEvento[],Tabelas!$E$1,FALSE)="Sim",TRUE,FALSE),FALSE),IF(tblHorasJan[Evento 
(2º Período)]&lt;&gt;"",IF(VLOOKUP(tblHorasJan[Evento 
(2º Período)],tblEvento[],Tabelas!$E$1,FALSE)="Sim",TRUE,FALSE),FALSE)),
tblHorasJan[Horas Trabalhadas Além Jornada],""),"")</f>
        <v/>
      </c>
      <c r="T33" s="15" t="str">
        <f>IF(tblHorasJan[Evento 
(1º Período)]&lt;&gt;""," - " &amp;VLOOKUP(tblHorasJan[Evento 
(1º Período)],tblEvento[],Tabelas!$F$1,FALSE),"")&amp;IF(AND(tblHorasJan[Evento 
(2º Período)]&lt;&gt;"",tblHorasJan[Evento 
(2º Período)]&lt;&gt;tblHorasJan[Evento 
(1º Período)])," - " &amp; VLOOKUP(tblHorasJan[Evento 
(2º Período)],tblEvento[],Tabelas!$F$1,FALSE),"")</f>
        <v/>
      </c>
    </row>
    <row r="34" spans="2:21" x14ac:dyDescent="0.25">
      <c r="B34" s="11" t="str">
        <f t="shared" si="0"/>
        <v/>
      </c>
      <c r="C34" s="12" t="str">
        <f>TEXT(tblHorasJan[Data],"ddd")</f>
        <v/>
      </c>
      <c r="D34" s="25"/>
      <c r="E34" s="1"/>
      <c r="F34" s="1"/>
      <c r="G34" s="1"/>
      <c r="H34" s="1"/>
      <c r="I34" s="53"/>
      <c r="J34" s="4">
        <f>IF($B$6&lt;&gt;"",
IF(AND(tblHorasJan[Evento 
(1º Período)]&lt;&gt;"",IF(ISERROR(VLOOKUP(tblHorasJan[Evento 
(1º Período)],tblEvento[],Tabelas!$D$1,FALSE)),FALSE,VLOOKUP(tblHorasJan[Evento 
(1º Período)],tblEvento[],Tabelas!$D$1,FALSE)="Sim")),
        IF(JORNADA_PERIODO_1&lt;&gt;"",
IF(VLOOKUP(tblHorasJan[Dia],tblDiaUtil[[Abreviatura]:[1º Período]],3,FALSE)&gt;0,VLOOKUP(tblHorasJan[Dia],tblDiaUtil[[Abreviatura]:[1º Período]],3,FALSE),JORNADA_PERIODO_1),
IF(VLOOKUP(tblHorasJan[Dia],tblDiaUtil[[Abreviatura]:[1º Período]],3,FALSE)&gt;0,VLOOKUP(tblHorasJan[Dia],tblDiaUtil[[Abreviatura]:[1º Período]],3,FALSE),JORNADA/2)),
        IF(AND(ISNUMBER(tblHorasJan[Saída - 1 (Almoço)]),ISNUMBER(tblHorasJan[Entrada - 1])),
              IF(OR(AND(tblHorasJan[Evento 
(1º Período)]&lt;&gt;"",IF(ISERROR(VLOOKUP(tblHorasJan[Evento 
(1º Período)],tblEvento[],Tabelas!$E$1,FALSE)),FALSE,VLOOKUP(tblHorasJan[Evento 
(1º Período)],tblEvento[],Tabelas!$E$1,FALSE)="Sim")),IF(VLOOKUP(TEXT(tblHorasJan[Data],"dddd"),tblDiaUtil[],2,FALSE)="Não",TRUE,FALSE)),
                   tblHorasJan[Saída - 1 (Almoço)]-tblHorasJan[Entrada - 1],
                   IF(OR(HOUR(tblHorasJan[Saída - 1 (Almoço)]-tblHorasJan[Entrada - 1])&gt;0,ROUND(tblHorasJan[Saída - 1 (Almoço)]-tblHorasJan[Entrada - 1],6)&gt;ROUND(CARENCIA,6)),
                          tblHorasJan[Saída - 1 (Almoço)]-tblHorasJan[Entrada - 1],
                          0)),
                    0)),0)</f>
        <v>0</v>
      </c>
      <c r="K34" s="4">
        <f>IF($B$6&lt;&gt;"",
IF(AND(tblHorasJan[Evento 
(2º Período)]&lt;&gt;"",IF(ISERROR(VLOOKUP(tblHorasJan[Evento 
(2º Período)],tblEvento[],Tabelas!$D$1,FALSE)),FALSE,VLOOKUP(tblHorasJan[Evento 
(2º Período)],tblEvento[],Tabelas!$D$1,FALSE)="Sim")),
        IF(JORNADA_PERIODO_2&lt;&gt;"",
IF(VLOOKUP(tblHorasJan[Dia],tblDiaUtil[[Abreviatura]:[2º Período]],4,FALSE)&gt;0,VLOOKUP(tblHorasJan[Dia],tblDiaUtil[[Abreviatura]:[2º Período]],4,FALSE),JORNADA_PERIODO_2),
IF(VLOOKUP(tblHorasJan[Dia],tblDiaUtil[[Abreviatura]:[2º Período]],4,FALSE)&gt;0,VLOOKUP(tblHorasJan[Dia],tblDiaUtil[[Abreviatura]:[2º Período]],4,FALSE),JORNADA/2)),
        IF(AND(ISNUMBER(tblHorasJan[Saída - 2]),ISNUMBER(tblHorasJan[Entrada - 2 (Almoço)])),
              IF(OR(AND(tblHorasJan[Evento 
(2º Período)]&lt;&gt;"",IF(ISERROR(VLOOKUP(tblHorasJan[Evento 
(2º Período)],tblEvento[],Tabelas!$E$1,FALSE)),FALSE,VLOOKUP(tblHorasJan[Evento 
(2º Período)],tblEvento[],Tabelas!$E$1,FALSE)="Sim")),IF(VLOOKUP(TEXT(tblHorasJan[Data],"dddd"),tblDiaUtil[],2,FALSE)="Não",TRUE,FALSE)),
                   tblHorasJan[Saída - 2]-tblHorasJan[Entrada - 2 (Almoço)],
                   IF(OR(HOUR(tblHorasJan[Saída - 2]-tblHorasJan[Entrada - 2 (Almoço)])&gt;0,MINUTE(tblHorasJan[Saída - 2]-tblHorasJan[Entrada - 2 (Almoço)])&gt;CARENCIA),
                         tblHorasJan[Saída - 2]-tblHorasJan[Entrada - 2 (Almoço)],
                         0)),
       0)),0)</f>
        <v>0</v>
      </c>
      <c r="L34" s="4">
        <f>tblHorasJan[Horas Trabalhadas (1º Período)]+tblHorasJan[Horas Trabalhadas (2º Período)]</f>
        <v>0</v>
      </c>
      <c r="M34" s="4" t="str">
        <f>IF(tblHorasJan[Data]&lt;&gt;"",
        IF(
AND(VLOOKUP(TEXT(tblHorasJan[Data],"dddd"),tblDiaUtil[],3,FALSE)="Sim",IF(tblHorasJan[Evento 
(1º Período)]&lt;&gt;"",IF(VLOOKUP(tblHorasJan[Evento 
(1º Período)],tblEvento[],Tabelas!$E$1,FALSE)="Sim",FALSE,TRUE),TRUE),IF(tblHorasJan[Evento 
(2º Período)]&lt;&gt;"",IF(VLOOKUP(tblHorasJan[Evento 
(2º Período)],tblEvento[],Tabelas!$E$1,FALSE)="Sim",FALSE,TRUE),TRUE)),
              IF(VLOOKUP(tblHorasJan[Dia],tblDiaUtil[[Abreviatura]:[1º Período]],3,FALSE)&gt;0,VLOOKUP(tblHorasJan[Dia],tblDiaUtil[[Abreviatura]:[1º Período]],3,FALSE),JORNADA),
              ""),
         "")</f>
        <v/>
      </c>
      <c r="N34" s="14">
        <f>IF(OR(tblHorasJan[Horas Trabalhadas (1º Período)]&lt;&gt;0,tblHorasJan[Horas Trabalhadas (2º Período)]&lt;&gt;0),
        IF(ISNUMBER(tblHorasJan[Jornada Diária]),
              IF(tblHorasJan[Jornada Diária]&gt;(tblHorasJan[Horas Trabalhadas (2º Período)]+tblHorasJan[Horas Trabalhadas (1º Período)]),
                     IF(ROUND((tblHorasJan[Jornada Diária]-(tblHorasJan[Horas Trabalhadas (2º Período)]+tblHorasJan[Horas Trabalhadas (1º Período)])),6)&gt;ROUND(CARENCIA,6),
                           -tblHorasJan[Jornada Diária]+(tblHorasJan[Horas Trabalhadas (2º Período)]+tblHorasJan[Horas Trabalhadas (1º Período)]),
                           0),
                      IF(ROUND((tblHorasJan[Jornada Diária]-(tblHorasJan[Horas Trabalhadas (2º Período)]+tblHorasJan[Horas Trabalhadas (1º Período)])),6)&lt;ROUND(-CARENCIA,6),
                           -tblHorasJan[Jornada Diária]+(tblHorasJan[Horas Trabalhadas (2º Período)]+tblHorasJan[Horas Trabalhadas (1º Período)]),
                           0)),
              tblHorasJan[Horas Trabalhadas (2º Período)]+tblHorasJan[Horas Trabalhadas (1º Período)]),
         IF(AND(IF(ISERROR(VLOOKUP(tblHorasJan[Evento 
(1º Período)],tblEvento[[Evento]:[Libera o Período]],4,FALSE)),FALSE,IF(VLOOKUP(tblHorasJan[Evento 
(1º Período)],tblEvento[[Evento]:[Libera o Período]],4,FALSE)="Não",TRUE,FALSE)),IF(ISERROR(VLOOKUP(tblHorasJan[Evento 
(2º Período)],tblEvento[[Evento]:[Libera o Período]],4,FALSE)),FALSE,IF(VLOOKUP(tblHorasJan[Evento 
(2º Período)],tblEvento[[Evento]:[Libera o Período]],4,FALSE)="Não",TRUE,FALSE))),
-IF(VLOOKUP(tblHorasJan[Dia],tblDiaUtil[[Abreviatura]:[Total Jornada]],5,FALSE)&lt;&gt;"",VLOOKUP(tblHorasJan[Dia],tblDiaUtil[[Abreviatura]:[Total Jornada]],5,FALSE),JORNADA),
IF(IF(ISERROR(VLOOKUP(tblHorasJan[Evento 
(1º Período)],tblEvento[[Evento]:[Libera o Período]],4,FALSE)),FALSE,
IF(VLOOKUP(tblHorasJan[Evento 
(1º Período)],tblEvento[[Evento]:[Libera o Período]],4,FALSE)="Não",TRUE,FALSE)
),
-IF(VLOOKUP(tblHorasJan[Dia],tblDiaUtil[[Abreviatura]:[1º Período]],3,FALSE)&lt;&gt;"",VLOOKUP(tblHorasJan[Dia],tblDiaUtil[[Abreviatura]:[1º Período]],3,FALSE),JORNADA_PERIODO_1),
IF(IF(ISERROR(VLOOKUP(tblHorasJan[Evento 
(2º Período)],tblEvento[[Evento]:[Libera o Período]],4,FALSE)),FALSE,IF(VLOOKUP(tblHorasJan[Evento 
(2º Período)],tblEvento[[Evento]:[Libera o Período]],4,FALSE)="Não",TRUE,FALSE)),
-IF(VLOOKUP(tblHorasJan[Dia],tblDiaUtil[[Abreviatura]:[2º Período]],4,FALSE)&lt;&gt;"",VLOOKUP(tblHorasJan[Dia],tblDiaUtil[[Abreviatura]:[2º Período]],4,FALSE),JORNADA_PERIODO_2),0))))</f>
        <v>0</v>
      </c>
      <c r="O34" s="14">
        <f>IF(tblHorasJan[Horas Trabalhadas Além Jornada]&gt;0,
        IF(ISNUMBER(tblHorasJan[Jornada Diária]),
              IF(HOUR(tblHorasJan[Horas Trabalhadas Além Jornada])&gt;=VLOOKUP(LIMITE,tblLimiteHora[],Tabelas!$I$1,FALSE),
                    VLOOKUP(LIMITE,tblLimiteHora[],Tabelas!$J$1,FALSE),
                    tblHorasJan[Horas Trabalhadas Além Jornada]),
              tblHorasJan[Horas Trabalhadas Além Jornada]),
        tblHorasJan[Horas Trabalhadas Além Jornada])+O33</f>
        <v>0</v>
      </c>
      <c r="P34" s="14" t="str">
        <f>IF(tblHorasJan[Horas Trabalhadas Além Jornada]&lt;0,IF(OR(tblHorasJan[Evento 
(1º Período)]="",tblHorasJan[Evento 
(2º Período)]=""),tblHorasJan[Horas Trabalhadas Além Jornada],""),"")</f>
        <v/>
      </c>
      <c r="Q34" s="14" t="str">
        <f>IF(tblHorasJan[Jornada Diária]&lt;&gt;"",IF((N(tblHorasJan[Jornada Diária])-ABS(N(tblHorasJan[Horas Trabalhadas Além Jornada])))=0,1,""),"")</f>
        <v/>
      </c>
      <c r="R34" s="14" t="str">
        <f>IF(tblHorasJan[Horas Trabalhadas Além Jornada]&gt;0,
IF(AND(VLOOKUP(TEXT(tblHorasJan[Data],"dddd"),tblDiaUtil[],3,FALSE)="Sim",IF(tblHorasJan[Evento 
(1º Período)]&lt;&gt;"",IF(VLOOKUP(tblHorasJan[Evento 
(1º Período)],tblEvento[],Tabelas!$E$1,FALSE)="Sim",FALSE,TRUE),TRUE),IF(tblHorasJan[Evento 
(2º Período)]&lt;&gt;"",IF(VLOOKUP(tblHorasJan[Evento 
(2º Período)],tblEvento[],Tabelas!$E$1,FALSE)="Sim",FALSE,TRUE),TRUE)),
tblHorasJan[Horas Trabalhadas Além Jornada],""),"")</f>
        <v/>
      </c>
      <c r="S34" s="14" t="str">
        <f>IF(tblHorasJan[Horas Trabalhadas Além Jornada]&gt;0,
IF(OR(VLOOKUP(TEXT(tblHorasJan[Data],"dddd"),tblDiaUtil[],3,FALSE)="Não",IF(tblHorasJan[Evento 
(1º Período)]&lt;&gt;"",IF(VLOOKUP(tblHorasJan[Evento 
(1º Período)],tblEvento[],Tabelas!$E$1,FALSE)="Sim",TRUE,FALSE),FALSE),IF(tblHorasJan[Evento 
(2º Período)]&lt;&gt;"",IF(VLOOKUP(tblHorasJan[Evento 
(2º Período)],tblEvento[],Tabelas!$E$1,FALSE)="Sim",TRUE,FALSE),FALSE)),
tblHorasJan[Horas Trabalhadas Além Jornada],""),"")</f>
        <v/>
      </c>
      <c r="T34" s="15" t="str">
        <f>IF(tblHorasJan[Evento 
(1º Período)]&lt;&gt;""," - " &amp;VLOOKUP(tblHorasJan[Evento 
(1º Período)],tblEvento[],Tabelas!$F$1,FALSE),"")&amp;IF(AND(tblHorasJan[Evento 
(2º Período)]&lt;&gt;"",tblHorasJan[Evento 
(2º Período)]&lt;&gt;tblHorasJan[Evento 
(1º Período)])," - " &amp; VLOOKUP(tblHorasJan[Evento 
(2º Período)],tblEvento[],Tabelas!$F$1,FALSE),"")</f>
        <v/>
      </c>
    </row>
    <row r="35" spans="2:21" x14ac:dyDescent="0.25">
      <c r="B35" s="11" t="str">
        <f t="shared" si="0"/>
        <v/>
      </c>
      <c r="C35" s="12" t="str">
        <f>TEXT(tblHorasJan[Data],"ddd")</f>
        <v/>
      </c>
      <c r="D35" s="25"/>
      <c r="E35" s="1"/>
      <c r="F35" s="1"/>
      <c r="G35" s="1"/>
      <c r="H35" s="1"/>
      <c r="I35" s="53"/>
      <c r="J35" s="4">
        <f>IF($B$6&lt;&gt;"",
IF(AND(tblHorasJan[Evento 
(1º Período)]&lt;&gt;"",IF(ISERROR(VLOOKUP(tblHorasJan[Evento 
(1º Período)],tblEvento[],Tabelas!$D$1,FALSE)),FALSE,VLOOKUP(tblHorasJan[Evento 
(1º Período)],tblEvento[],Tabelas!$D$1,FALSE)="Sim")),
        IF(JORNADA_PERIODO_1&lt;&gt;"",
IF(VLOOKUP(tblHorasJan[Dia],tblDiaUtil[[Abreviatura]:[1º Período]],3,FALSE)&gt;0,VLOOKUP(tblHorasJan[Dia],tblDiaUtil[[Abreviatura]:[1º Período]],3,FALSE),JORNADA_PERIODO_1),
IF(VLOOKUP(tblHorasJan[Dia],tblDiaUtil[[Abreviatura]:[1º Período]],3,FALSE)&gt;0,VLOOKUP(tblHorasJan[Dia],tblDiaUtil[[Abreviatura]:[1º Período]],3,FALSE),JORNADA/2)),
        IF(AND(ISNUMBER(tblHorasJan[Saída - 1 (Almoço)]),ISNUMBER(tblHorasJan[Entrada - 1])),
              IF(OR(AND(tblHorasJan[Evento 
(1º Período)]&lt;&gt;"",IF(ISERROR(VLOOKUP(tblHorasJan[Evento 
(1º Período)],tblEvento[],Tabelas!$E$1,FALSE)),FALSE,VLOOKUP(tblHorasJan[Evento 
(1º Período)],tblEvento[],Tabelas!$E$1,FALSE)="Sim")),IF(VLOOKUP(TEXT(tblHorasJan[Data],"dddd"),tblDiaUtil[],2,FALSE)="Não",TRUE,FALSE)),
                   tblHorasJan[Saída - 1 (Almoço)]-tblHorasJan[Entrada - 1],
                   IF(OR(HOUR(tblHorasJan[Saída - 1 (Almoço)]-tblHorasJan[Entrada - 1])&gt;0,ROUND(tblHorasJan[Saída - 1 (Almoço)]-tblHorasJan[Entrada - 1],6)&gt;ROUND(CARENCIA,6)),
                          tblHorasJan[Saída - 1 (Almoço)]-tblHorasJan[Entrada - 1],
                          0)),
                    0)),0)</f>
        <v>0</v>
      </c>
      <c r="K35" s="4">
        <f>IF($B$6&lt;&gt;"",
IF(AND(tblHorasJan[Evento 
(2º Período)]&lt;&gt;"",IF(ISERROR(VLOOKUP(tblHorasJan[Evento 
(2º Período)],tblEvento[],Tabelas!$D$1,FALSE)),FALSE,VLOOKUP(tblHorasJan[Evento 
(2º Período)],tblEvento[],Tabelas!$D$1,FALSE)="Sim")),
        IF(JORNADA_PERIODO_2&lt;&gt;"",
IF(VLOOKUP(tblHorasJan[Dia],tblDiaUtil[[Abreviatura]:[2º Período]],4,FALSE)&gt;0,VLOOKUP(tblHorasJan[Dia],tblDiaUtil[[Abreviatura]:[2º Período]],4,FALSE),JORNADA_PERIODO_2),
IF(VLOOKUP(tblHorasJan[Dia],tblDiaUtil[[Abreviatura]:[2º Período]],4,FALSE)&gt;0,VLOOKUP(tblHorasJan[Dia],tblDiaUtil[[Abreviatura]:[2º Período]],4,FALSE),JORNADA/2)),
        IF(AND(ISNUMBER(tblHorasJan[Saída - 2]),ISNUMBER(tblHorasJan[Entrada - 2 (Almoço)])),
              IF(OR(AND(tblHorasJan[Evento 
(2º Período)]&lt;&gt;"",IF(ISERROR(VLOOKUP(tblHorasJan[Evento 
(2º Período)],tblEvento[],Tabelas!$E$1,FALSE)),FALSE,VLOOKUP(tblHorasJan[Evento 
(2º Período)],tblEvento[],Tabelas!$E$1,FALSE)="Sim")),IF(VLOOKUP(TEXT(tblHorasJan[Data],"dddd"),tblDiaUtil[],2,FALSE)="Não",TRUE,FALSE)),
                   tblHorasJan[Saída - 2]-tblHorasJan[Entrada - 2 (Almoço)],
                   IF(OR(HOUR(tblHorasJan[Saída - 2]-tblHorasJan[Entrada - 2 (Almoço)])&gt;0,MINUTE(tblHorasJan[Saída - 2]-tblHorasJan[Entrada - 2 (Almoço)])&gt;CARENCIA),
                         tblHorasJan[Saída - 2]-tblHorasJan[Entrada - 2 (Almoço)],
                         0)),
       0)),0)</f>
        <v>0</v>
      </c>
      <c r="L35" s="4">
        <f>tblHorasJan[Horas Trabalhadas (1º Período)]+tblHorasJan[Horas Trabalhadas (2º Período)]</f>
        <v>0</v>
      </c>
      <c r="M35" s="4" t="str">
        <f>IF(tblHorasJan[Data]&lt;&gt;"",
        IF(
AND(VLOOKUP(TEXT(tblHorasJan[Data],"dddd"),tblDiaUtil[],3,FALSE)="Sim",IF(tblHorasJan[Evento 
(1º Período)]&lt;&gt;"",IF(VLOOKUP(tblHorasJan[Evento 
(1º Período)],tblEvento[],Tabelas!$E$1,FALSE)="Sim",FALSE,TRUE),TRUE),IF(tblHorasJan[Evento 
(2º Período)]&lt;&gt;"",IF(VLOOKUP(tblHorasJan[Evento 
(2º Período)],tblEvento[],Tabelas!$E$1,FALSE)="Sim",FALSE,TRUE),TRUE)),
              IF(VLOOKUP(tblHorasJan[Dia],tblDiaUtil[[Abreviatura]:[1º Período]],3,FALSE)&gt;0,VLOOKUP(tblHorasJan[Dia],tblDiaUtil[[Abreviatura]:[1º Período]],3,FALSE),JORNADA),
              ""),
         "")</f>
        <v/>
      </c>
      <c r="N35" s="14">
        <f>IF(OR(tblHorasJan[Horas Trabalhadas (1º Período)]&lt;&gt;0,tblHorasJan[Horas Trabalhadas (2º Período)]&lt;&gt;0),
        IF(ISNUMBER(tblHorasJan[Jornada Diária]),
              IF(tblHorasJan[Jornada Diária]&gt;(tblHorasJan[Horas Trabalhadas (2º Período)]+tblHorasJan[Horas Trabalhadas (1º Período)]),
                     IF(ROUND((tblHorasJan[Jornada Diária]-(tblHorasJan[Horas Trabalhadas (2º Período)]+tblHorasJan[Horas Trabalhadas (1º Período)])),6)&gt;ROUND(CARENCIA,6),
                           -tblHorasJan[Jornada Diária]+(tblHorasJan[Horas Trabalhadas (2º Período)]+tblHorasJan[Horas Trabalhadas (1º Período)]),
                           0),
                      IF(ROUND((tblHorasJan[Jornada Diária]-(tblHorasJan[Horas Trabalhadas (2º Período)]+tblHorasJan[Horas Trabalhadas (1º Período)])),6)&lt;ROUND(-CARENCIA,6),
                           -tblHorasJan[Jornada Diária]+(tblHorasJan[Horas Trabalhadas (2º Período)]+tblHorasJan[Horas Trabalhadas (1º Período)]),
                           0)),
              tblHorasJan[Horas Trabalhadas (2º Período)]+tblHorasJan[Horas Trabalhadas (1º Período)]),
         IF(AND(IF(ISERROR(VLOOKUP(tblHorasJan[Evento 
(1º Período)],tblEvento[[Evento]:[Libera o Período]],4,FALSE)),FALSE,IF(VLOOKUP(tblHorasJan[Evento 
(1º Período)],tblEvento[[Evento]:[Libera o Período]],4,FALSE)="Não",TRUE,FALSE)),IF(ISERROR(VLOOKUP(tblHorasJan[Evento 
(2º Período)],tblEvento[[Evento]:[Libera o Período]],4,FALSE)),FALSE,IF(VLOOKUP(tblHorasJan[Evento 
(2º Período)],tblEvento[[Evento]:[Libera o Período]],4,FALSE)="Não",TRUE,FALSE))),
-IF(VLOOKUP(tblHorasJan[Dia],tblDiaUtil[[Abreviatura]:[Total Jornada]],5,FALSE)&lt;&gt;"",VLOOKUP(tblHorasJan[Dia],tblDiaUtil[[Abreviatura]:[Total Jornada]],5,FALSE),JORNADA),
IF(IF(ISERROR(VLOOKUP(tblHorasJan[Evento 
(1º Período)],tblEvento[[Evento]:[Libera o Período]],4,FALSE)),FALSE,
IF(VLOOKUP(tblHorasJan[Evento 
(1º Período)],tblEvento[[Evento]:[Libera o Período]],4,FALSE)="Não",TRUE,FALSE)
),
-IF(VLOOKUP(tblHorasJan[Dia],tblDiaUtil[[Abreviatura]:[1º Período]],3,FALSE)&lt;&gt;"",VLOOKUP(tblHorasJan[Dia],tblDiaUtil[[Abreviatura]:[1º Período]],3,FALSE),JORNADA_PERIODO_1),
IF(IF(ISERROR(VLOOKUP(tblHorasJan[Evento 
(2º Período)],tblEvento[[Evento]:[Libera o Período]],4,FALSE)),FALSE,IF(VLOOKUP(tblHorasJan[Evento 
(2º Período)],tblEvento[[Evento]:[Libera o Período]],4,FALSE)="Não",TRUE,FALSE)),
-IF(VLOOKUP(tblHorasJan[Dia],tblDiaUtil[[Abreviatura]:[2º Período]],4,FALSE)&lt;&gt;"",VLOOKUP(tblHorasJan[Dia],tblDiaUtil[[Abreviatura]:[2º Período]],4,FALSE),JORNADA_PERIODO_2),0))))</f>
        <v>0</v>
      </c>
      <c r="O35" s="14">
        <f>IF(tblHorasJan[Horas Trabalhadas Além Jornada]&gt;0,
        IF(ISNUMBER(tblHorasJan[Jornada Diária]),
              IF(HOUR(tblHorasJan[Horas Trabalhadas Além Jornada])&gt;=VLOOKUP(LIMITE,tblLimiteHora[],Tabelas!$I$1,FALSE),
                    VLOOKUP(LIMITE,tblLimiteHora[],Tabelas!$J$1,FALSE),
                    tblHorasJan[Horas Trabalhadas Além Jornada]),
              tblHorasJan[Horas Trabalhadas Além Jornada]),
        tblHorasJan[Horas Trabalhadas Além Jornada])+O34</f>
        <v>0</v>
      </c>
      <c r="P35" s="14" t="str">
        <f>IF(tblHorasJan[Horas Trabalhadas Além Jornada]&lt;0,IF(OR(tblHorasJan[Evento 
(1º Período)]="",tblHorasJan[Evento 
(2º Período)]=""),tblHorasJan[Horas Trabalhadas Além Jornada],""),"")</f>
        <v/>
      </c>
      <c r="Q35" s="14" t="str">
        <f>IF(tblHorasJan[Jornada Diária]&lt;&gt;"",IF((N(tblHorasJan[Jornada Diária])-ABS(N(tblHorasJan[Horas Trabalhadas Além Jornada])))=0,1,""),"")</f>
        <v/>
      </c>
      <c r="R35" s="14" t="str">
        <f>IF(tblHorasJan[Horas Trabalhadas Além Jornada]&gt;0,
IF(AND(VLOOKUP(TEXT(tblHorasJan[Data],"dddd"),tblDiaUtil[],3,FALSE)="Sim",IF(tblHorasJan[Evento 
(1º Período)]&lt;&gt;"",IF(VLOOKUP(tblHorasJan[Evento 
(1º Período)],tblEvento[],Tabelas!$E$1,FALSE)="Sim",FALSE,TRUE),TRUE),IF(tblHorasJan[Evento 
(2º Período)]&lt;&gt;"",IF(VLOOKUP(tblHorasJan[Evento 
(2º Período)],tblEvento[],Tabelas!$E$1,FALSE)="Sim",FALSE,TRUE),TRUE)),
tblHorasJan[Horas Trabalhadas Além Jornada],""),"")</f>
        <v/>
      </c>
      <c r="S35" s="14" t="str">
        <f>IF(tblHorasJan[Horas Trabalhadas Além Jornada]&gt;0,
IF(OR(VLOOKUP(TEXT(tblHorasJan[Data],"dddd"),tblDiaUtil[],3,FALSE)="Não",IF(tblHorasJan[Evento 
(1º Período)]&lt;&gt;"",IF(VLOOKUP(tblHorasJan[Evento 
(1º Período)],tblEvento[],Tabelas!$E$1,FALSE)="Sim",TRUE,FALSE),FALSE),IF(tblHorasJan[Evento 
(2º Período)]&lt;&gt;"",IF(VLOOKUP(tblHorasJan[Evento 
(2º Período)],tblEvento[],Tabelas!$E$1,FALSE)="Sim",TRUE,FALSE),FALSE)),
tblHorasJan[Horas Trabalhadas Além Jornada],""),"")</f>
        <v/>
      </c>
      <c r="T35" s="15" t="str">
        <f>IF(tblHorasJan[Evento 
(1º Período)]&lt;&gt;""," - " &amp;VLOOKUP(tblHorasJan[Evento 
(1º Período)],tblEvento[],Tabelas!$F$1,FALSE),"")&amp;IF(AND(tblHorasJan[Evento 
(2º Período)]&lt;&gt;"",tblHorasJan[Evento 
(2º Período)]&lt;&gt;tblHorasJan[Evento 
(1º Período)])," - " &amp; VLOOKUP(tblHorasJan[Evento 
(2º Período)],tblEvento[],Tabelas!$F$1,FALSE),"")</f>
        <v/>
      </c>
    </row>
    <row r="36" spans="2:21" x14ac:dyDescent="0.25">
      <c r="B36" s="11" t="str">
        <f t="shared" si="0"/>
        <v/>
      </c>
      <c r="C36" s="12" t="str">
        <f>TEXT(tblHorasJan[Data],"ddd")</f>
        <v/>
      </c>
      <c r="D36" s="25"/>
      <c r="E36" s="1"/>
      <c r="F36" s="1"/>
      <c r="G36" s="1"/>
      <c r="H36" s="1"/>
      <c r="I36" s="53"/>
      <c r="J36" s="4">
        <f>IF($B$6&lt;&gt;"",
IF(AND(tblHorasJan[Evento 
(1º Período)]&lt;&gt;"",IF(ISERROR(VLOOKUP(tblHorasJan[Evento 
(1º Período)],tblEvento[],Tabelas!$D$1,FALSE)),FALSE,VLOOKUP(tblHorasJan[Evento 
(1º Período)],tblEvento[],Tabelas!$D$1,FALSE)="Sim")),
        IF(JORNADA_PERIODO_1&lt;&gt;"",
IF(VLOOKUP(tblHorasJan[Dia],tblDiaUtil[[Abreviatura]:[1º Período]],3,FALSE)&gt;0,VLOOKUP(tblHorasJan[Dia],tblDiaUtil[[Abreviatura]:[1º Período]],3,FALSE),JORNADA_PERIODO_1),
IF(VLOOKUP(tblHorasJan[Dia],tblDiaUtil[[Abreviatura]:[1º Período]],3,FALSE)&gt;0,VLOOKUP(tblHorasJan[Dia],tblDiaUtil[[Abreviatura]:[1º Período]],3,FALSE),JORNADA/2)),
        IF(AND(ISNUMBER(tblHorasJan[Saída - 1 (Almoço)]),ISNUMBER(tblHorasJan[Entrada - 1])),
              IF(OR(AND(tblHorasJan[Evento 
(1º Período)]&lt;&gt;"",IF(ISERROR(VLOOKUP(tblHorasJan[Evento 
(1º Período)],tblEvento[],Tabelas!$E$1,FALSE)),FALSE,VLOOKUP(tblHorasJan[Evento 
(1º Período)],tblEvento[],Tabelas!$E$1,FALSE)="Sim")),IF(VLOOKUP(TEXT(tblHorasJan[Data],"dddd"),tblDiaUtil[],2,FALSE)="Não",TRUE,FALSE)),
                   tblHorasJan[Saída - 1 (Almoço)]-tblHorasJan[Entrada - 1],
                   IF(OR(HOUR(tblHorasJan[Saída - 1 (Almoço)]-tblHorasJan[Entrada - 1])&gt;0,ROUND(tblHorasJan[Saída - 1 (Almoço)]-tblHorasJan[Entrada - 1],6)&gt;ROUND(CARENCIA,6)),
                          tblHorasJan[Saída - 1 (Almoço)]-tblHorasJan[Entrada - 1],
                          0)),
                    0)),0)</f>
        <v>0</v>
      </c>
      <c r="K36" s="4">
        <f>IF($B$6&lt;&gt;"",
IF(AND(tblHorasJan[Evento 
(2º Período)]&lt;&gt;"",IF(ISERROR(VLOOKUP(tblHorasJan[Evento 
(2º Período)],tblEvento[],Tabelas!$D$1,FALSE)),FALSE,VLOOKUP(tblHorasJan[Evento 
(2º Período)],tblEvento[],Tabelas!$D$1,FALSE)="Sim")),
        IF(JORNADA_PERIODO_2&lt;&gt;"",
IF(VLOOKUP(tblHorasJan[Dia],tblDiaUtil[[Abreviatura]:[2º Período]],4,FALSE)&gt;0,VLOOKUP(tblHorasJan[Dia],tblDiaUtil[[Abreviatura]:[2º Período]],4,FALSE),JORNADA_PERIODO_2),
IF(VLOOKUP(tblHorasJan[Dia],tblDiaUtil[[Abreviatura]:[2º Período]],4,FALSE)&gt;0,VLOOKUP(tblHorasJan[Dia],tblDiaUtil[[Abreviatura]:[2º Período]],4,FALSE),JORNADA/2)),
        IF(AND(ISNUMBER(tblHorasJan[Saída - 2]),ISNUMBER(tblHorasJan[Entrada - 2 (Almoço)])),
              IF(OR(AND(tblHorasJan[Evento 
(2º Período)]&lt;&gt;"",IF(ISERROR(VLOOKUP(tblHorasJan[Evento 
(2º Período)],tblEvento[],Tabelas!$E$1,FALSE)),FALSE,VLOOKUP(tblHorasJan[Evento 
(2º Período)],tblEvento[],Tabelas!$E$1,FALSE)="Sim")),IF(VLOOKUP(TEXT(tblHorasJan[Data],"dddd"),tblDiaUtil[],2,FALSE)="Não",TRUE,FALSE)),
                   tblHorasJan[Saída - 2]-tblHorasJan[Entrada - 2 (Almoço)],
                   IF(OR(HOUR(tblHorasJan[Saída - 2]-tblHorasJan[Entrada - 2 (Almoço)])&gt;0,MINUTE(tblHorasJan[Saída - 2]-tblHorasJan[Entrada - 2 (Almoço)])&gt;CARENCIA),
                         tblHorasJan[Saída - 2]-tblHorasJan[Entrada - 2 (Almoço)],
                         0)),
       0)),0)</f>
        <v>0</v>
      </c>
      <c r="L36" s="4">
        <f>tblHorasJan[Horas Trabalhadas (1º Período)]+tblHorasJan[Horas Trabalhadas (2º Período)]</f>
        <v>0</v>
      </c>
      <c r="M36" s="4" t="str">
        <f>IF(tblHorasJan[Data]&lt;&gt;"",
        IF(
AND(VLOOKUP(TEXT(tblHorasJan[Data],"dddd"),tblDiaUtil[],3,FALSE)="Sim",IF(tblHorasJan[Evento 
(1º Período)]&lt;&gt;"",IF(VLOOKUP(tblHorasJan[Evento 
(1º Período)],tblEvento[],Tabelas!$E$1,FALSE)="Sim",FALSE,TRUE),TRUE),IF(tblHorasJan[Evento 
(2º Período)]&lt;&gt;"",IF(VLOOKUP(tblHorasJan[Evento 
(2º Período)],tblEvento[],Tabelas!$E$1,FALSE)="Sim",FALSE,TRUE),TRUE)),
              IF(VLOOKUP(tblHorasJan[Dia],tblDiaUtil[[Abreviatura]:[1º Período]],3,FALSE)&gt;0,VLOOKUP(tblHorasJan[Dia],tblDiaUtil[[Abreviatura]:[1º Período]],3,FALSE),JORNADA),
              ""),
         "")</f>
        <v/>
      </c>
      <c r="N36" s="14">
        <f>IF(OR(tblHorasJan[Horas Trabalhadas (1º Período)]&lt;&gt;0,tblHorasJan[Horas Trabalhadas (2º Período)]&lt;&gt;0),
        IF(ISNUMBER(tblHorasJan[Jornada Diária]),
              IF(tblHorasJan[Jornada Diária]&gt;(tblHorasJan[Horas Trabalhadas (2º Período)]+tblHorasJan[Horas Trabalhadas (1º Período)]),
                     IF(ROUND((tblHorasJan[Jornada Diária]-(tblHorasJan[Horas Trabalhadas (2º Período)]+tblHorasJan[Horas Trabalhadas (1º Período)])),6)&gt;ROUND(CARENCIA,6),
                           -tblHorasJan[Jornada Diária]+(tblHorasJan[Horas Trabalhadas (2º Período)]+tblHorasJan[Horas Trabalhadas (1º Período)]),
                           0),
                      IF(ROUND((tblHorasJan[Jornada Diária]-(tblHorasJan[Horas Trabalhadas (2º Período)]+tblHorasJan[Horas Trabalhadas (1º Período)])),6)&lt;ROUND(-CARENCIA,6),
                           -tblHorasJan[Jornada Diária]+(tblHorasJan[Horas Trabalhadas (2º Período)]+tblHorasJan[Horas Trabalhadas (1º Período)]),
                           0)),
              tblHorasJan[Horas Trabalhadas (2º Período)]+tblHorasJan[Horas Trabalhadas (1º Período)]),
         IF(AND(IF(ISERROR(VLOOKUP(tblHorasJan[Evento 
(1º Período)],tblEvento[[Evento]:[Libera o Período]],4,FALSE)),FALSE,IF(VLOOKUP(tblHorasJan[Evento 
(1º Período)],tblEvento[[Evento]:[Libera o Período]],4,FALSE)="Não",TRUE,FALSE)),IF(ISERROR(VLOOKUP(tblHorasJan[Evento 
(2º Período)],tblEvento[[Evento]:[Libera o Período]],4,FALSE)),FALSE,IF(VLOOKUP(tblHorasJan[Evento 
(2º Período)],tblEvento[[Evento]:[Libera o Período]],4,FALSE)="Não",TRUE,FALSE))),
-IF(VLOOKUP(tblHorasJan[Dia],tblDiaUtil[[Abreviatura]:[Total Jornada]],5,FALSE)&lt;&gt;"",VLOOKUP(tblHorasJan[Dia],tblDiaUtil[[Abreviatura]:[Total Jornada]],5,FALSE),JORNADA),
IF(IF(ISERROR(VLOOKUP(tblHorasJan[Evento 
(1º Período)],tblEvento[[Evento]:[Libera o Período]],4,FALSE)),FALSE,
IF(VLOOKUP(tblHorasJan[Evento 
(1º Período)],tblEvento[[Evento]:[Libera o Período]],4,FALSE)="Não",TRUE,FALSE)
),
-IF(VLOOKUP(tblHorasJan[Dia],tblDiaUtil[[Abreviatura]:[1º Período]],3,FALSE)&lt;&gt;"",VLOOKUP(tblHorasJan[Dia],tblDiaUtil[[Abreviatura]:[1º Período]],3,FALSE),JORNADA_PERIODO_1),
IF(IF(ISERROR(VLOOKUP(tblHorasJan[Evento 
(2º Período)],tblEvento[[Evento]:[Libera o Período]],4,FALSE)),FALSE,IF(VLOOKUP(tblHorasJan[Evento 
(2º Período)],tblEvento[[Evento]:[Libera o Período]],4,FALSE)="Não",TRUE,FALSE)),
-IF(VLOOKUP(tblHorasJan[Dia],tblDiaUtil[[Abreviatura]:[2º Período]],4,FALSE)&lt;&gt;"",VLOOKUP(tblHorasJan[Dia],tblDiaUtil[[Abreviatura]:[2º Período]],4,FALSE),JORNADA_PERIODO_2),0))))</f>
        <v>0</v>
      </c>
      <c r="O36" s="14">
        <f>IF(tblHorasJan[Horas Trabalhadas Além Jornada]&gt;0,
        IF(ISNUMBER(tblHorasJan[Jornada Diária]),
              IF(HOUR(tblHorasJan[Horas Trabalhadas Além Jornada])&gt;=VLOOKUP(LIMITE,tblLimiteHora[],Tabelas!$I$1,FALSE),
                    VLOOKUP(LIMITE,tblLimiteHora[],Tabelas!$J$1,FALSE),
                    tblHorasJan[Horas Trabalhadas Além Jornada]),
              tblHorasJan[Horas Trabalhadas Além Jornada]),
        tblHorasJan[Horas Trabalhadas Além Jornada])+O35</f>
        <v>0</v>
      </c>
      <c r="P36" s="14" t="str">
        <f>IF(tblHorasJan[Horas Trabalhadas Além Jornada]&lt;0,IF(OR(tblHorasJan[Evento 
(1º Período)]="",tblHorasJan[Evento 
(2º Período)]=""),tblHorasJan[Horas Trabalhadas Além Jornada],""),"")</f>
        <v/>
      </c>
      <c r="Q36" s="14" t="str">
        <f>IF(tblHorasJan[Jornada Diária]&lt;&gt;"",IF((N(tblHorasJan[Jornada Diária])-ABS(N(tblHorasJan[Horas Trabalhadas Além Jornada])))=0,1,""),"")</f>
        <v/>
      </c>
      <c r="R36" s="14" t="str">
        <f>IF(tblHorasJan[Horas Trabalhadas Além Jornada]&gt;0,
IF(AND(VLOOKUP(TEXT(tblHorasJan[Data],"dddd"),tblDiaUtil[],3,FALSE)="Sim",IF(tblHorasJan[Evento 
(1º Período)]&lt;&gt;"",IF(VLOOKUP(tblHorasJan[Evento 
(1º Período)],tblEvento[],Tabelas!$E$1,FALSE)="Sim",FALSE,TRUE),TRUE),IF(tblHorasJan[Evento 
(2º Período)]&lt;&gt;"",IF(VLOOKUP(tblHorasJan[Evento 
(2º Período)],tblEvento[],Tabelas!$E$1,FALSE)="Sim",FALSE,TRUE),TRUE)),
tblHorasJan[Horas Trabalhadas Além Jornada],""),"")</f>
        <v/>
      </c>
      <c r="S36" s="14" t="str">
        <f>IF(tblHorasJan[Horas Trabalhadas Além Jornada]&gt;0,
IF(OR(VLOOKUP(TEXT(tblHorasJan[Data],"dddd"),tblDiaUtil[],3,FALSE)="Não",IF(tblHorasJan[Evento 
(1º Período)]&lt;&gt;"",IF(VLOOKUP(tblHorasJan[Evento 
(1º Período)],tblEvento[],Tabelas!$E$1,FALSE)="Sim",TRUE,FALSE),FALSE),IF(tblHorasJan[Evento 
(2º Período)]&lt;&gt;"",IF(VLOOKUP(tblHorasJan[Evento 
(2º Período)],tblEvento[],Tabelas!$E$1,FALSE)="Sim",TRUE,FALSE),FALSE)),
tblHorasJan[Horas Trabalhadas Além Jornada],""),"")</f>
        <v/>
      </c>
      <c r="T36" s="15" t="str">
        <f>IF(tblHorasJan[Evento 
(1º Período)]&lt;&gt;""," - " &amp;VLOOKUP(tblHorasJan[Evento 
(1º Período)],tblEvento[],Tabelas!$F$1,FALSE),"")&amp;IF(AND(tblHorasJan[Evento 
(2º Período)]&lt;&gt;"",tblHorasJan[Evento 
(2º Período)]&lt;&gt;tblHorasJan[Evento 
(1º Período)])," - " &amp; VLOOKUP(tblHorasJan[Evento 
(2º Período)],tblEvento[],Tabelas!$F$1,FALSE),"")</f>
        <v/>
      </c>
    </row>
    <row r="37" spans="2:21" x14ac:dyDescent="0.25">
      <c r="B37" s="11" t="str">
        <f t="shared" si="0"/>
        <v/>
      </c>
      <c r="C37" s="12" t="str">
        <f>TEXT(tblHorasJan[Data],"ddd")</f>
        <v/>
      </c>
      <c r="D37" s="25"/>
      <c r="E37" s="1"/>
      <c r="F37" s="1"/>
      <c r="G37" s="1"/>
      <c r="H37" s="1"/>
      <c r="I37" s="53"/>
      <c r="J37" s="4">
        <f>IF($B$6&lt;&gt;"",
IF(AND(tblHorasJan[Evento 
(1º Período)]&lt;&gt;"",IF(ISERROR(VLOOKUP(tblHorasJan[Evento 
(1º Período)],tblEvento[],Tabelas!$D$1,FALSE)),FALSE,VLOOKUP(tblHorasJan[Evento 
(1º Período)],tblEvento[],Tabelas!$D$1,FALSE)="Sim")),
        IF(JORNADA_PERIODO_1&lt;&gt;"",
IF(VLOOKUP(tblHorasJan[Dia],tblDiaUtil[[Abreviatura]:[1º Período]],3,FALSE)&gt;0,VLOOKUP(tblHorasJan[Dia],tblDiaUtil[[Abreviatura]:[1º Período]],3,FALSE),JORNADA_PERIODO_1),
IF(VLOOKUP(tblHorasJan[Dia],tblDiaUtil[[Abreviatura]:[1º Período]],3,FALSE)&gt;0,VLOOKUP(tblHorasJan[Dia],tblDiaUtil[[Abreviatura]:[1º Período]],3,FALSE),JORNADA/2)),
        IF(AND(ISNUMBER(tblHorasJan[Saída - 1 (Almoço)]),ISNUMBER(tblHorasJan[Entrada - 1])),
              IF(OR(AND(tblHorasJan[Evento 
(1º Período)]&lt;&gt;"",IF(ISERROR(VLOOKUP(tblHorasJan[Evento 
(1º Período)],tblEvento[],Tabelas!$E$1,FALSE)),FALSE,VLOOKUP(tblHorasJan[Evento 
(1º Período)],tblEvento[],Tabelas!$E$1,FALSE)="Sim")),IF(VLOOKUP(TEXT(tblHorasJan[Data],"dddd"),tblDiaUtil[],2,FALSE)="Não",TRUE,FALSE)),
                   tblHorasJan[Saída - 1 (Almoço)]-tblHorasJan[Entrada - 1],
                   IF(OR(HOUR(tblHorasJan[Saída - 1 (Almoço)]-tblHorasJan[Entrada - 1])&gt;0,ROUND(tblHorasJan[Saída - 1 (Almoço)]-tblHorasJan[Entrada - 1],6)&gt;ROUND(CARENCIA,6)),
                          tblHorasJan[Saída - 1 (Almoço)]-tblHorasJan[Entrada - 1],
                          0)),
                    0)),0)</f>
        <v>0</v>
      </c>
      <c r="K37" s="4">
        <f>IF($B$6&lt;&gt;"",
IF(AND(tblHorasJan[Evento 
(2º Período)]&lt;&gt;"",IF(ISERROR(VLOOKUP(tblHorasJan[Evento 
(2º Período)],tblEvento[],Tabelas!$D$1,FALSE)),FALSE,VLOOKUP(tblHorasJan[Evento 
(2º Período)],tblEvento[],Tabelas!$D$1,FALSE)="Sim")),
        IF(JORNADA_PERIODO_2&lt;&gt;"",
IF(VLOOKUP(tblHorasJan[Dia],tblDiaUtil[[Abreviatura]:[2º Período]],4,FALSE)&gt;0,VLOOKUP(tblHorasJan[Dia],tblDiaUtil[[Abreviatura]:[2º Período]],4,FALSE),JORNADA_PERIODO_2),
IF(VLOOKUP(tblHorasJan[Dia],tblDiaUtil[[Abreviatura]:[2º Período]],4,FALSE)&gt;0,VLOOKUP(tblHorasJan[Dia],tblDiaUtil[[Abreviatura]:[2º Período]],4,FALSE),JORNADA/2)),
        IF(AND(ISNUMBER(tblHorasJan[Saída - 2]),ISNUMBER(tblHorasJan[Entrada - 2 (Almoço)])),
              IF(OR(AND(tblHorasJan[Evento 
(2º Período)]&lt;&gt;"",IF(ISERROR(VLOOKUP(tblHorasJan[Evento 
(2º Período)],tblEvento[],Tabelas!$E$1,FALSE)),FALSE,VLOOKUP(tblHorasJan[Evento 
(2º Período)],tblEvento[],Tabelas!$E$1,FALSE)="Sim")),IF(VLOOKUP(TEXT(tblHorasJan[Data],"dddd"),tblDiaUtil[],2,FALSE)="Não",TRUE,FALSE)),
                   tblHorasJan[Saída - 2]-tblHorasJan[Entrada - 2 (Almoço)],
                   IF(OR(HOUR(tblHorasJan[Saída - 2]-tblHorasJan[Entrada - 2 (Almoço)])&gt;0,MINUTE(tblHorasJan[Saída - 2]-tblHorasJan[Entrada - 2 (Almoço)])&gt;CARENCIA),
                         tblHorasJan[Saída - 2]-tblHorasJan[Entrada - 2 (Almoço)],
                         0)),
       0)),0)</f>
        <v>0</v>
      </c>
      <c r="L37" s="4">
        <f>tblHorasJan[Horas Trabalhadas (1º Período)]+tblHorasJan[Horas Trabalhadas (2º Período)]</f>
        <v>0</v>
      </c>
      <c r="M37" s="4" t="str">
        <f>IF(tblHorasJan[Data]&lt;&gt;"",
        IF(
AND(VLOOKUP(TEXT(tblHorasJan[Data],"dddd"),tblDiaUtil[],3,FALSE)="Sim",IF(tblHorasJan[Evento 
(1º Período)]&lt;&gt;"",IF(VLOOKUP(tblHorasJan[Evento 
(1º Período)],tblEvento[],Tabelas!$E$1,FALSE)="Sim",FALSE,TRUE),TRUE),IF(tblHorasJan[Evento 
(2º Período)]&lt;&gt;"",IF(VLOOKUP(tblHorasJan[Evento 
(2º Período)],tblEvento[],Tabelas!$E$1,FALSE)="Sim",FALSE,TRUE),TRUE)),
              IF(VLOOKUP(tblHorasJan[Dia],tblDiaUtil[[Abreviatura]:[1º Período]],3,FALSE)&gt;0,VLOOKUP(tblHorasJan[Dia],tblDiaUtil[[Abreviatura]:[1º Período]],3,FALSE),JORNADA),
              ""),
         "")</f>
        <v/>
      </c>
      <c r="N37" s="14">
        <f>IF(OR(tblHorasJan[Horas Trabalhadas (1º Período)]&lt;&gt;0,tblHorasJan[Horas Trabalhadas (2º Período)]&lt;&gt;0),
        IF(ISNUMBER(tblHorasJan[Jornada Diária]),
              IF(tblHorasJan[Jornada Diária]&gt;(tblHorasJan[Horas Trabalhadas (2º Período)]+tblHorasJan[Horas Trabalhadas (1º Período)]),
                     IF(ROUND((tblHorasJan[Jornada Diária]-(tblHorasJan[Horas Trabalhadas (2º Período)]+tblHorasJan[Horas Trabalhadas (1º Período)])),6)&gt;ROUND(CARENCIA,6),
                           -tblHorasJan[Jornada Diária]+(tblHorasJan[Horas Trabalhadas (2º Período)]+tblHorasJan[Horas Trabalhadas (1º Período)]),
                           0),
                      IF(ROUND((tblHorasJan[Jornada Diária]-(tblHorasJan[Horas Trabalhadas (2º Período)]+tblHorasJan[Horas Trabalhadas (1º Período)])),6)&lt;ROUND(-CARENCIA,6),
                           -tblHorasJan[Jornada Diária]+(tblHorasJan[Horas Trabalhadas (2º Período)]+tblHorasJan[Horas Trabalhadas (1º Período)]),
                           0)),
              tblHorasJan[Horas Trabalhadas (2º Período)]+tblHorasJan[Horas Trabalhadas (1º Período)]),
         IF(AND(IF(ISERROR(VLOOKUP(tblHorasJan[Evento 
(1º Período)],tblEvento[[Evento]:[Libera o Período]],4,FALSE)),FALSE,IF(VLOOKUP(tblHorasJan[Evento 
(1º Período)],tblEvento[[Evento]:[Libera o Período]],4,FALSE)="Não",TRUE,FALSE)),IF(ISERROR(VLOOKUP(tblHorasJan[Evento 
(2º Período)],tblEvento[[Evento]:[Libera o Período]],4,FALSE)),FALSE,IF(VLOOKUP(tblHorasJan[Evento 
(2º Período)],tblEvento[[Evento]:[Libera o Período]],4,FALSE)="Não",TRUE,FALSE))),
-IF(VLOOKUP(tblHorasJan[Dia],tblDiaUtil[[Abreviatura]:[Total Jornada]],5,FALSE)&lt;&gt;"",VLOOKUP(tblHorasJan[Dia],tblDiaUtil[[Abreviatura]:[Total Jornada]],5,FALSE),JORNADA),
IF(IF(ISERROR(VLOOKUP(tblHorasJan[Evento 
(1º Período)],tblEvento[[Evento]:[Libera o Período]],4,FALSE)),FALSE,
IF(VLOOKUP(tblHorasJan[Evento 
(1º Período)],tblEvento[[Evento]:[Libera o Período]],4,FALSE)="Não",TRUE,FALSE)
),
-IF(VLOOKUP(tblHorasJan[Dia],tblDiaUtil[[Abreviatura]:[1º Período]],3,FALSE)&lt;&gt;"",VLOOKUP(tblHorasJan[Dia],tblDiaUtil[[Abreviatura]:[1º Período]],3,FALSE),JORNADA_PERIODO_1),
IF(IF(ISERROR(VLOOKUP(tblHorasJan[Evento 
(2º Período)],tblEvento[[Evento]:[Libera o Período]],4,FALSE)),FALSE,IF(VLOOKUP(tblHorasJan[Evento 
(2º Período)],tblEvento[[Evento]:[Libera o Período]],4,FALSE)="Não",TRUE,FALSE)),
-IF(VLOOKUP(tblHorasJan[Dia],tblDiaUtil[[Abreviatura]:[2º Período]],4,FALSE)&lt;&gt;"",VLOOKUP(tblHorasJan[Dia],tblDiaUtil[[Abreviatura]:[2º Período]],4,FALSE),JORNADA_PERIODO_2),0))))</f>
        <v>0</v>
      </c>
      <c r="O37" s="14">
        <f>IF(tblHorasJan[Horas Trabalhadas Além Jornada]&gt;0,
        IF(ISNUMBER(tblHorasJan[Jornada Diária]),
              IF(HOUR(tblHorasJan[Horas Trabalhadas Além Jornada])&gt;=VLOOKUP(LIMITE,tblLimiteHora[],Tabelas!$I$1,FALSE),
                    VLOOKUP(LIMITE,tblLimiteHora[],Tabelas!$J$1,FALSE),
                    tblHorasJan[Horas Trabalhadas Além Jornada]),
              tblHorasJan[Horas Trabalhadas Além Jornada]),
        tblHorasJan[Horas Trabalhadas Além Jornada])+O36</f>
        <v>0</v>
      </c>
      <c r="P37" s="14" t="str">
        <f>IF(tblHorasJan[Horas Trabalhadas Além Jornada]&lt;0,IF(OR(tblHorasJan[Evento 
(1º Período)]="",tblHorasJan[Evento 
(2º Período)]=""),tblHorasJan[Horas Trabalhadas Além Jornada],""),"")</f>
        <v/>
      </c>
      <c r="Q37" s="14" t="str">
        <f>IF(tblHorasJan[Jornada Diária]&lt;&gt;"",IF((N(tblHorasJan[Jornada Diária])-ABS(N(tblHorasJan[Horas Trabalhadas Além Jornada])))=0,1,""),"")</f>
        <v/>
      </c>
      <c r="R37" s="14" t="str">
        <f>IF(tblHorasJan[Horas Trabalhadas Além Jornada]&gt;0,
IF(AND(VLOOKUP(TEXT(tblHorasJan[Data],"dddd"),tblDiaUtil[],3,FALSE)="Sim",IF(tblHorasJan[Evento 
(1º Período)]&lt;&gt;"",IF(VLOOKUP(tblHorasJan[Evento 
(1º Período)],tblEvento[],Tabelas!$E$1,FALSE)="Sim",FALSE,TRUE),TRUE),IF(tblHorasJan[Evento 
(2º Período)]&lt;&gt;"",IF(VLOOKUP(tblHorasJan[Evento 
(2º Período)],tblEvento[],Tabelas!$E$1,FALSE)="Sim",FALSE,TRUE),TRUE)),
tblHorasJan[Horas Trabalhadas Além Jornada],""),"")</f>
        <v/>
      </c>
      <c r="S37" s="14" t="str">
        <f>IF(tblHorasJan[Horas Trabalhadas Além Jornada]&gt;0,
IF(OR(VLOOKUP(TEXT(tblHorasJan[Data],"dddd"),tblDiaUtil[],3,FALSE)="Não",IF(tblHorasJan[Evento 
(1º Período)]&lt;&gt;"",IF(VLOOKUP(tblHorasJan[Evento 
(1º Período)],tblEvento[],Tabelas!$E$1,FALSE)="Sim",TRUE,FALSE),FALSE),IF(tblHorasJan[Evento 
(2º Período)]&lt;&gt;"",IF(VLOOKUP(tblHorasJan[Evento 
(2º Período)],tblEvento[],Tabelas!$E$1,FALSE)="Sim",TRUE,FALSE),FALSE)),
tblHorasJan[Horas Trabalhadas Além Jornada],""),"")</f>
        <v/>
      </c>
      <c r="T37" s="15" t="str">
        <f>IF(tblHorasJan[Evento 
(1º Período)]&lt;&gt;""," - " &amp;VLOOKUP(tblHorasJan[Evento 
(1º Período)],tblEvento[],Tabelas!$F$1,FALSE),"")&amp;IF(AND(tblHorasJan[Evento 
(2º Período)]&lt;&gt;"",tblHorasJan[Evento 
(2º Período)]&lt;&gt;tblHorasJan[Evento 
(1º Período)])," - " &amp; VLOOKUP(tblHorasJan[Evento 
(2º Período)],tblEvento[],Tabelas!$F$1,FALSE),"")</f>
        <v/>
      </c>
    </row>
    <row r="38" spans="2:21" x14ac:dyDescent="0.25">
      <c r="B38" s="11" t="str">
        <f t="shared" si="0"/>
        <v/>
      </c>
      <c r="C38" s="12" t="str">
        <f>TEXT(tblHorasJan[Data],"ddd")</f>
        <v/>
      </c>
      <c r="D38" s="25"/>
      <c r="E38" s="1"/>
      <c r="F38" s="1"/>
      <c r="G38" s="1"/>
      <c r="H38" s="1"/>
      <c r="I38" s="53"/>
      <c r="J38" s="4">
        <f>IF($B$6&lt;&gt;"",
IF(AND(tblHorasJan[Evento 
(1º Período)]&lt;&gt;"",IF(ISERROR(VLOOKUP(tblHorasJan[Evento 
(1º Período)],tblEvento[],Tabelas!$D$1,FALSE)),FALSE,VLOOKUP(tblHorasJan[Evento 
(1º Período)],tblEvento[],Tabelas!$D$1,FALSE)="Sim")),
        IF(JORNADA_PERIODO_1&lt;&gt;"",
IF(VLOOKUP(tblHorasJan[Dia],tblDiaUtil[[Abreviatura]:[1º Período]],3,FALSE)&gt;0,VLOOKUP(tblHorasJan[Dia],tblDiaUtil[[Abreviatura]:[1º Período]],3,FALSE),JORNADA_PERIODO_1),
IF(VLOOKUP(tblHorasJan[Dia],tblDiaUtil[[Abreviatura]:[1º Período]],3,FALSE)&gt;0,VLOOKUP(tblHorasJan[Dia],tblDiaUtil[[Abreviatura]:[1º Período]],3,FALSE),JORNADA/2)),
        IF(AND(ISNUMBER(tblHorasJan[Saída - 1 (Almoço)]),ISNUMBER(tblHorasJan[Entrada - 1])),
              IF(OR(AND(tblHorasJan[Evento 
(1º Período)]&lt;&gt;"",IF(ISERROR(VLOOKUP(tblHorasJan[Evento 
(1º Período)],tblEvento[],Tabelas!$E$1,FALSE)),FALSE,VLOOKUP(tblHorasJan[Evento 
(1º Período)],tblEvento[],Tabelas!$E$1,FALSE)="Sim")),IF(VLOOKUP(TEXT(tblHorasJan[Data],"dddd"),tblDiaUtil[],2,FALSE)="Não",TRUE,FALSE)),
                   tblHorasJan[Saída - 1 (Almoço)]-tblHorasJan[Entrada - 1],
                   IF(OR(HOUR(tblHorasJan[Saída - 1 (Almoço)]-tblHorasJan[Entrada - 1])&gt;0,ROUND(tblHorasJan[Saída - 1 (Almoço)]-tblHorasJan[Entrada - 1],6)&gt;ROUND(CARENCIA,6)),
                          tblHorasJan[Saída - 1 (Almoço)]-tblHorasJan[Entrada - 1],
                          0)),
                    0)),0)</f>
        <v>0</v>
      </c>
      <c r="K38" s="4">
        <f>IF($B$6&lt;&gt;"",
IF(AND(tblHorasJan[Evento 
(2º Período)]&lt;&gt;"",IF(ISERROR(VLOOKUP(tblHorasJan[Evento 
(2º Período)],tblEvento[],Tabelas!$D$1,FALSE)),FALSE,VLOOKUP(tblHorasJan[Evento 
(2º Período)],tblEvento[],Tabelas!$D$1,FALSE)="Sim")),
        IF(JORNADA_PERIODO_2&lt;&gt;"",
IF(VLOOKUP(tblHorasJan[Dia],tblDiaUtil[[Abreviatura]:[2º Período]],4,FALSE)&gt;0,VLOOKUP(tblHorasJan[Dia],tblDiaUtil[[Abreviatura]:[2º Período]],4,FALSE),JORNADA_PERIODO_2),
IF(VLOOKUP(tblHorasJan[Dia],tblDiaUtil[[Abreviatura]:[2º Período]],4,FALSE)&gt;0,VLOOKUP(tblHorasJan[Dia],tblDiaUtil[[Abreviatura]:[2º Período]],4,FALSE),JORNADA/2)),
        IF(AND(ISNUMBER(tblHorasJan[Saída - 2]),ISNUMBER(tblHorasJan[Entrada - 2 (Almoço)])),
              IF(OR(AND(tblHorasJan[Evento 
(2º Período)]&lt;&gt;"",IF(ISERROR(VLOOKUP(tblHorasJan[Evento 
(2º Período)],tblEvento[],Tabelas!$E$1,FALSE)),FALSE,VLOOKUP(tblHorasJan[Evento 
(2º Período)],tblEvento[],Tabelas!$E$1,FALSE)="Sim")),IF(VLOOKUP(TEXT(tblHorasJan[Data],"dddd"),tblDiaUtil[],2,FALSE)="Não",TRUE,FALSE)),
                   tblHorasJan[Saída - 2]-tblHorasJan[Entrada - 2 (Almoço)],
                   IF(OR(HOUR(tblHorasJan[Saída - 2]-tblHorasJan[Entrada - 2 (Almoço)])&gt;0,MINUTE(tblHorasJan[Saída - 2]-tblHorasJan[Entrada - 2 (Almoço)])&gt;CARENCIA),
                         tblHorasJan[Saída - 2]-tblHorasJan[Entrada - 2 (Almoço)],
                         0)),
       0)),0)</f>
        <v>0</v>
      </c>
      <c r="L38" s="4">
        <f>tblHorasJan[Horas Trabalhadas (1º Período)]+tblHorasJan[Horas Trabalhadas (2º Período)]</f>
        <v>0</v>
      </c>
      <c r="M38" s="4" t="str">
        <f>IF(tblHorasJan[Data]&lt;&gt;"",
        IF(
AND(VLOOKUP(TEXT(tblHorasJan[Data],"dddd"),tblDiaUtil[],3,FALSE)="Sim",IF(tblHorasJan[Evento 
(1º Período)]&lt;&gt;"",IF(VLOOKUP(tblHorasJan[Evento 
(1º Período)],tblEvento[],Tabelas!$E$1,FALSE)="Sim",FALSE,TRUE),TRUE),IF(tblHorasJan[Evento 
(2º Período)]&lt;&gt;"",IF(VLOOKUP(tblHorasJan[Evento 
(2º Período)],tblEvento[],Tabelas!$E$1,FALSE)="Sim",FALSE,TRUE),TRUE)),
              IF(VLOOKUP(tblHorasJan[Dia],tblDiaUtil[[Abreviatura]:[1º Período]],3,FALSE)&gt;0,VLOOKUP(tblHorasJan[Dia],tblDiaUtil[[Abreviatura]:[1º Período]],3,FALSE),JORNADA),
              ""),
         "")</f>
        <v/>
      </c>
      <c r="N38" s="14">
        <f>IF(OR(tblHorasJan[Horas Trabalhadas (1º Período)]&lt;&gt;0,tblHorasJan[Horas Trabalhadas (2º Período)]&lt;&gt;0),
        IF(ISNUMBER(tblHorasJan[Jornada Diária]),
              IF(tblHorasJan[Jornada Diária]&gt;(tblHorasJan[Horas Trabalhadas (2º Período)]+tblHorasJan[Horas Trabalhadas (1º Período)]),
                     IF(ROUND((tblHorasJan[Jornada Diária]-(tblHorasJan[Horas Trabalhadas (2º Período)]+tblHorasJan[Horas Trabalhadas (1º Período)])),6)&gt;ROUND(CARENCIA,6),
                           -tblHorasJan[Jornada Diária]+(tblHorasJan[Horas Trabalhadas (2º Período)]+tblHorasJan[Horas Trabalhadas (1º Período)]),
                           0),
                      IF(ROUND((tblHorasJan[Jornada Diária]-(tblHorasJan[Horas Trabalhadas (2º Período)]+tblHorasJan[Horas Trabalhadas (1º Período)])),6)&lt;ROUND(-CARENCIA,6),
                           -tblHorasJan[Jornada Diária]+(tblHorasJan[Horas Trabalhadas (2º Período)]+tblHorasJan[Horas Trabalhadas (1º Período)]),
                           0)),
              tblHorasJan[Horas Trabalhadas (2º Período)]+tblHorasJan[Horas Trabalhadas (1º Período)]),
         IF(AND(IF(ISERROR(VLOOKUP(tblHorasJan[Evento 
(1º Período)],tblEvento[[Evento]:[Libera o Período]],4,FALSE)),FALSE,IF(VLOOKUP(tblHorasJan[Evento 
(1º Período)],tblEvento[[Evento]:[Libera o Período]],4,FALSE)="Não",TRUE,FALSE)),IF(ISERROR(VLOOKUP(tblHorasJan[Evento 
(2º Período)],tblEvento[[Evento]:[Libera o Período]],4,FALSE)),FALSE,IF(VLOOKUP(tblHorasJan[Evento 
(2º Período)],tblEvento[[Evento]:[Libera o Período]],4,FALSE)="Não",TRUE,FALSE))),
-IF(VLOOKUP(tblHorasJan[Dia],tblDiaUtil[[Abreviatura]:[Total Jornada]],5,FALSE)&lt;&gt;"",VLOOKUP(tblHorasJan[Dia],tblDiaUtil[[Abreviatura]:[Total Jornada]],5,FALSE),JORNADA),
IF(IF(ISERROR(VLOOKUP(tblHorasJan[Evento 
(1º Período)],tblEvento[[Evento]:[Libera o Período]],4,FALSE)),FALSE,
IF(VLOOKUP(tblHorasJan[Evento 
(1º Período)],tblEvento[[Evento]:[Libera o Período]],4,FALSE)="Não",TRUE,FALSE)
),
-IF(VLOOKUP(tblHorasJan[Dia],tblDiaUtil[[Abreviatura]:[1º Período]],3,FALSE)&lt;&gt;"",VLOOKUP(tblHorasJan[Dia],tblDiaUtil[[Abreviatura]:[1º Período]],3,FALSE),JORNADA_PERIODO_1),
IF(IF(ISERROR(VLOOKUP(tblHorasJan[Evento 
(2º Período)],tblEvento[[Evento]:[Libera o Período]],4,FALSE)),FALSE,IF(VLOOKUP(tblHorasJan[Evento 
(2º Período)],tblEvento[[Evento]:[Libera o Período]],4,FALSE)="Não",TRUE,FALSE)),
-IF(VLOOKUP(tblHorasJan[Dia],tblDiaUtil[[Abreviatura]:[2º Período]],4,FALSE)&lt;&gt;"",VLOOKUP(tblHorasJan[Dia],tblDiaUtil[[Abreviatura]:[2º Período]],4,FALSE),JORNADA_PERIODO_2),0))))</f>
        <v>0</v>
      </c>
      <c r="O38" s="14">
        <f>IF(tblHorasJan[Horas Trabalhadas Além Jornada]&gt;0,
        IF(ISNUMBER(tblHorasJan[Jornada Diária]),
              IF(HOUR(tblHorasJan[Horas Trabalhadas Além Jornada])&gt;=VLOOKUP(LIMITE,tblLimiteHora[],Tabelas!$I$1,FALSE),
                    VLOOKUP(LIMITE,tblLimiteHora[],Tabelas!$J$1,FALSE),
                    tblHorasJan[Horas Trabalhadas Além Jornada]),
              tblHorasJan[Horas Trabalhadas Além Jornada]),
        tblHorasJan[Horas Trabalhadas Além Jornada])+O37</f>
        <v>0</v>
      </c>
      <c r="P38" s="14" t="str">
        <f>IF(tblHorasJan[Horas Trabalhadas Além Jornada]&lt;0,IF(OR(tblHorasJan[Evento 
(1º Período)]="",tblHorasJan[Evento 
(2º Período)]=""),tblHorasJan[Horas Trabalhadas Além Jornada],""),"")</f>
        <v/>
      </c>
      <c r="Q38" s="14" t="str">
        <f>IF(tblHorasJan[Jornada Diária]&lt;&gt;"",IF((N(tblHorasJan[Jornada Diária])-ABS(N(tblHorasJan[Horas Trabalhadas Além Jornada])))=0,1,""),"")</f>
        <v/>
      </c>
      <c r="R38" s="14" t="str">
        <f>IF(tblHorasJan[Horas Trabalhadas Além Jornada]&gt;0,
IF(AND(VLOOKUP(TEXT(tblHorasJan[Data],"dddd"),tblDiaUtil[],3,FALSE)="Sim",IF(tblHorasJan[Evento 
(1º Período)]&lt;&gt;"",IF(VLOOKUP(tblHorasJan[Evento 
(1º Período)],tblEvento[],Tabelas!$E$1,FALSE)="Sim",FALSE,TRUE),TRUE),IF(tblHorasJan[Evento 
(2º Período)]&lt;&gt;"",IF(VLOOKUP(tblHorasJan[Evento 
(2º Período)],tblEvento[],Tabelas!$E$1,FALSE)="Sim",FALSE,TRUE),TRUE)),
tblHorasJan[Horas Trabalhadas Além Jornada],""),"")</f>
        <v/>
      </c>
      <c r="S38" s="14" t="str">
        <f>IF(tblHorasJan[Horas Trabalhadas Além Jornada]&gt;0,
IF(OR(VLOOKUP(TEXT(tblHorasJan[Data],"dddd"),tblDiaUtil[],3,FALSE)="Não",IF(tblHorasJan[Evento 
(1º Período)]&lt;&gt;"",IF(VLOOKUP(tblHorasJan[Evento 
(1º Período)],tblEvento[],Tabelas!$E$1,FALSE)="Sim",TRUE,FALSE),FALSE),IF(tblHorasJan[Evento 
(2º Período)]&lt;&gt;"",IF(VLOOKUP(tblHorasJan[Evento 
(2º Período)],tblEvento[],Tabelas!$E$1,FALSE)="Sim",TRUE,FALSE),FALSE)),
tblHorasJan[Horas Trabalhadas Além Jornada],""),"")</f>
        <v/>
      </c>
      <c r="T38" s="15" t="str">
        <f>IF(tblHorasJan[Evento 
(1º Período)]&lt;&gt;""," - " &amp;VLOOKUP(tblHorasJan[Evento 
(1º Período)],tblEvento[],Tabelas!$F$1,FALSE),"")&amp;IF(AND(tblHorasJan[Evento 
(2º Período)]&lt;&gt;"",tblHorasJan[Evento 
(2º Período)]&lt;&gt;tblHorasJan[Evento 
(1º Período)])," - " &amp; VLOOKUP(tblHorasJan[Evento 
(2º Período)],tblEvento[],Tabelas!$F$1,FALSE),"")</f>
        <v/>
      </c>
    </row>
    <row r="39" spans="2:21" x14ac:dyDescent="0.25">
      <c r="B39" s="11" t="str">
        <f t="shared" si="0"/>
        <v/>
      </c>
      <c r="C39" s="12" t="str">
        <f>TEXT(tblHorasJan[Data],"ddd")</f>
        <v/>
      </c>
      <c r="D39" s="25"/>
      <c r="E39" s="1"/>
      <c r="F39" s="1"/>
      <c r="G39" s="1"/>
      <c r="H39" s="1"/>
      <c r="I39" s="53"/>
      <c r="J39" s="4">
        <f>IF($B$6&lt;&gt;"",
IF(AND(tblHorasJan[Evento 
(1º Período)]&lt;&gt;"",IF(ISERROR(VLOOKUP(tblHorasJan[Evento 
(1º Período)],tblEvento[],Tabelas!$D$1,FALSE)),FALSE,VLOOKUP(tblHorasJan[Evento 
(1º Período)],tblEvento[],Tabelas!$D$1,FALSE)="Sim")),
        IF(JORNADA_PERIODO_1&lt;&gt;"",
IF(VLOOKUP(tblHorasJan[Dia],tblDiaUtil[[Abreviatura]:[1º Período]],3,FALSE)&gt;0,VLOOKUP(tblHorasJan[Dia],tblDiaUtil[[Abreviatura]:[1º Período]],3,FALSE),JORNADA_PERIODO_1),
IF(VLOOKUP(tblHorasJan[Dia],tblDiaUtil[[Abreviatura]:[1º Período]],3,FALSE)&gt;0,VLOOKUP(tblHorasJan[Dia],tblDiaUtil[[Abreviatura]:[1º Período]],3,FALSE),JORNADA/2)),
        IF(AND(ISNUMBER(tblHorasJan[Saída - 1 (Almoço)]),ISNUMBER(tblHorasJan[Entrada - 1])),
              IF(OR(AND(tblHorasJan[Evento 
(1º Período)]&lt;&gt;"",IF(ISERROR(VLOOKUP(tblHorasJan[Evento 
(1º Período)],tblEvento[],Tabelas!$E$1,FALSE)),FALSE,VLOOKUP(tblHorasJan[Evento 
(1º Período)],tblEvento[],Tabelas!$E$1,FALSE)="Sim")),IF(VLOOKUP(TEXT(tblHorasJan[Data],"dddd"),tblDiaUtil[],2,FALSE)="Não",TRUE,FALSE)),
                   tblHorasJan[Saída - 1 (Almoço)]-tblHorasJan[Entrada - 1],
                   IF(OR(HOUR(tblHorasJan[Saída - 1 (Almoço)]-tblHorasJan[Entrada - 1])&gt;0,ROUND(tblHorasJan[Saída - 1 (Almoço)]-tblHorasJan[Entrada - 1],6)&gt;ROUND(CARENCIA,6)),
                          tblHorasJan[Saída - 1 (Almoço)]-tblHorasJan[Entrada - 1],
                          0)),
                    0)),0)</f>
        <v>0</v>
      </c>
      <c r="K39" s="4">
        <f>IF($B$6&lt;&gt;"",
IF(AND(tblHorasJan[Evento 
(2º Período)]&lt;&gt;"",IF(ISERROR(VLOOKUP(tblHorasJan[Evento 
(2º Período)],tblEvento[],Tabelas!$D$1,FALSE)),FALSE,VLOOKUP(tblHorasJan[Evento 
(2º Período)],tblEvento[],Tabelas!$D$1,FALSE)="Sim")),
        IF(JORNADA_PERIODO_2&lt;&gt;"",
IF(VLOOKUP(tblHorasJan[Dia],tblDiaUtil[[Abreviatura]:[2º Período]],4,FALSE)&gt;0,VLOOKUP(tblHorasJan[Dia],tblDiaUtil[[Abreviatura]:[2º Período]],4,FALSE),JORNADA_PERIODO_2),
IF(VLOOKUP(tblHorasJan[Dia],tblDiaUtil[[Abreviatura]:[2º Período]],4,FALSE)&gt;0,VLOOKUP(tblHorasJan[Dia],tblDiaUtil[[Abreviatura]:[2º Período]],4,FALSE),JORNADA/2)),
        IF(AND(ISNUMBER(tblHorasJan[Saída - 2]),ISNUMBER(tblHorasJan[Entrada - 2 (Almoço)])),
              IF(OR(AND(tblHorasJan[Evento 
(2º Período)]&lt;&gt;"",IF(ISERROR(VLOOKUP(tblHorasJan[Evento 
(2º Período)],tblEvento[],Tabelas!$E$1,FALSE)),FALSE,VLOOKUP(tblHorasJan[Evento 
(2º Período)],tblEvento[],Tabelas!$E$1,FALSE)="Sim")),IF(VLOOKUP(TEXT(tblHorasJan[Data],"dddd"),tblDiaUtil[],2,FALSE)="Não",TRUE,FALSE)),
                   tblHorasJan[Saída - 2]-tblHorasJan[Entrada - 2 (Almoço)],
                   IF(OR(HOUR(tblHorasJan[Saída - 2]-tblHorasJan[Entrada - 2 (Almoço)])&gt;0,MINUTE(tblHorasJan[Saída - 2]-tblHorasJan[Entrada - 2 (Almoço)])&gt;CARENCIA),
                         tblHorasJan[Saída - 2]-tblHorasJan[Entrada - 2 (Almoço)],
                         0)),
       0)),0)</f>
        <v>0</v>
      </c>
      <c r="L39" s="4">
        <f>tblHorasJan[Horas Trabalhadas (1º Período)]+tblHorasJan[Horas Trabalhadas (2º Período)]</f>
        <v>0</v>
      </c>
      <c r="M39" s="4" t="str">
        <f>IF(tblHorasJan[Data]&lt;&gt;"",
        IF(
AND(VLOOKUP(TEXT(tblHorasJan[Data],"dddd"),tblDiaUtil[],3,FALSE)="Sim",IF(tblHorasJan[Evento 
(1º Período)]&lt;&gt;"",IF(VLOOKUP(tblHorasJan[Evento 
(1º Período)],tblEvento[],Tabelas!$E$1,FALSE)="Sim",FALSE,TRUE),TRUE),IF(tblHorasJan[Evento 
(2º Período)]&lt;&gt;"",IF(VLOOKUP(tblHorasJan[Evento 
(2º Período)],tblEvento[],Tabelas!$E$1,FALSE)="Sim",FALSE,TRUE),TRUE)),
              IF(VLOOKUP(tblHorasJan[Dia],tblDiaUtil[[Abreviatura]:[1º Período]],3,FALSE)&gt;0,VLOOKUP(tblHorasJan[Dia],tblDiaUtil[[Abreviatura]:[1º Período]],3,FALSE),JORNADA),
              ""),
         "")</f>
        <v/>
      </c>
      <c r="N39" s="14">
        <f>IF(OR(tblHorasJan[Horas Trabalhadas (1º Período)]&lt;&gt;0,tblHorasJan[Horas Trabalhadas (2º Período)]&lt;&gt;0),
        IF(ISNUMBER(tblHorasJan[Jornada Diária]),
              IF(tblHorasJan[Jornada Diária]&gt;(tblHorasJan[Horas Trabalhadas (2º Período)]+tblHorasJan[Horas Trabalhadas (1º Período)]),
                     IF(ROUND((tblHorasJan[Jornada Diária]-(tblHorasJan[Horas Trabalhadas (2º Período)]+tblHorasJan[Horas Trabalhadas (1º Período)])),6)&gt;ROUND(CARENCIA,6),
                           -tblHorasJan[Jornada Diária]+(tblHorasJan[Horas Trabalhadas (2º Período)]+tblHorasJan[Horas Trabalhadas (1º Período)]),
                           0),
                      IF(ROUND((tblHorasJan[Jornada Diária]-(tblHorasJan[Horas Trabalhadas (2º Período)]+tblHorasJan[Horas Trabalhadas (1º Período)])),6)&lt;ROUND(-CARENCIA,6),
                           -tblHorasJan[Jornada Diária]+(tblHorasJan[Horas Trabalhadas (2º Período)]+tblHorasJan[Horas Trabalhadas (1º Período)]),
                           0)),
              tblHorasJan[Horas Trabalhadas (2º Período)]+tblHorasJan[Horas Trabalhadas (1º Período)]),
         IF(AND(IF(ISERROR(VLOOKUP(tblHorasJan[Evento 
(1º Período)],tblEvento[[Evento]:[Libera o Período]],4,FALSE)),FALSE,IF(VLOOKUP(tblHorasJan[Evento 
(1º Período)],tblEvento[[Evento]:[Libera o Período]],4,FALSE)="Não",TRUE,FALSE)),IF(ISERROR(VLOOKUP(tblHorasJan[Evento 
(2º Período)],tblEvento[[Evento]:[Libera o Período]],4,FALSE)),FALSE,IF(VLOOKUP(tblHorasJan[Evento 
(2º Período)],tblEvento[[Evento]:[Libera o Período]],4,FALSE)="Não",TRUE,FALSE))),
-IF(VLOOKUP(tblHorasJan[Dia],tblDiaUtil[[Abreviatura]:[Total Jornada]],5,FALSE)&lt;&gt;"",VLOOKUP(tblHorasJan[Dia],tblDiaUtil[[Abreviatura]:[Total Jornada]],5,FALSE),JORNADA),
IF(IF(ISERROR(VLOOKUP(tblHorasJan[Evento 
(1º Período)],tblEvento[[Evento]:[Libera o Período]],4,FALSE)),FALSE,
IF(VLOOKUP(tblHorasJan[Evento 
(1º Período)],tblEvento[[Evento]:[Libera o Período]],4,FALSE)="Não",TRUE,FALSE)
),
-IF(VLOOKUP(tblHorasJan[Dia],tblDiaUtil[[Abreviatura]:[1º Período]],3,FALSE)&lt;&gt;"",VLOOKUP(tblHorasJan[Dia],tblDiaUtil[[Abreviatura]:[1º Período]],3,FALSE),JORNADA_PERIODO_1),
IF(IF(ISERROR(VLOOKUP(tblHorasJan[Evento 
(2º Período)],tblEvento[[Evento]:[Libera o Período]],4,FALSE)),FALSE,IF(VLOOKUP(tblHorasJan[Evento 
(2º Período)],tblEvento[[Evento]:[Libera o Período]],4,FALSE)="Não",TRUE,FALSE)),
-IF(VLOOKUP(tblHorasJan[Dia],tblDiaUtil[[Abreviatura]:[2º Período]],4,FALSE)&lt;&gt;"",VLOOKUP(tblHorasJan[Dia],tblDiaUtil[[Abreviatura]:[2º Período]],4,FALSE),JORNADA_PERIODO_2),0))))</f>
        <v>0</v>
      </c>
      <c r="O39" s="14">
        <f>IF(tblHorasJan[Horas Trabalhadas Além Jornada]&gt;0,
        IF(ISNUMBER(tblHorasJan[Jornada Diária]),
              IF(HOUR(tblHorasJan[Horas Trabalhadas Além Jornada])&gt;=VLOOKUP(LIMITE,tblLimiteHora[],Tabelas!$I$1,FALSE),
                    VLOOKUP(LIMITE,tblLimiteHora[],Tabelas!$J$1,FALSE),
                    tblHorasJan[Horas Trabalhadas Além Jornada]),
              tblHorasJan[Horas Trabalhadas Além Jornada]),
        tblHorasJan[Horas Trabalhadas Além Jornada])+O38</f>
        <v>0</v>
      </c>
      <c r="P39" s="14" t="str">
        <f>IF(tblHorasJan[Horas Trabalhadas Além Jornada]&lt;0,IF(OR(tblHorasJan[Evento 
(1º Período)]="",tblHorasJan[Evento 
(2º Período)]=""),tblHorasJan[Horas Trabalhadas Além Jornada],""),"")</f>
        <v/>
      </c>
      <c r="Q39" s="14" t="str">
        <f>IF(tblHorasJan[Jornada Diária]&lt;&gt;"",IF((N(tblHorasJan[Jornada Diária])-ABS(N(tblHorasJan[Horas Trabalhadas Além Jornada])))=0,1,""),"")</f>
        <v/>
      </c>
      <c r="R39" s="14" t="str">
        <f>IF(tblHorasJan[Horas Trabalhadas Além Jornada]&gt;0,
IF(AND(VLOOKUP(TEXT(tblHorasJan[Data],"dddd"),tblDiaUtil[],3,FALSE)="Sim",IF(tblHorasJan[Evento 
(1º Período)]&lt;&gt;"",IF(VLOOKUP(tblHorasJan[Evento 
(1º Período)],tblEvento[],Tabelas!$E$1,FALSE)="Sim",FALSE,TRUE),TRUE),IF(tblHorasJan[Evento 
(2º Período)]&lt;&gt;"",IF(VLOOKUP(tblHorasJan[Evento 
(2º Período)],tblEvento[],Tabelas!$E$1,FALSE)="Sim",FALSE,TRUE),TRUE)),
tblHorasJan[Horas Trabalhadas Além Jornada],""),"")</f>
        <v/>
      </c>
      <c r="S39" s="14" t="str">
        <f>IF(tblHorasJan[Horas Trabalhadas Além Jornada]&gt;0,
IF(OR(VLOOKUP(TEXT(tblHorasJan[Data],"dddd"),tblDiaUtil[],3,FALSE)="Não",IF(tblHorasJan[Evento 
(1º Período)]&lt;&gt;"",IF(VLOOKUP(tblHorasJan[Evento 
(1º Período)],tblEvento[],Tabelas!$E$1,FALSE)="Sim",TRUE,FALSE),FALSE),IF(tblHorasJan[Evento 
(2º Período)]&lt;&gt;"",IF(VLOOKUP(tblHorasJan[Evento 
(2º Período)],tblEvento[],Tabelas!$E$1,FALSE)="Sim",TRUE,FALSE),FALSE)),
tblHorasJan[Horas Trabalhadas Além Jornada],""),"")</f>
        <v/>
      </c>
      <c r="T39" s="15" t="str">
        <f>IF(tblHorasJan[Evento 
(1º Período)]&lt;&gt;""," - " &amp;VLOOKUP(tblHorasJan[Evento 
(1º Período)],tblEvento[],Tabelas!$F$1,FALSE),"")&amp;IF(AND(tblHorasJan[Evento 
(2º Período)]&lt;&gt;"",tblHorasJan[Evento 
(2º Período)]&lt;&gt;tblHorasJan[Evento 
(1º Período)])," - " &amp; VLOOKUP(tblHorasJan[Evento 
(2º Período)],tblEvento[],Tabelas!$F$1,FALSE),"")</f>
        <v/>
      </c>
    </row>
    <row r="40" spans="2:21" ht="5.0999999999999996" customHeight="1" x14ac:dyDescent="0.25">
      <c r="T40" s="24"/>
      <c r="U40" s="24"/>
    </row>
    <row r="41" spans="2:21" ht="9.9499999999999993" customHeight="1" x14ac:dyDescent="0.25">
      <c r="T41" s="35" t="s">
        <v>99</v>
      </c>
      <c r="U41" s="24"/>
    </row>
    <row r="42" spans="2:21" hidden="1" x14ac:dyDescent="0.25">
      <c r="T42" s="24"/>
      <c r="U42" s="24"/>
    </row>
    <row r="43" spans="2:21" hidden="1" x14ac:dyDescent="0.25">
      <c r="T43" s="24"/>
      <c r="U43" s="24"/>
    </row>
    <row r="44" spans="2:21" hidden="1" x14ac:dyDescent="0.25">
      <c r="T44" s="24"/>
      <c r="U44" s="24"/>
    </row>
    <row r="45" spans="2:21" hidden="1" x14ac:dyDescent="0.25"/>
    <row r="46" spans="2:21" x14ac:dyDescent="0.25"/>
    <row r="47" spans="2:21" x14ac:dyDescent="0.25"/>
  </sheetData>
  <sheetProtection algorithmName="SHA-512" hashValue="dbd62Eq9/8x1Tnla9ZX1AKN06SjUEJL23dGuRME7stPRAj9D+GW2DT2OWzRR1bimPum/izERKFYlyjF1K5zlYQ==" saltValue="Pl0FDAMB0KzWiqVTjJBOuw==" spinCount="100000" sheet="1" formatCells="0" formatColumns="0" formatRows="0" selectLockedCells="1" autoFilter="0" pivotTables="0"/>
  <dataConsolidate/>
  <mergeCells count="8">
    <mergeCell ref="P6:S6"/>
    <mergeCell ref="O1:T4"/>
    <mergeCell ref="H4:I4"/>
    <mergeCell ref="B5:C5"/>
    <mergeCell ref="B6:C6"/>
    <mergeCell ref="G2:I2"/>
    <mergeCell ref="H3:I3"/>
    <mergeCell ref="O5:O6"/>
  </mergeCells>
  <dataValidations count="5">
    <dataValidation type="time" allowBlank="1" showInputMessage="1" showErrorMessage="1" errorTitle="Aviso" error="Erro na inserção de dados:_x000a__x000a_'Hora Inválida'_x000a__x000a_Favor inserir uma hora válida no formato: hh:mm (ex. 12:00)" sqref="E9:H39">
      <formula1>0</formula1>
      <formula2>0.999305555555556</formula2>
    </dataValidation>
    <dataValidation type="whole" errorStyle="warning" allowBlank="1" showInputMessage="1" showErrorMessage="1" errorTitle="Aviso" error="Ano fora do período estipulado" promptTitle="Digite o ano com 4 dígitos" prompt="_x000a_ex. 2016_x000a__x000a_Entre: 1904 a 9999" sqref="D6">
      <formula1>999</formula1>
      <formula2>9999</formula2>
    </dataValidation>
    <dataValidation type="list" allowBlank="1" showErrorMessage="1" errorTitle="Mês Inválido" error="Selecione na lista um mês válido" sqref="B6:C6">
      <formula1>lst_Mes</formula1>
    </dataValidation>
    <dataValidation type="list" allowBlank="1" showInputMessage="1" showErrorMessage="1" errorTitle="Aviso" error="Erro na inserção de dados:_x000a__x000a_'Evento Inválido'_x000a__x000a_Selecione um Evento válido na Lista" promptTitle="Evento" prompt="_x000a_Selecione um Evento na Lista" sqref="D9:D39 I9:I39">
      <formula1>lstEvento</formula1>
    </dataValidation>
    <dataValidation type="whole" allowBlank="1" showInputMessage="1" showErrorMessage="1" errorTitle="Erro" error="Dia inexistente" promptTitle="Digite o primeiro dia do mês" prompt="Somente utilize esse campo caso o dia seja diferente de 1." sqref="E6">
      <formula1>1</formula1>
      <formula2>31</formula2>
    </dataValidation>
  </dataValidations>
  <printOptions verticalCentered="1"/>
  <pageMargins left="0.51181102362204722" right="0.51181102362204722" top="0.78740157480314965" bottom="0.78740157480314965" header="0.31496062992125984" footer="0.31496062992125984"/>
  <pageSetup paperSize="9" scale="82" orientation="landscape" r:id="rId1"/>
  <headerFooter>
    <oddHeader>&amp;R&amp;D</oddHeader>
    <oddFooter>&amp;L.e&amp;RPágina &amp;P de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5" id="{33616478-990B-44FE-BB07-40117DF3ADA1}">
            <xm:f>IF(OR(IF(ISERROR(VLOOKUP($C9,Config!$C$1:$D$18,2,FALSE)),FALSE,IF(VLOOKUP($C9,Config!$C$1:$D$18,2,FALSE)="Não",TRUE,FALSE)),IF(ISERROR(VLOOKUP($D9,Tabelas!$A$3:$B$51,2,FALSE)),FALSE,IF(VLOOKUP($D9,Tabelas!$A$3:$B$51,2,FALSE)="Sim",TRUE,FALSE)),IF(ISERROR(VLOOKUP($I9,Tabelas!$A$3:$B$51,2,FALSE)),FALSE,IF(VLOOKUP($I9,Tabelas!$A$3:$B$51,2,FALSE)="Sim",TRUE,FALSE))),TRUE,FALSE)</xm:f>
            <x14:dxf>
              <fill>
                <patternFill>
                  <bgColor rgb="FFFFFFCC"/>
                </patternFill>
              </fill>
            </x14:dxf>
          </x14:cfRule>
          <xm:sqref>B9:T9 J10:J39 N10:N39</xm:sqref>
        </x14:conditionalFormatting>
        <x14:conditionalFormatting xmlns:xm="http://schemas.microsoft.com/office/excel/2006/main">
          <x14:cfRule type="expression" priority="12" id="{D79C2469-95B2-4490-A707-5C27A171E816}">
            <xm:f>IF(IF(ISERROR(VLOOKUP($D9,Tabelas!$A$3:$C$51,3,FALSE)),FALSE,VLOOKUP($D9,Tabelas!$A$3:$C$51,3,FALSE)="Sim"),TRUE,FALSE)</xm:f>
            <x14:dxf>
              <fill>
                <patternFill>
                  <bgColor rgb="FFFFD1D2"/>
                </patternFill>
              </fill>
            </x14:dxf>
          </x14:cfRule>
          <xm:sqref>D9:F9 J9:J39</xm:sqref>
        </x14:conditionalFormatting>
        <x14:conditionalFormatting xmlns:xm="http://schemas.microsoft.com/office/excel/2006/main">
          <x14:cfRule type="expression" priority="18" id="{31CF979C-12F0-4F54-B477-D65B5CC060E6}">
            <xm:f>IF(IF(ISERROR(VLOOKUP($I9,Tabelas!$A$3:$C$51,3,FALSE)),FALSE,VLOOKUP($I9,Tabelas!$A$3:$C$51,3,FALSE)="Sim"),TRUE,FALSE)</xm:f>
            <x14:dxf>
              <fill>
                <patternFill>
                  <bgColor rgb="FFFFD5D6"/>
                </patternFill>
              </fill>
            </x14:dxf>
          </x14:cfRule>
          <xm:sqref>K9:M9 G9:I9</xm:sqref>
        </x14:conditionalFormatting>
        <x14:conditionalFormatting xmlns:xm="http://schemas.microsoft.com/office/excel/2006/main">
          <x14:cfRule type="expression" priority="8" id="{CF3EF681-ADA3-454F-BD4D-136E8407E816}">
            <xm:f>IF(OR(IF(ISERROR(VLOOKUP($C7,Config!$C$1:$D$18,2,FALSE)),FALSE,IF(VLOOKUP($C7,Config!$C$1:$D$18,2,FALSE)="Não",TRUE,FALSE)),IF(ISERROR(VLOOKUP($D7,Tabelas!$A$3:$B$51,2,FALSE)),FALSE,IF(VLOOKUP($D7,Tabelas!$A$3:$B$51,2,FALSE)="Sim",TRUE,FALSE)),IF(ISERROR(VLOOKUP($I7,Tabelas!$A$3:$B$51,2,FALSE)),FALSE,IF(VLOOKUP($I7,Tabelas!$A$3:$B$51,2,FALSE)="Sim",TRUE,FALSE))),TRUE,FALSE)</xm:f>
            <x14:dxf>
              <fill>
                <patternFill>
                  <bgColor rgb="FFFFFFCC"/>
                </patternFill>
              </fill>
            </x14:dxf>
          </x14:cfRule>
          <xm:sqref>P7:S7</xm:sqref>
        </x14:conditionalFormatting>
        <x14:conditionalFormatting xmlns:xm="http://schemas.microsoft.com/office/excel/2006/main">
          <x14:cfRule type="expression" priority="3" id="{9015B1FB-D320-45D4-903E-B40FCBE5CA69}">
            <xm:f>IF(OR(IF(ISERROR(VLOOKUP($C10,Config!$C$1:$D$18,2,FALSE)),FALSE,IF(VLOOKUP($C10,Config!$C$1:$D$18,2,FALSE)="Não",TRUE,FALSE)),IF(ISERROR(VLOOKUP($D10,Tabelas!$A$3:$B$51,2,FALSE)),FALSE,IF(VLOOKUP($D10,Tabelas!$A$3:$B$51,2,FALSE)="Sim",TRUE,FALSE)),IF(ISERROR(VLOOKUP($I10,Tabelas!$A$3:$B$51,2,FALSE)),FALSE,IF(VLOOKUP($I10,Tabelas!$A$3:$B$51,2,FALSE)="Sim",TRUE,FALSE))),TRUE,FALSE)</xm:f>
            <x14:dxf>
              <fill>
                <patternFill>
                  <bgColor rgb="FFFFFFCC"/>
                </patternFill>
              </fill>
            </x14:dxf>
          </x14:cfRule>
          <xm:sqref>B10:I39 K10:M39 O10:T39</xm:sqref>
        </x14:conditionalFormatting>
        <x14:conditionalFormatting xmlns:xm="http://schemas.microsoft.com/office/excel/2006/main">
          <x14:cfRule type="expression" priority="2" id="{956628B0-9BEE-401E-B2E2-0213C7CEE5C0}">
            <xm:f>IF(IF(ISERROR(VLOOKUP($D10,Tabelas!$A$3:$C$51,3,FALSE)),FALSE,VLOOKUP($D10,Tabelas!$A$3:$C$51,3,FALSE)="Sim"),TRUE,FALSE)</xm:f>
            <x14:dxf>
              <fill>
                <patternFill>
                  <bgColor rgb="FFFFD1D2"/>
                </patternFill>
              </fill>
            </x14:dxf>
          </x14:cfRule>
          <xm:sqref>D10:F39</xm:sqref>
        </x14:conditionalFormatting>
        <x14:conditionalFormatting xmlns:xm="http://schemas.microsoft.com/office/excel/2006/main">
          <x14:cfRule type="expression" priority="4" id="{37400795-195C-4039-B9AA-275DE3D968EE}">
            <xm:f>IF(IF(ISERROR(VLOOKUP($I10,Tabelas!$A$3:$C$51,3,FALSE)),FALSE,VLOOKUP($I10,Tabelas!$A$3:$C$51,3,FALSE)="Sim"),TRUE,FALSE)</xm:f>
            <x14:dxf>
              <fill>
                <patternFill>
                  <bgColor rgb="FFFFD5D6"/>
                </patternFill>
              </fill>
            </x14:dxf>
          </x14:cfRule>
          <xm:sqref>K10:M39 G10:I39</xm:sqref>
        </x14:conditionalFormatting>
        <x14:conditionalFormatting xmlns:xm="http://schemas.microsoft.com/office/excel/2006/main">
          <x14:cfRule type="expression" priority="1" id="{CBB16051-391C-4CE1-AC4C-93FFD8B63522}">
            <xm:f>IF(OR(IF(ISERROR(VLOOKUP($C7,Config!$C$1:$D$18,2,FALSE)),FALSE,IF(VLOOKUP($C7,Config!$C$1:$D$18,2,FALSE)="Não",TRUE,FALSE)),IF(ISERROR(VLOOKUP($D7,Tabelas!$A$3:$B$51,2,FALSE)),FALSE,IF(VLOOKUP($D7,Tabelas!$A$3:$B$51,2,FALSE)="Sim",TRUE,FALSE)),IF(ISERROR(VLOOKUP($I7,Tabelas!$A$3:$B$51,2,FALSE)),FALSE,IF(VLOOKUP($I7,Tabelas!$A$3:$B$51,2,FALSE)="Sim",TRUE,FALSE))),TRUE,FALSE)</xm:f>
            <x14:dxf>
              <fill>
                <patternFill>
                  <bgColor rgb="FFFFFFCC"/>
                </patternFill>
              </fill>
            </x14:dxf>
          </x14:cfRule>
          <xm:sqref>O7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nFevereiro">
    <tabColor theme="4" tint="0.59999389629810485"/>
    <pageSetUpPr fitToPage="1"/>
  </sheetPr>
  <dimension ref="A1:AC47"/>
  <sheetViews>
    <sheetView showGridLines="0" workbookViewId="0">
      <pane xSplit="1" ySplit="8" topLeftCell="B9" activePane="bottomRight" state="frozen"/>
      <selection activeCell="H10" sqref="H10"/>
      <selection pane="topRight" activeCell="H10" sqref="H10"/>
      <selection pane="bottomLeft" activeCell="H10" sqref="H10"/>
      <selection pane="bottomRight" activeCell="E9" sqref="E9"/>
    </sheetView>
  </sheetViews>
  <sheetFormatPr defaultColWidth="0" defaultRowHeight="15" zeroHeight="1" x14ac:dyDescent="0.25"/>
  <cols>
    <col min="1" max="1" width="6.7109375" style="5" customWidth="1"/>
    <col min="2" max="2" width="10.7109375" style="5" customWidth="1"/>
    <col min="3" max="3" width="10" style="5" customWidth="1"/>
    <col min="4" max="9" width="12.7109375" style="5" customWidth="1"/>
    <col min="10" max="14" width="12.7109375" style="5" hidden="1" customWidth="1"/>
    <col min="15" max="15" width="12.7109375" style="5" customWidth="1"/>
    <col min="16" max="19" width="12.7109375" style="5" hidden="1" customWidth="1"/>
    <col min="20" max="20" width="38.42578125" style="5" customWidth="1"/>
    <col min="21" max="21" width="2.7109375" style="5" customWidth="1"/>
    <col min="22" max="22" width="9.140625" style="5" hidden="1" customWidth="1"/>
    <col min="23" max="23" width="12.42578125" style="5" hidden="1" customWidth="1"/>
    <col min="24" max="25" width="0" style="5" hidden="1" customWidth="1"/>
    <col min="26" max="26" width="9.140625" style="5" hidden="1" customWidth="1"/>
    <col min="27" max="27" width="12.42578125" style="5" hidden="1" customWidth="1"/>
    <col min="28" max="29" width="0" style="5" hidden="1" customWidth="1"/>
    <col min="30" max="16384" width="9.140625" style="5" hidden="1"/>
  </cols>
  <sheetData>
    <row r="1" spans="2:25" ht="15" customHeight="1" x14ac:dyDescent="0.25">
      <c r="G1" s="48" t="s">
        <v>58</v>
      </c>
      <c r="O1" s="83" t="str">
        <f>"*Limite de horas: " &amp; LIMITE &amp; "; e 
*Contabiliza a partir de " &amp; TEXT(CARENCIA, "hh:mm") &amp; " hora(s) (para mais ou para menos);
*Caso tenha Atestado em um dos períodos, o que ultrapassar de 4:00 horas de trabalho contabiliza hora positiva."</f>
        <v>*Limite de horas: 2h diárias; e 
*Contabiliza a partir de 00:00 hora(s) (para mais ou para menos);
*Caso tenha Atestado em um dos períodos, o que ultrapassar de 4:00 horas de trabalho contabiliza hora positiva.</v>
      </c>
      <c r="P1" s="83"/>
      <c r="Q1" s="83"/>
      <c r="R1" s="83"/>
      <c r="S1" s="83"/>
      <c r="T1" s="83"/>
    </row>
    <row r="2" spans="2:25" ht="15" customHeight="1" thickBot="1" x14ac:dyDescent="0.3">
      <c r="B2" s="6"/>
      <c r="G2" s="90"/>
      <c r="H2" s="91"/>
      <c r="I2" s="91"/>
      <c r="N2" s="24"/>
      <c r="O2" s="83"/>
      <c r="P2" s="83"/>
      <c r="Q2" s="83"/>
      <c r="R2" s="83"/>
      <c r="S2" s="83"/>
      <c r="T2" s="83"/>
    </row>
    <row r="3" spans="2:25" ht="15" customHeight="1" x14ac:dyDescent="0.25">
      <c r="B3" s="6"/>
      <c r="G3" s="48" t="s">
        <v>96</v>
      </c>
      <c r="H3" s="92" t="s">
        <v>97</v>
      </c>
      <c r="I3" s="93"/>
      <c r="N3" s="24"/>
      <c r="O3" s="83"/>
      <c r="P3" s="83"/>
      <c r="Q3" s="83"/>
      <c r="R3" s="83"/>
      <c r="S3" s="83"/>
      <c r="T3" s="83"/>
    </row>
    <row r="4" spans="2:25" ht="15" customHeight="1" thickBot="1" x14ac:dyDescent="0.3">
      <c r="B4" s="6"/>
      <c r="G4" s="52"/>
      <c r="H4" s="84"/>
      <c r="I4" s="85"/>
      <c r="N4" s="24"/>
      <c r="O4" s="83"/>
      <c r="P4" s="83"/>
      <c r="Q4" s="83"/>
      <c r="R4" s="83"/>
      <c r="S4" s="83"/>
      <c r="T4" s="83"/>
    </row>
    <row r="5" spans="2:25" ht="15" customHeight="1" x14ac:dyDescent="0.25">
      <c r="B5" s="86" t="s">
        <v>59</v>
      </c>
      <c r="C5" s="87"/>
      <c r="D5" s="48" t="s">
        <v>62</v>
      </c>
      <c r="E5" s="48" t="s">
        <v>88</v>
      </c>
      <c r="G5" s="7"/>
      <c r="N5" s="24"/>
      <c r="O5" s="94" t="s">
        <v>100</v>
      </c>
      <c r="P5" s="34" t="s">
        <v>76</v>
      </c>
      <c r="Q5" s="34" t="s">
        <v>76</v>
      </c>
      <c r="R5" s="34" t="s">
        <v>76</v>
      </c>
      <c r="S5" s="34" t="s">
        <v>76</v>
      </c>
      <c r="T5" s="24"/>
    </row>
    <row r="6" spans="2:25" ht="16.5" customHeight="1" thickBot="1" x14ac:dyDescent="0.3">
      <c r="B6" s="88" t="s">
        <v>64</v>
      </c>
      <c r="C6" s="89"/>
      <c r="D6" s="30" t="str">
        <f>IF(Janeiro!D6&lt;&gt;"",Janeiro!D6,"")</f>
        <v/>
      </c>
      <c r="E6" s="30" t="str">
        <f>IF(Janeiro!E6&lt;&gt;"",Janeiro!E6,"")</f>
        <v/>
      </c>
      <c r="F6" s="32" t="str">
        <f>IF(ISERROR(DATEVALUE(IF(E6&lt;&gt;"",E6,1)&amp;"-"&amp;B6&amp;"-"&amp;D6)),"",DATEVALUE(IF(E6&lt;&gt;"",E6,1)&amp;"-"&amp;B6&amp;"-"&amp;D6))</f>
        <v/>
      </c>
      <c r="N6" s="24"/>
      <c r="O6" s="95"/>
      <c r="P6" s="81" t="s">
        <v>95</v>
      </c>
      <c r="Q6" s="82"/>
      <c r="R6" s="82"/>
      <c r="S6" s="82"/>
      <c r="T6" s="24"/>
    </row>
    <row r="7" spans="2:25" x14ac:dyDescent="0.25">
      <c r="E7" s="8"/>
      <c r="F7" s="8"/>
      <c r="G7" s="8"/>
      <c r="H7" s="8"/>
      <c r="I7" s="8"/>
      <c r="J7" s="34" t="s">
        <v>76</v>
      </c>
      <c r="K7" s="34" t="s">
        <v>76</v>
      </c>
      <c r="L7" s="34" t="s">
        <v>76</v>
      </c>
      <c r="M7" s="34" t="s">
        <v>76</v>
      </c>
      <c r="N7" s="34" t="s">
        <v>76</v>
      </c>
      <c r="O7" s="45">
        <f>Janeiro!O39</f>
        <v>0</v>
      </c>
      <c r="P7" s="45">
        <f>SUM(tblHorasFev[Atrasos
(horas)])</f>
        <v>0</v>
      </c>
      <c r="Q7" s="46">
        <f>SUM(tblHorasFev[Faltas
(dias)])</f>
        <v>0</v>
      </c>
      <c r="R7" s="45">
        <f>SUM(tblHorasFev[Hora Extra Normal])</f>
        <v>0</v>
      </c>
      <c r="S7" s="45">
        <f>SUM(tblHorasFev[Hora Extra 
Especial])</f>
        <v>0</v>
      </c>
      <c r="T7" s="24"/>
    </row>
    <row r="8" spans="2:25" s="9" customFormat="1" ht="45" customHeight="1" x14ac:dyDescent="0.25">
      <c r="B8" s="9" t="s">
        <v>0</v>
      </c>
      <c r="C8" s="9" t="s">
        <v>1</v>
      </c>
      <c r="D8" s="10" t="s">
        <v>51</v>
      </c>
      <c r="E8" s="9" t="s">
        <v>3</v>
      </c>
      <c r="F8" s="9" t="s">
        <v>4</v>
      </c>
      <c r="G8" s="9" t="s">
        <v>5</v>
      </c>
      <c r="H8" s="9" t="s">
        <v>6</v>
      </c>
      <c r="I8" s="10" t="s">
        <v>52</v>
      </c>
      <c r="J8" s="9" t="s">
        <v>35</v>
      </c>
      <c r="K8" s="9" t="s">
        <v>36</v>
      </c>
      <c r="L8" s="9" t="s">
        <v>55</v>
      </c>
      <c r="M8" s="9" t="s">
        <v>48</v>
      </c>
      <c r="N8" s="9" t="s">
        <v>50</v>
      </c>
      <c r="O8" s="9" t="s">
        <v>49</v>
      </c>
      <c r="P8" s="9" t="s">
        <v>91</v>
      </c>
      <c r="Q8" s="9" t="s">
        <v>92</v>
      </c>
      <c r="R8" s="9" t="s">
        <v>93</v>
      </c>
      <c r="S8" s="9" t="s">
        <v>94</v>
      </c>
      <c r="T8" s="9" t="s">
        <v>46</v>
      </c>
      <c r="W8" s="26"/>
    </row>
    <row r="9" spans="2:25" x14ac:dyDescent="0.25">
      <c r="B9" s="11" t="str">
        <f>IF(ISERROR(F6),"",F6)</f>
        <v/>
      </c>
      <c r="C9" s="12" t="str">
        <f>TEXT(tblHorasFev[Data],"ddd")</f>
        <v/>
      </c>
      <c r="D9" s="25"/>
      <c r="E9" s="1"/>
      <c r="F9" s="1"/>
      <c r="G9" s="1"/>
      <c r="H9" s="1"/>
      <c r="I9" s="53"/>
      <c r="J9" s="4">
        <f>IF($B$6&lt;&gt;"",
IF(AND(tblHorasFev[Evento 
(1º Período)]&lt;&gt;"",IF(ISERROR(VLOOKUP(tblHorasFev[Evento 
(1º Período)],tblEvento[],Tabelas!$D$1,FALSE)),FALSE,VLOOKUP(tblHorasFev[Evento 
(1º Período)],tblEvento[],Tabelas!$D$1,FALSE)="Sim")),
        IF(JORNADA_PERIODO_1&lt;&gt;"",
IF(VLOOKUP(tblHorasFev[Dia],tblDiaUtil[[Abreviatura]:[1º Período]],3,FALSE)&gt;0,VLOOKUP(tblHorasFev[Dia],tblDiaUtil[[Abreviatura]:[1º Período]],3,FALSE),JORNADA_PERIODO_1),
IF(VLOOKUP(tblHorasFev[Dia],tblDiaUtil[[Abreviatura]:[1º Período]],3,FALSE)&gt;0,VLOOKUP(tblHorasFev[Dia],tblDiaUtil[[Abreviatura]:[1º Período]],3,FALSE),JORNADA/2)),
        IF(AND(ISNUMBER(tblHorasFev[Saída - 1 (Almoço)]),ISNUMBER(tblHorasFev[Entrada - 1])),
              IF(OR(AND(tblHorasFev[Evento 
(1º Período)]&lt;&gt;"",IF(ISERROR(VLOOKUP(tblHorasFev[Evento 
(1º Período)],tblEvento[],Tabelas!$E$1,FALSE)),FALSE,VLOOKUP(tblHorasFev[Evento 
(1º Período)],tblEvento[],Tabelas!$E$1,FALSE)="Sim")),IF(VLOOKUP(TEXT(tblHorasFev[Data],"dddd"),tblDiaUtil[],2,FALSE)="Não",TRUE,FALSE)),
                   tblHorasFev[Saída - 1 (Almoço)]-tblHorasFev[Entrada - 1],
                   IF(OR(HOUR(tblHorasFev[Saída - 1 (Almoço)]-tblHorasFev[Entrada - 1])&gt;0,ROUND(tblHorasFev[Saída - 1 (Almoço)]-tblHorasFev[Entrada - 1],6)&gt;ROUND(CARENCIA,6)),
                          tblHorasFev[Saída - 1 (Almoço)]-tblHorasFev[Entrada - 1],
                          0)),
                    0)),0)</f>
        <v>0</v>
      </c>
      <c r="K9" s="4">
        <f>IF($B$6&lt;&gt;"",
IF(AND(tblHorasFev[Evento 
(2º Período)]&lt;&gt;"",IF(ISERROR(VLOOKUP(tblHorasFev[Evento 
(2º Período)],tblEvento[],Tabelas!$D$1,FALSE)),FALSE,VLOOKUP(tblHorasFev[Evento 
(2º Período)],tblEvento[],Tabelas!$D$1,FALSE)="Sim")),
        IF(JORNADA_PERIODO_2&lt;&gt;"",
IF(VLOOKUP(tblHorasFev[Dia],tblDiaUtil[[Abreviatura]:[2º Período]],4,FALSE)&gt;0,VLOOKUP(tblHorasFev[Dia],tblDiaUtil[[Abreviatura]:[2º Período]],4,FALSE),JORNADA_PERIODO_2),
IF(VLOOKUP(tblHorasFev[Dia],tblDiaUtil[[Abreviatura]:[2º Período]],4,FALSE)&gt;0,VLOOKUP(tblHorasFev[Dia],tblDiaUtil[[Abreviatura]:[2º Período]],4,FALSE),JORNADA/2)),
        IF(AND(ISNUMBER(tblHorasFev[Saída - 2]),ISNUMBER(tblHorasFev[Entrada - 2 (Almoço)])),
              IF(OR(AND(tblHorasFev[Evento 
(2º Período)]&lt;&gt;"",IF(ISERROR(VLOOKUP(tblHorasFev[Evento 
(2º Período)],tblEvento[],Tabelas!$E$1,FALSE)),FALSE,VLOOKUP(tblHorasFev[Evento 
(2º Período)],tblEvento[],Tabelas!$E$1,FALSE)="Sim")),IF(VLOOKUP(TEXT(tblHorasFev[Data],"dddd"),tblDiaUtil[],2,FALSE)="Não",TRUE,FALSE)),
                   tblHorasFev[Saída - 2]-tblHorasFev[Entrada - 2 (Almoço)],
                   IF(OR(HOUR(tblHorasFev[Saída - 2]-tblHorasFev[Entrada - 2 (Almoço)])&gt;0,MINUTE(tblHorasFev[Saída - 2]-tblHorasFev[Entrada - 2 (Almoço)])&gt;CARENCIA),
                         tblHorasFev[Saída - 2]-tblHorasFev[Entrada - 2 (Almoço)],
                         0)),
       0)),0)</f>
        <v>0</v>
      </c>
      <c r="L9" s="4">
        <f>tblHorasFev[Horas Trabalhadas (1º Período)]+tblHorasFev[Horas Trabalhadas (2º Período)]</f>
        <v>0</v>
      </c>
      <c r="M9" s="4" t="str">
        <f>IF(tblHorasFev[Data]&lt;&gt;"",
        IF(
AND(VLOOKUP(TEXT(tblHorasFev[Data],"dddd"),tblDiaUtil[],3,FALSE)="Sim",IF(tblHorasFev[Evento 
(1º Período)]&lt;&gt;"",IF(VLOOKUP(tblHorasFev[Evento 
(1º Período)],tblEvento[],Tabelas!$E$1,FALSE)="Sim",FALSE,TRUE),TRUE),IF(tblHorasFev[Evento 
(2º Período)]&lt;&gt;"",IF(VLOOKUP(tblHorasFev[Evento 
(2º Período)],tblEvento[],Tabelas!$E$1,FALSE)="Sim",FALSE,TRUE),TRUE)),
              IF(VLOOKUP(tblHorasFev[Dia],tblDiaUtil[[Abreviatura]:[1º Período]],3,FALSE)&gt;0,VLOOKUP(tblHorasFev[Dia],tblDiaUtil[[Abreviatura]:[1º Período]],3,FALSE),JORNADA),
              ""),
         "")</f>
        <v/>
      </c>
      <c r="N9" s="14">
        <f>IF(OR(tblHorasFev[Horas Trabalhadas (1º Período)]&lt;&gt;0,tblHorasFev[Horas Trabalhadas (2º Período)]&lt;&gt;0),
        IF(ISNUMBER(tblHorasFev[Jornada Diária]),
              IF(tblHorasFev[Jornada Diária]&gt;(tblHorasFev[Horas Trabalhadas (2º Período)]+tblHorasFev[Horas Trabalhadas (1º Período)]),
                     IF(ROUND((tblHorasFev[Jornada Diária]-(tblHorasFev[Horas Trabalhadas (2º Período)]+tblHorasFev[Horas Trabalhadas (1º Período)])),6)&gt;ROUND(CARENCIA,6),
                           -tblHorasFev[Jornada Diária]+(tblHorasFev[Horas Trabalhadas (2º Período)]+tblHorasFev[Horas Trabalhadas (1º Período)]),
                           0),
                      IF(ROUND((tblHorasFev[Jornada Diária]-(tblHorasFev[Horas Trabalhadas (2º Período)]+tblHorasFev[Horas Trabalhadas (1º Período)])),6)&lt;ROUND(-CARENCIA,6),
                           -tblHorasFev[Jornada Diária]+(tblHorasFev[Horas Trabalhadas (2º Período)]+tblHorasFev[Horas Trabalhadas (1º Período)]),
                           0)),
              tblHorasFev[Horas Trabalhadas (2º Período)]+tblHorasFev[Horas Trabalhadas (1º Período)]),
         IF(AND(IF(ISERROR(VLOOKUP(tblHorasFev[Evento 
(1º Período)],tblEvento[[Evento]:[Libera o Período]],4,FALSE)),FALSE,IF(VLOOKUP(tblHorasFev[Evento 
(1º Período)],tblEvento[[Evento]:[Libera o Período]],4,FALSE)="Não",TRUE,FALSE)),IF(ISERROR(VLOOKUP(tblHorasFev[Evento 
(2º Período)],tblEvento[[Evento]:[Libera o Período]],4,FALSE)),FALSE,IF(VLOOKUP(tblHorasFev[Evento 
(2º Período)],tblEvento[[Evento]:[Libera o Período]],4,FALSE)="Não",TRUE,FALSE))),
-IF(VLOOKUP(tblHorasFev[Dia],tblDiaUtil[[Abreviatura]:[Total Jornada]],5,FALSE)&lt;&gt;"",VLOOKUP(tblHorasFev[Dia],tblDiaUtil[[Abreviatura]:[Total Jornada]],5,FALSE),JORNADA),
IF(IF(ISERROR(VLOOKUP(tblHorasFev[Evento 
(1º Período)],tblEvento[[Evento]:[Libera o Período]],4,FALSE)),FALSE,
IF(VLOOKUP(tblHorasFev[Evento 
(1º Período)],tblEvento[[Evento]:[Libera o Período]],4,FALSE)="Não",TRUE,FALSE)
),
-IF(VLOOKUP(tblHorasFev[Dia],tblDiaUtil[[Abreviatura]:[1º Período]],3,FALSE)&lt;&gt;"",VLOOKUP(tblHorasFev[Dia],tblDiaUtil[[Abreviatura]:[1º Período]],3,FALSE),JORNADA_PERIODO_1),
IF(IF(ISERROR(VLOOKUP(tblHorasFev[Evento 
(2º Período)],tblEvento[[Evento]:[Libera o Período]],4,FALSE)),FALSE,IF(VLOOKUP(tblHorasFev[Evento 
(2º Período)],tblEvento[[Evento]:[Libera o Período]],4,FALSE)="Não",TRUE,FALSE)),
-IF(VLOOKUP(tblHorasFev[Dia],tblDiaUtil[[Abreviatura]:[2º Período]],4,FALSE)&lt;&gt;"",VLOOKUP(tblHorasFev[Dia],tblDiaUtil[[Abreviatura]:[2º Período]],4,FALSE),JORNADA_PERIODO_2),0))))</f>
        <v>0</v>
      </c>
      <c r="O9" s="14">
        <f>IF(tblHorasFev[Horas Trabalhadas Além Jornada]&gt;0,
        IF(ISNUMBER(tblHorasFev[Jornada Diária]),
              IF(HOUR(tblHorasFev[Horas Trabalhadas Além Jornada])&gt;=VLOOKUP(LIMITE,tblLimiteHora[],Tabelas!$I$1,FALSE),
                    VLOOKUP(LIMITE,tblLimiteHora[],Tabelas!$J$1,FALSE),
                    tblHorasFev[Horas Trabalhadas Além Jornada]),
              tblHorasFev[Horas Trabalhadas Além Jornada]),
        tblHorasFev[Horas Trabalhadas Além Jornada])+O7</f>
        <v>0</v>
      </c>
      <c r="P9" s="14" t="str">
        <f>IF(tblHorasFev[Horas Trabalhadas Além Jornada]&lt;0,IF(OR(tblHorasFev[Evento 
(1º Período)]="",tblHorasFev[Evento 
(2º Período)]=""),tblHorasFev[Horas Trabalhadas Além Jornada],""),"")</f>
        <v/>
      </c>
      <c r="Q9" s="14" t="str">
        <f>IF(tblHorasFev[Jornada Diária]&lt;&gt;"",IF((N(tblHorasFev[Jornada Diária])-ABS(N(tblHorasFev[Horas Trabalhadas Além Jornada])))=0,1,""),"")</f>
        <v/>
      </c>
      <c r="R9" s="14" t="str">
        <f>IF(tblHorasFev[Horas Trabalhadas Além Jornada]&gt;0,
IF(AND(VLOOKUP(TEXT(tblHorasFev[Data],"dddd"),tblDiaUtil[],3,FALSE)="Sim",IF(tblHorasFev[Evento 
(1º Período)]&lt;&gt;"",IF(VLOOKUP(tblHorasFev[Evento 
(1º Período)],tblEvento[],Tabelas!$E$1,FALSE)="Sim",FALSE,TRUE),TRUE),IF(tblHorasFev[Evento 
(2º Período)]&lt;&gt;"",IF(VLOOKUP(tblHorasFev[Evento 
(2º Período)],tblEvento[],Tabelas!$E$1,FALSE)="Sim",FALSE,TRUE),TRUE)),
tblHorasFev[Horas Trabalhadas Além Jornada],""),"")</f>
        <v/>
      </c>
      <c r="S9" s="14" t="str">
        <f>IF(tblHorasFev[Horas Trabalhadas Além Jornada]&gt;0,
IF(OR(VLOOKUP(TEXT(tblHorasFev[Data],"dddd"),tblDiaUtil[],3,FALSE)="Não",IF(tblHorasFev[Evento 
(1º Período)]&lt;&gt;"",IF(VLOOKUP(tblHorasFev[Evento 
(1º Período)],tblEvento[],Tabelas!$E$1,FALSE)="Sim",TRUE,FALSE),FALSE),IF(tblHorasFev[Evento 
(2º Período)]&lt;&gt;"",IF(VLOOKUP(tblHorasFev[Evento 
(2º Período)],tblEvento[],Tabelas!$E$1,FALSE)="Sim",TRUE,FALSE),FALSE)),
tblHorasFev[Horas Trabalhadas Além Jornada],""),"")</f>
        <v/>
      </c>
      <c r="T9" s="15" t="str">
        <f>IF(tblHorasFev[Evento 
(1º Período)]&lt;&gt;""," - " &amp;VLOOKUP(tblHorasFev[Evento 
(1º Período)],tblEvento[],Tabelas!$F$1,FALSE),"")&amp;IF(AND(tblHorasFev[Evento 
(2º Período)]&lt;&gt;"",tblHorasFev[Evento 
(2º Período)]&lt;&gt;tblHorasFev[Evento 
(1º Período)])," - " &amp; VLOOKUP(tblHorasFev[Evento 
(2º Período)],tblEvento[],Tabelas!$F$1,FALSE),"")</f>
        <v/>
      </c>
      <c r="V9" s="16"/>
      <c r="Y9" s="17"/>
    </row>
    <row r="10" spans="2:25" x14ac:dyDescent="0.25">
      <c r="B10" s="11" t="str">
        <f>IF(B9&lt;&gt;"",IF(DAY(B9+1)=IF($E$6&lt;&gt;"",$E$6,1),"",B9+1),"")</f>
        <v/>
      </c>
      <c r="C10" s="12" t="str">
        <f>TEXT(tblHorasFev[Data],"ddd")</f>
        <v/>
      </c>
      <c r="D10" s="25"/>
      <c r="E10" s="1"/>
      <c r="F10" s="1"/>
      <c r="G10" s="1"/>
      <c r="H10" s="1"/>
      <c r="I10" s="53"/>
      <c r="J10" s="4">
        <f>IF($B$6&lt;&gt;"",
IF(AND(tblHorasFev[Evento 
(1º Período)]&lt;&gt;"",IF(ISERROR(VLOOKUP(tblHorasFev[Evento 
(1º Período)],tblEvento[],Tabelas!$D$1,FALSE)),FALSE,VLOOKUP(tblHorasFev[Evento 
(1º Período)],tblEvento[],Tabelas!$D$1,FALSE)="Sim")),
        IF(JORNADA_PERIODO_1&lt;&gt;"",
IF(VLOOKUP(tblHorasFev[Dia],tblDiaUtil[[Abreviatura]:[1º Período]],3,FALSE)&gt;0,VLOOKUP(tblHorasFev[Dia],tblDiaUtil[[Abreviatura]:[1º Período]],3,FALSE),JORNADA_PERIODO_1),
IF(VLOOKUP(tblHorasFev[Dia],tblDiaUtil[[Abreviatura]:[1º Período]],3,FALSE)&gt;0,VLOOKUP(tblHorasFev[Dia],tblDiaUtil[[Abreviatura]:[1º Período]],3,FALSE),JORNADA/2)),
        IF(AND(ISNUMBER(tblHorasFev[Saída - 1 (Almoço)]),ISNUMBER(tblHorasFev[Entrada - 1])),
              IF(OR(AND(tblHorasFev[Evento 
(1º Período)]&lt;&gt;"",IF(ISERROR(VLOOKUP(tblHorasFev[Evento 
(1º Período)],tblEvento[],Tabelas!$E$1,FALSE)),FALSE,VLOOKUP(tblHorasFev[Evento 
(1º Período)],tblEvento[],Tabelas!$E$1,FALSE)="Sim")),IF(VLOOKUP(TEXT(tblHorasFev[Data],"dddd"),tblDiaUtil[],2,FALSE)="Não",TRUE,FALSE)),
                   tblHorasFev[Saída - 1 (Almoço)]-tblHorasFev[Entrada - 1],
                   IF(OR(HOUR(tblHorasFev[Saída - 1 (Almoço)]-tblHorasFev[Entrada - 1])&gt;0,ROUND(tblHorasFev[Saída - 1 (Almoço)]-tblHorasFev[Entrada - 1],6)&gt;ROUND(CARENCIA,6)),
                          tblHorasFev[Saída - 1 (Almoço)]-tblHorasFev[Entrada - 1],
                          0)),
                    0)),0)</f>
        <v>0</v>
      </c>
      <c r="K10" s="4">
        <f>IF($B$6&lt;&gt;"",
IF(AND(tblHorasFev[Evento 
(2º Período)]&lt;&gt;"",IF(ISERROR(VLOOKUP(tblHorasFev[Evento 
(2º Período)],tblEvento[],Tabelas!$D$1,FALSE)),FALSE,VLOOKUP(tblHorasFev[Evento 
(2º Período)],tblEvento[],Tabelas!$D$1,FALSE)="Sim")),
        IF(JORNADA_PERIODO_2&lt;&gt;"",
IF(VLOOKUP(tblHorasFev[Dia],tblDiaUtil[[Abreviatura]:[2º Período]],4,FALSE)&gt;0,VLOOKUP(tblHorasFev[Dia],tblDiaUtil[[Abreviatura]:[2º Período]],4,FALSE),JORNADA_PERIODO_2),
IF(VLOOKUP(tblHorasFev[Dia],tblDiaUtil[[Abreviatura]:[2º Período]],4,FALSE)&gt;0,VLOOKUP(tblHorasFev[Dia],tblDiaUtil[[Abreviatura]:[2º Período]],4,FALSE),JORNADA/2)),
        IF(AND(ISNUMBER(tblHorasFev[Saída - 2]),ISNUMBER(tblHorasFev[Entrada - 2 (Almoço)])),
              IF(OR(AND(tblHorasFev[Evento 
(2º Período)]&lt;&gt;"",IF(ISERROR(VLOOKUP(tblHorasFev[Evento 
(2º Período)],tblEvento[],Tabelas!$E$1,FALSE)),FALSE,VLOOKUP(tblHorasFev[Evento 
(2º Período)],tblEvento[],Tabelas!$E$1,FALSE)="Sim")),IF(VLOOKUP(TEXT(tblHorasFev[Data],"dddd"),tblDiaUtil[],2,FALSE)="Não",TRUE,FALSE)),
                   tblHorasFev[Saída - 2]-tblHorasFev[Entrada - 2 (Almoço)],
                   IF(OR(HOUR(tblHorasFev[Saída - 2]-tblHorasFev[Entrada - 2 (Almoço)])&gt;0,MINUTE(tblHorasFev[Saída - 2]-tblHorasFev[Entrada - 2 (Almoço)])&gt;CARENCIA),
                         tblHorasFev[Saída - 2]-tblHorasFev[Entrada - 2 (Almoço)],
                         0)),
       0)),0)</f>
        <v>0</v>
      </c>
      <c r="L10" s="4">
        <f>tblHorasFev[Horas Trabalhadas (1º Período)]+tblHorasFev[Horas Trabalhadas (2º Período)]</f>
        <v>0</v>
      </c>
      <c r="M10" s="4" t="str">
        <f>IF(tblHorasFev[Data]&lt;&gt;"",
        IF(
AND(VLOOKUP(TEXT(tblHorasFev[Data],"dddd"),tblDiaUtil[],3,FALSE)="Sim",IF(tblHorasFev[Evento 
(1º Período)]&lt;&gt;"",IF(VLOOKUP(tblHorasFev[Evento 
(1º Período)],tblEvento[],Tabelas!$E$1,FALSE)="Sim",FALSE,TRUE),TRUE),IF(tblHorasFev[Evento 
(2º Período)]&lt;&gt;"",IF(VLOOKUP(tblHorasFev[Evento 
(2º Período)],tblEvento[],Tabelas!$E$1,FALSE)="Sim",FALSE,TRUE),TRUE)),
              IF(VLOOKUP(tblHorasFev[Dia],tblDiaUtil[[Abreviatura]:[1º Período]],3,FALSE)&gt;0,VLOOKUP(tblHorasFev[Dia],tblDiaUtil[[Abreviatura]:[1º Período]],3,FALSE),JORNADA),
              ""),
         "")</f>
        <v/>
      </c>
      <c r="N10" s="14">
        <f>IF(OR(tblHorasFev[Horas Trabalhadas (1º Período)]&lt;&gt;0,tblHorasFev[Horas Trabalhadas (2º Período)]&lt;&gt;0),
        IF(ISNUMBER(tblHorasFev[Jornada Diária]),
              IF(tblHorasFev[Jornada Diária]&gt;(tblHorasFev[Horas Trabalhadas (2º Período)]+tblHorasFev[Horas Trabalhadas (1º Período)]),
                     IF(ROUND((tblHorasFev[Jornada Diária]-(tblHorasFev[Horas Trabalhadas (2º Período)]+tblHorasFev[Horas Trabalhadas (1º Período)])),6)&gt;ROUND(CARENCIA,6),
                           -tblHorasFev[Jornada Diária]+(tblHorasFev[Horas Trabalhadas (2º Período)]+tblHorasFev[Horas Trabalhadas (1º Período)]),
                           0),
                      IF(ROUND((tblHorasFev[Jornada Diária]-(tblHorasFev[Horas Trabalhadas (2º Período)]+tblHorasFev[Horas Trabalhadas (1º Período)])),6)&lt;ROUND(-CARENCIA,6),
                           -tblHorasFev[Jornada Diária]+(tblHorasFev[Horas Trabalhadas (2º Período)]+tblHorasFev[Horas Trabalhadas (1º Período)]),
                           0)),
              tblHorasFev[Horas Trabalhadas (2º Período)]+tblHorasFev[Horas Trabalhadas (1º Período)]),
         IF(AND(IF(ISERROR(VLOOKUP(tblHorasFev[Evento 
(1º Período)],tblEvento[[Evento]:[Libera o Período]],4,FALSE)),FALSE,IF(VLOOKUP(tblHorasFev[Evento 
(1º Período)],tblEvento[[Evento]:[Libera o Período]],4,FALSE)="Não",TRUE,FALSE)),IF(ISERROR(VLOOKUP(tblHorasFev[Evento 
(2º Período)],tblEvento[[Evento]:[Libera o Período]],4,FALSE)),FALSE,IF(VLOOKUP(tblHorasFev[Evento 
(2º Período)],tblEvento[[Evento]:[Libera o Período]],4,FALSE)="Não",TRUE,FALSE))),
-IF(VLOOKUP(tblHorasFev[Dia],tblDiaUtil[[Abreviatura]:[Total Jornada]],5,FALSE)&lt;&gt;"",VLOOKUP(tblHorasFev[Dia],tblDiaUtil[[Abreviatura]:[Total Jornada]],5,FALSE),JORNADA),
IF(IF(ISERROR(VLOOKUP(tblHorasFev[Evento 
(1º Período)],tblEvento[[Evento]:[Libera o Período]],4,FALSE)),FALSE,
IF(VLOOKUP(tblHorasFev[Evento 
(1º Período)],tblEvento[[Evento]:[Libera o Período]],4,FALSE)="Não",TRUE,FALSE)
),
-IF(VLOOKUP(tblHorasFev[Dia],tblDiaUtil[[Abreviatura]:[1º Período]],3,FALSE)&lt;&gt;"",VLOOKUP(tblHorasFev[Dia],tblDiaUtil[[Abreviatura]:[1º Período]],3,FALSE),JORNADA_PERIODO_1),
IF(IF(ISERROR(VLOOKUP(tblHorasFev[Evento 
(2º Período)],tblEvento[[Evento]:[Libera o Período]],4,FALSE)),FALSE,IF(VLOOKUP(tblHorasFev[Evento 
(2º Período)],tblEvento[[Evento]:[Libera o Período]],4,FALSE)="Não",TRUE,FALSE)),
-IF(VLOOKUP(tblHorasFev[Dia],tblDiaUtil[[Abreviatura]:[2º Período]],4,FALSE)&lt;&gt;"",VLOOKUP(tblHorasFev[Dia],tblDiaUtil[[Abreviatura]:[2º Período]],4,FALSE),JORNADA_PERIODO_2),0))))</f>
        <v>0</v>
      </c>
      <c r="O10" s="14">
        <f>IF(tblHorasFev[Horas Trabalhadas Além Jornada]&gt;0,
        IF(ISNUMBER(tblHorasFev[Jornada Diária]),
              IF(HOUR(tblHorasFev[Horas Trabalhadas Além Jornada])&gt;=VLOOKUP(LIMITE,tblLimiteHora[],Tabelas!$I$1,FALSE),
                    VLOOKUP(LIMITE,tblLimiteHora[],Tabelas!$J$1,FALSE),
                    tblHorasFev[Horas Trabalhadas Além Jornada]),
              tblHorasFev[Horas Trabalhadas Além Jornada]),
        tblHorasFev[Horas Trabalhadas Além Jornada])+O9</f>
        <v>0</v>
      </c>
      <c r="P10" s="14" t="str">
        <f>IF(tblHorasFev[Horas Trabalhadas Além Jornada]&lt;0,IF(OR(tblHorasFev[Evento 
(1º Período)]="",tblHorasFev[Evento 
(2º Período)]=""),tblHorasFev[Horas Trabalhadas Além Jornada],""),"")</f>
        <v/>
      </c>
      <c r="Q10" s="14" t="str">
        <f>IF(tblHorasFev[Jornada Diária]&lt;&gt;"",IF((N(tblHorasFev[Jornada Diária])-ABS(N(tblHorasFev[Horas Trabalhadas Além Jornada])))=0,1,""),"")</f>
        <v/>
      </c>
      <c r="R10" s="14" t="str">
        <f>IF(tblHorasFev[Horas Trabalhadas Além Jornada]&gt;0,
IF(AND(VLOOKUP(TEXT(tblHorasFev[Data],"dddd"),tblDiaUtil[],3,FALSE)="Sim",IF(tblHorasFev[Evento 
(1º Período)]&lt;&gt;"",IF(VLOOKUP(tblHorasFev[Evento 
(1º Período)],tblEvento[],Tabelas!$E$1,FALSE)="Sim",FALSE,TRUE),TRUE),IF(tblHorasFev[Evento 
(2º Período)]&lt;&gt;"",IF(VLOOKUP(tblHorasFev[Evento 
(2º Período)],tblEvento[],Tabelas!$E$1,FALSE)="Sim",FALSE,TRUE),TRUE)),
tblHorasFev[Horas Trabalhadas Além Jornada],""),"")</f>
        <v/>
      </c>
      <c r="S10" s="14" t="str">
        <f>IF(tblHorasFev[Horas Trabalhadas Além Jornada]&gt;0,
IF(OR(VLOOKUP(TEXT(tblHorasFev[Data],"dddd"),tblDiaUtil[],3,FALSE)="Não",IF(tblHorasFev[Evento 
(1º Período)]&lt;&gt;"",IF(VLOOKUP(tblHorasFev[Evento 
(1º Período)],tblEvento[],Tabelas!$E$1,FALSE)="Sim",TRUE,FALSE),FALSE),IF(tblHorasFev[Evento 
(2º Período)]&lt;&gt;"",IF(VLOOKUP(tblHorasFev[Evento 
(2º Período)],tblEvento[],Tabelas!$E$1,FALSE)="Sim",TRUE,FALSE),FALSE)),
tblHorasFev[Horas Trabalhadas Além Jornada],""),"")</f>
        <v/>
      </c>
      <c r="T10" s="15" t="str">
        <f>IF(tblHorasFev[Evento 
(1º Período)]&lt;&gt;""," - " &amp;VLOOKUP(tblHorasFev[Evento 
(1º Período)],tblEvento[],Tabelas!$F$1,FALSE),"")&amp;IF(AND(tblHorasFev[Evento 
(2º Período)]&lt;&gt;"",tblHorasFev[Evento 
(2º Período)]&lt;&gt;tblHorasFev[Evento 
(1º Período)])," - " &amp; VLOOKUP(tblHorasFev[Evento 
(2º Período)],tblEvento[],Tabelas!$F$1,FALSE),"")</f>
        <v/>
      </c>
      <c r="Y10" s="17"/>
    </row>
    <row r="11" spans="2:25" x14ac:dyDescent="0.25">
      <c r="B11" s="11" t="str">
        <f t="shared" ref="B11:B39" si="0">IF(B10&lt;&gt;"",IF(DAY(B10+1)=IF($E$6&lt;&gt;"",$E$6,1),"",B10+1),"")</f>
        <v/>
      </c>
      <c r="C11" s="12" t="str">
        <f>TEXT(tblHorasFev[Data],"ddd")</f>
        <v/>
      </c>
      <c r="D11" s="25"/>
      <c r="E11" s="1"/>
      <c r="F11" s="1"/>
      <c r="G11" s="1"/>
      <c r="H11" s="1"/>
      <c r="I11" s="53"/>
      <c r="J11" s="4">
        <f>IF($B$6&lt;&gt;"",
IF(AND(tblHorasFev[Evento 
(1º Período)]&lt;&gt;"",IF(ISERROR(VLOOKUP(tblHorasFev[Evento 
(1º Período)],tblEvento[],Tabelas!$D$1,FALSE)),FALSE,VLOOKUP(tblHorasFev[Evento 
(1º Período)],tblEvento[],Tabelas!$D$1,FALSE)="Sim")),
        IF(JORNADA_PERIODO_1&lt;&gt;"",
IF(VLOOKUP(tblHorasFev[Dia],tblDiaUtil[[Abreviatura]:[1º Período]],3,FALSE)&gt;0,VLOOKUP(tblHorasFev[Dia],tblDiaUtil[[Abreviatura]:[1º Período]],3,FALSE),JORNADA_PERIODO_1),
IF(VLOOKUP(tblHorasFev[Dia],tblDiaUtil[[Abreviatura]:[1º Período]],3,FALSE)&gt;0,VLOOKUP(tblHorasFev[Dia],tblDiaUtil[[Abreviatura]:[1º Período]],3,FALSE),JORNADA/2)),
        IF(AND(ISNUMBER(tblHorasFev[Saída - 1 (Almoço)]),ISNUMBER(tblHorasFev[Entrada - 1])),
              IF(OR(AND(tblHorasFev[Evento 
(1º Período)]&lt;&gt;"",IF(ISERROR(VLOOKUP(tblHorasFev[Evento 
(1º Período)],tblEvento[],Tabelas!$E$1,FALSE)),FALSE,VLOOKUP(tblHorasFev[Evento 
(1º Período)],tblEvento[],Tabelas!$E$1,FALSE)="Sim")),IF(VLOOKUP(TEXT(tblHorasFev[Data],"dddd"),tblDiaUtil[],2,FALSE)="Não",TRUE,FALSE)),
                   tblHorasFev[Saída - 1 (Almoço)]-tblHorasFev[Entrada - 1],
                   IF(OR(HOUR(tblHorasFev[Saída - 1 (Almoço)]-tblHorasFev[Entrada - 1])&gt;0,ROUND(tblHorasFev[Saída - 1 (Almoço)]-tblHorasFev[Entrada - 1],6)&gt;ROUND(CARENCIA,6)),
                          tblHorasFev[Saída - 1 (Almoço)]-tblHorasFev[Entrada - 1],
                          0)),
                    0)),0)</f>
        <v>0</v>
      </c>
      <c r="K11" s="4">
        <f>IF($B$6&lt;&gt;"",
IF(AND(tblHorasFev[Evento 
(2º Período)]&lt;&gt;"",IF(ISERROR(VLOOKUP(tblHorasFev[Evento 
(2º Período)],tblEvento[],Tabelas!$D$1,FALSE)),FALSE,VLOOKUP(tblHorasFev[Evento 
(2º Período)],tblEvento[],Tabelas!$D$1,FALSE)="Sim")),
        IF(JORNADA_PERIODO_2&lt;&gt;"",
IF(VLOOKUP(tblHorasFev[Dia],tblDiaUtil[[Abreviatura]:[2º Período]],4,FALSE)&gt;0,VLOOKUP(tblHorasFev[Dia],tblDiaUtil[[Abreviatura]:[2º Período]],4,FALSE),JORNADA_PERIODO_2),
IF(VLOOKUP(tblHorasFev[Dia],tblDiaUtil[[Abreviatura]:[2º Período]],4,FALSE)&gt;0,VLOOKUP(tblHorasFev[Dia],tblDiaUtil[[Abreviatura]:[2º Período]],4,FALSE),JORNADA/2)),
        IF(AND(ISNUMBER(tblHorasFev[Saída - 2]),ISNUMBER(tblHorasFev[Entrada - 2 (Almoço)])),
              IF(OR(AND(tblHorasFev[Evento 
(2º Período)]&lt;&gt;"",IF(ISERROR(VLOOKUP(tblHorasFev[Evento 
(2º Período)],tblEvento[],Tabelas!$E$1,FALSE)),FALSE,VLOOKUP(tblHorasFev[Evento 
(2º Período)],tblEvento[],Tabelas!$E$1,FALSE)="Sim")),IF(VLOOKUP(TEXT(tblHorasFev[Data],"dddd"),tblDiaUtil[],2,FALSE)="Não",TRUE,FALSE)),
                   tblHorasFev[Saída - 2]-tblHorasFev[Entrada - 2 (Almoço)],
                   IF(OR(HOUR(tblHorasFev[Saída - 2]-tblHorasFev[Entrada - 2 (Almoço)])&gt;0,MINUTE(tblHorasFev[Saída - 2]-tblHorasFev[Entrada - 2 (Almoço)])&gt;CARENCIA),
                         tblHorasFev[Saída - 2]-tblHorasFev[Entrada - 2 (Almoço)],
                         0)),
       0)),0)</f>
        <v>0</v>
      </c>
      <c r="L11" s="4">
        <f>tblHorasFev[Horas Trabalhadas (1º Período)]+tblHorasFev[Horas Trabalhadas (2º Período)]</f>
        <v>0</v>
      </c>
      <c r="M11" s="4" t="str">
        <f>IF(tblHorasFev[Data]&lt;&gt;"",
        IF(
AND(VLOOKUP(TEXT(tblHorasFev[Data],"dddd"),tblDiaUtil[],3,FALSE)="Sim",IF(tblHorasFev[Evento 
(1º Período)]&lt;&gt;"",IF(VLOOKUP(tblHorasFev[Evento 
(1º Período)],tblEvento[],Tabelas!$E$1,FALSE)="Sim",FALSE,TRUE),TRUE),IF(tblHorasFev[Evento 
(2º Período)]&lt;&gt;"",IF(VLOOKUP(tblHorasFev[Evento 
(2º Período)],tblEvento[],Tabelas!$E$1,FALSE)="Sim",FALSE,TRUE),TRUE)),
              IF(VLOOKUP(tblHorasFev[Dia],tblDiaUtil[[Abreviatura]:[1º Período]],3,FALSE)&gt;0,VLOOKUP(tblHorasFev[Dia],tblDiaUtil[[Abreviatura]:[1º Período]],3,FALSE),JORNADA),
              ""),
         "")</f>
        <v/>
      </c>
      <c r="N11" s="14">
        <f>IF(OR(tblHorasFev[Horas Trabalhadas (1º Período)]&lt;&gt;0,tblHorasFev[Horas Trabalhadas (2º Período)]&lt;&gt;0),
        IF(ISNUMBER(tblHorasFev[Jornada Diária]),
              IF(tblHorasFev[Jornada Diária]&gt;(tblHorasFev[Horas Trabalhadas (2º Período)]+tblHorasFev[Horas Trabalhadas (1º Período)]),
                     IF(ROUND((tblHorasFev[Jornada Diária]-(tblHorasFev[Horas Trabalhadas (2º Período)]+tblHorasFev[Horas Trabalhadas (1º Período)])),6)&gt;ROUND(CARENCIA,6),
                           -tblHorasFev[Jornada Diária]+(tblHorasFev[Horas Trabalhadas (2º Período)]+tblHorasFev[Horas Trabalhadas (1º Período)]),
                           0),
                      IF(ROUND((tblHorasFev[Jornada Diária]-(tblHorasFev[Horas Trabalhadas (2º Período)]+tblHorasFev[Horas Trabalhadas (1º Período)])),6)&lt;ROUND(-CARENCIA,6),
                           -tblHorasFev[Jornada Diária]+(tblHorasFev[Horas Trabalhadas (2º Período)]+tblHorasFev[Horas Trabalhadas (1º Período)]),
                           0)),
              tblHorasFev[Horas Trabalhadas (2º Período)]+tblHorasFev[Horas Trabalhadas (1º Período)]),
         IF(AND(IF(ISERROR(VLOOKUP(tblHorasFev[Evento 
(1º Período)],tblEvento[[Evento]:[Libera o Período]],4,FALSE)),FALSE,IF(VLOOKUP(tblHorasFev[Evento 
(1º Período)],tblEvento[[Evento]:[Libera o Período]],4,FALSE)="Não",TRUE,FALSE)),IF(ISERROR(VLOOKUP(tblHorasFev[Evento 
(2º Período)],tblEvento[[Evento]:[Libera o Período]],4,FALSE)),FALSE,IF(VLOOKUP(tblHorasFev[Evento 
(2º Período)],tblEvento[[Evento]:[Libera o Período]],4,FALSE)="Não",TRUE,FALSE))),
-IF(VLOOKUP(tblHorasFev[Dia],tblDiaUtil[[Abreviatura]:[Total Jornada]],5,FALSE)&lt;&gt;"",VLOOKUP(tblHorasFev[Dia],tblDiaUtil[[Abreviatura]:[Total Jornada]],5,FALSE),JORNADA),
IF(IF(ISERROR(VLOOKUP(tblHorasFev[Evento 
(1º Período)],tblEvento[[Evento]:[Libera o Período]],4,FALSE)),FALSE,
IF(VLOOKUP(tblHorasFev[Evento 
(1º Período)],tblEvento[[Evento]:[Libera o Período]],4,FALSE)="Não",TRUE,FALSE)
),
-IF(VLOOKUP(tblHorasFev[Dia],tblDiaUtil[[Abreviatura]:[1º Período]],3,FALSE)&lt;&gt;"",VLOOKUP(tblHorasFev[Dia],tblDiaUtil[[Abreviatura]:[1º Período]],3,FALSE),JORNADA_PERIODO_1),
IF(IF(ISERROR(VLOOKUP(tblHorasFev[Evento 
(2º Período)],tblEvento[[Evento]:[Libera o Período]],4,FALSE)),FALSE,IF(VLOOKUP(tblHorasFev[Evento 
(2º Período)],tblEvento[[Evento]:[Libera o Período]],4,FALSE)="Não",TRUE,FALSE)),
-IF(VLOOKUP(tblHorasFev[Dia],tblDiaUtil[[Abreviatura]:[2º Período]],4,FALSE)&lt;&gt;"",VLOOKUP(tblHorasFev[Dia],tblDiaUtil[[Abreviatura]:[2º Período]],4,FALSE),JORNADA_PERIODO_2),0))))</f>
        <v>0</v>
      </c>
      <c r="O11" s="14">
        <f>IF(tblHorasFev[Horas Trabalhadas Além Jornada]&gt;0,
        IF(ISNUMBER(tblHorasFev[Jornada Diária]),
              IF(HOUR(tblHorasFev[Horas Trabalhadas Além Jornada])&gt;=VLOOKUP(LIMITE,tblLimiteHora[],Tabelas!$I$1,FALSE),
                    VLOOKUP(LIMITE,tblLimiteHora[],Tabelas!$J$1,FALSE),
                    tblHorasFev[Horas Trabalhadas Além Jornada]),
              tblHorasFev[Horas Trabalhadas Além Jornada]),
        tblHorasFev[Horas Trabalhadas Além Jornada])+O10</f>
        <v>0</v>
      </c>
      <c r="P11" s="14" t="str">
        <f>IF(tblHorasFev[Horas Trabalhadas Além Jornada]&lt;0,IF(OR(tblHorasFev[Evento 
(1º Período)]="",tblHorasFev[Evento 
(2º Período)]=""),tblHorasFev[Horas Trabalhadas Além Jornada],""),"")</f>
        <v/>
      </c>
      <c r="Q11" s="14" t="str">
        <f>IF(tblHorasFev[Jornada Diária]&lt;&gt;"",IF((N(tblHorasFev[Jornada Diária])-ABS(N(tblHorasFev[Horas Trabalhadas Além Jornada])))=0,1,""),"")</f>
        <v/>
      </c>
      <c r="R11" s="14" t="str">
        <f>IF(tblHorasFev[Horas Trabalhadas Além Jornada]&gt;0,
IF(AND(VLOOKUP(TEXT(tblHorasFev[Data],"dddd"),tblDiaUtil[],3,FALSE)="Sim",IF(tblHorasFev[Evento 
(1º Período)]&lt;&gt;"",IF(VLOOKUP(tblHorasFev[Evento 
(1º Período)],tblEvento[],Tabelas!$E$1,FALSE)="Sim",FALSE,TRUE),TRUE),IF(tblHorasFev[Evento 
(2º Período)]&lt;&gt;"",IF(VLOOKUP(tblHorasFev[Evento 
(2º Período)],tblEvento[],Tabelas!$E$1,FALSE)="Sim",FALSE,TRUE),TRUE)),
tblHorasFev[Horas Trabalhadas Além Jornada],""),"")</f>
        <v/>
      </c>
      <c r="S11" s="14" t="str">
        <f>IF(tblHorasFev[Horas Trabalhadas Além Jornada]&gt;0,
IF(OR(VLOOKUP(TEXT(tblHorasFev[Data],"dddd"),tblDiaUtil[],3,FALSE)="Não",IF(tblHorasFev[Evento 
(1º Período)]&lt;&gt;"",IF(VLOOKUP(tblHorasFev[Evento 
(1º Período)],tblEvento[],Tabelas!$E$1,FALSE)="Sim",TRUE,FALSE),FALSE),IF(tblHorasFev[Evento 
(2º Período)]&lt;&gt;"",IF(VLOOKUP(tblHorasFev[Evento 
(2º Período)],tblEvento[],Tabelas!$E$1,FALSE)="Sim",TRUE,FALSE),FALSE)),
tblHorasFev[Horas Trabalhadas Além Jornada],""),"")</f>
        <v/>
      </c>
      <c r="T11" s="15" t="str">
        <f>IF(tblHorasFev[Evento 
(1º Período)]&lt;&gt;""," - " &amp;VLOOKUP(tblHorasFev[Evento 
(1º Período)],tblEvento[],Tabelas!$F$1,FALSE),"")&amp;IF(AND(tblHorasFev[Evento 
(2º Período)]&lt;&gt;"",tblHorasFev[Evento 
(2º Período)]&lt;&gt;tblHorasFev[Evento 
(1º Período)])," - " &amp; VLOOKUP(tblHorasFev[Evento 
(2º Período)],tblEvento[],Tabelas!$F$1,FALSE),"")</f>
        <v/>
      </c>
    </row>
    <row r="12" spans="2:25" x14ac:dyDescent="0.25">
      <c r="B12" s="11" t="str">
        <f t="shared" si="0"/>
        <v/>
      </c>
      <c r="C12" s="12" t="str">
        <f>TEXT(tblHorasFev[Data],"ddd")</f>
        <v/>
      </c>
      <c r="D12" s="25"/>
      <c r="E12" s="1"/>
      <c r="F12" s="1"/>
      <c r="G12" s="1"/>
      <c r="H12" s="1"/>
      <c r="I12" s="53"/>
      <c r="J12" s="4">
        <f>IF($B$6&lt;&gt;"",
IF(AND(tblHorasFev[Evento 
(1º Período)]&lt;&gt;"",IF(ISERROR(VLOOKUP(tblHorasFev[Evento 
(1º Período)],tblEvento[],Tabelas!$D$1,FALSE)),FALSE,VLOOKUP(tblHorasFev[Evento 
(1º Período)],tblEvento[],Tabelas!$D$1,FALSE)="Sim")),
        IF(JORNADA_PERIODO_1&lt;&gt;"",
IF(VLOOKUP(tblHorasFev[Dia],tblDiaUtil[[Abreviatura]:[1º Período]],3,FALSE)&gt;0,VLOOKUP(tblHorasFev[Dia],tblDiaUtil[[Abreviatura]:[1º Período]],3,FALSE),JORNADA_PERIODO_1),
IF(VLOOKUP(tblHorasFev[Dia],tblDiaUtil[[Abreviatura]:[1º Período]],3,FALSE)&gt;0,VLOOKUP(tblHorasFev[Dia],tblDiaUtil[[Abreviatura]:[1º Período]],3,FALSE),JORNADA/2)),
        IF(AND(ISNUMBER(tblHorasFev[Saída - 1 (Almoço)]),ISNUMBER(tblHorasFev[Entrada - 1])),
              IF(OR(AND(tblHorasFev[Evento 
(1º Período)]&lt;&gt;"",IF(ISERROR(VLOOKUP(tblHorasFev[Evento 
(1º Período)],tblEvento[],Tabelas!$E$1,FALSE)),FALSE,VLOOKUP(tblHorasFev[Evento 
(1º Período)],tblEvento[],Tabelas!$E$1,FALSE)="Sim")),IF(VLOOKUP(TEXT(tblHorasFev[Data],"dddd"),tblDiaUtil[],2,FALSE)="Não",TRUE,FALSE)),
                   tblHorasFev[Saída - 1 (Almoço)]-tblHorasFev[Entrada - 1],
                   IF(OR(HOUR(tblHorasFev[Saída - 1 (Almoço)]-tblHorasFev[Entrada - 1])&gt;0,ROUND(tblHorasFev[Saída - 1 (Almoço)]-tblHorasFev[Entrada - 1],6)&gt;ROUND(CARENCIA,6)),
                          tblHorasFev[Saída - 1 (Almoço)]-tblHorasFev[Entrada - 1],
                          0)),
                    0)),0)</f>
        <v>0</v>
      </c>
      <c r="K12" s="4">
        <f>IF($B$6&lt;&gt;"",
IF(AND(tblHorasFev[Evento 
(2º Período)]&lt;&gt;"",IF(ISERROR(VLOOKUP(tblHorasFev[Evento 
(2º Período)],tblEvento[],Tabelas!$D$1,FALSE)),FALSE,VLOOKUP(tblHorasFev[Evento 
(2º Período)],tblEvento[],Tabelas!$D$1,FALSE)="Sim")),
        IF(JORNADA_PERIODO_2&lt;&gt;"",
IF(VLOOKUP(tblHorasFev[Dia],tblDiaUtil[[Abreviatura]:[2º Período]],4,FALSE)&gt;0,VLOOKUP(tblHorasFev[Dia],tblDiaUtil[[Abreviatura]:[2º Período]],4,FALSE),JORNADA_PERIODO_2),
IF(VLOOKUP(tblHorasFev[Dia],tblDiaUtil[[Abreviatura]:[2º Período]],4,FALSE)&gt;0,VLOOKUP(tblHorasFev[Dia],tblDiaUtil[[Abreviatura]:[2º Período]],4,FALSE),JORNADA/2)),
        IF(AND(ISNUMBER(tblHorasFev[Saída - 2]),ISNUMBER(tblHorasFev[Entrada - 2 (Almoço)])),
              IF(OR(AND(tblHorasFev[Evento 
(2º Período)]&lt;&gt;"",IF(ISERROR(VLOOKUP(tblHorasFev[Evento 
(2º Período)],tblEvento[],Tabelas!$E$1,FALSE)),FALSE,VLOOKUP(tblHorasFev[Evento 
(2º Período)],tblEvento[],Tabelas!$E$1,FALSE)="Sim")),IF(VLOOKUP(TEXT(tblHorasFev[Data],"dddd"),tblDiaUtil[],2,FALSE)="Não",TRUE,FALSE)),
                   tblHorasFev[Saída - 2]-tblHorasFev[Entrada - 2 (Almoço)],
                   IF(OR(HOUR(tblHorasFev[Saída - 2]-tblHorasFev[Entrada - 2 (Almoço)])&gt;0,MINUTE(tblHorasFev[Saída - 2]-tblHorasFev[Entrada - 2 (Almoço)])&gt;CARENCIA),
                         tblHorasFev[Saída - 2]-tblHorasFev[Entrada - 2 (Almoço)],
                         0)),
       0)),0)</f>
        <v>0</v>
      </c>
      <c r="L12" s="4">
        <f>tblHorasFev[Horas Trabalhadas (1º Período)]+tblHorasFev[Horas Trabalhadas (2º Período)]</f>
        <v>0</v>
      </c>
      <c r="M12" s="4" t="str">
        <f>IF(tblHorasFev[Data]&lt;&gt;"",
        IF(
AND(VLOOKUP(TEXT(tblHorasFev[Data],"dddd"),tblDiaUtil[],3,FALSE)="Sim",IF(tblHorasFev[Evento 
(1º Período)]&lt;&gt;"",IF(VLOOKUP(tblHorasFev[Evento 
(1º Período)],tblEvento[],Tabelas!$E$1,FALSE)="Sim",FALSE,TRUE),TRUE),IF(tblHorasFev[Evento 
(2º Período)]&lt;&gt;"",IF(VLOOKUP(tblHorasFev[Evento 
(2º Período)],tblEvento[],Tabelas!$E$1,FALSE)="Sim",FALSE,TRUE),TRUE)),
              IF(VLOOKUP(tblHorasFev[Dia],tblDiaUtil[[Abreviatura]:[1º Período]],3,FALSE)&gt;0,VLOOKUP(tblHorasFev[Dia],tblDiaUtil[[Abreviatura]:[1º Período]],3,FALSE),JORNADA),
              ""),
         "")</f>
        <v/>
      </c>
      <c r="N12" s="14">
        <f>IF(OR(tblHorasFev[Horas Trabalhadas (1º Período)]&lt;&gt;0,tblHorasFev[Horas Trabalhadas (2º Período)]&lt;&gt;0),
        IF(ISNUMBER(tblHorasFev[Jornada Diária]),
              IF(tblHorasFev[Jornada Diária]&gt;(tblHorasFev[Horas Trabalhadas (2º Período)]+tblHorasFev[Horas Trabalhadas (1º Período)]),
                     IF(ROUND((tblHorasFev[Jornada Diária]-(tblHorasFev[Horas Trabalhadas (2º Período)]+tblHorasFev[Horas Trabalhadas (1º Período)])),6)&gt;ROUND(CARENCIA,6),
                           -tblHorasFev[Jornada Diária]+(tblHorasFev[Horas Trabalhadas (2º Período)]+tblHorasFev[Horas Trabalhadas (1º Período)]),
                           0),
                      IF(ROUND((tblHorasFev[Jornada Diária]-(tblHorasFev[Horas Trabalhadas (2º Período)]+tblHorasFev[Horas Trabalhadas (1º Período)])),6)&lt;ROUND(-CARENCIA,6),
                           -tblHorasFev[Jornada Diária]+(tblHorasFev[Horas Trabalhadas (2º Período)]+tblHorasFev[Horas Trabalhadas (1º Período)]),
                           0)),
              tblHorasFev[Horas Trabalhadas (2º Período)]+tblHorasFev[Horas Trabalhadas (1º Período)]),
         IF(AND(IF(ISERROR(VLOOKUP(tblHorasFev[Evento 
(1º Período)],tblEvento[[Evento]:[Libera o Período]],4,FALSE)),FALSE,IF(VLOOKUP(tblHorasFev[Evento 
(1º Período)],tblEvento[[Evento]:[Libera o Período]],4,FALSE)="Não",TRUE,FALSE)),IF(ISERROR(VLOOKUP(tblHorasFev[Evento 
(2º Período)],tblEvento[[Evento]:[Libera o Período]],4,FALSE)),FALSE,IF(VLOOKUP(tblHorasFev[Evento 
(2º Período)],tblEvento[[Evento]:[Libera o Período]],4,FALSE)="Não",TRUE,FALSE))),
-IF(VLOOKUP(tblHorasFev[Dia],tblDiaUtil[[Abreviatura]:[Total Jornada]],5,FALSE)&lt;&gt;"",VLOOKUP(tblHorasFev[Dia],tblDiaUtil[[Abreviatura]:[Total Jornada]],5,FALSE),JORNADA),
IF(IF(ISERROR(VLOOKUP(tblHorasFev[Evento 
(1º Período)],tblEvento[[Evento]:[Libera o Período]],4,FALSE)),FALSE,
IF(VLOOKUP(tblHorasFev[Evento 
(1º Período)],tblEvento[[Evento]:[Libera o Período]],4,FALSE)="Não",TRUE,FALSE)
),
-IF(VLOOKUP(tblHorasFev[Dia],tblDiaUtil[[Abreviatura]:[1º Período]],3,FALSE)&lt;&gt;"",VLOOKUP(tblHorasFev[Dia],tblDiaUtil[[Abreviatura]:[1º Período]],3,FALSE),JORNADA_PERIODO_1),
IF(IF(ISERROR(VLOOKUP(tblHorasFev[Evento 
(2º Período)],tblEvento[[Evento]:[Libera o Período]],4,FALSE)),FALSE,IF(VLOOKUP(tblHorasFev[Evento 
(2º Período)],tblEvento[[Evento]:[Libera o Período]],4,FALSE)="Não",TRUE,FALSE)),
-IF(VLOOKUP(tblHorasFev[Dia],tblDiaUtil[[Abreviatura]:[2º Período]],4,FALSE)&lt;&gt;"",VLOOKUP(tblHorasFev[Dia],tblDiaUtil[[Abreviatura]:[2º Período]],4,FALSE),JORNADA_PERIODO_2),0))))</f>
        <v>0</v>
      </c>
      <c r="O12" s="14">
        <f>IF(tblHorasFev[Horas Trabalhadas Além Jornada]&gt;0,
        IF(ISNUMBER(tblHorasFev[Jornada Diária]),
              IF(HOUR(tblHorasFev[Horas Trabalhadas Além Jornada])&gt;=VLOOKUP(LIMITE,tblLimiteHora[],Tabelas!$I$1,FALSE),
                    VLOOKUP(LIMITE,tblLimiteHora[],Tabelas!$J$1,FALSE),
                    tblHorasFev[Horas Trabalhadas Além Jornada]),
              tblHorasFev[Horas Trabalhadas Além Jornada]),
        tblHorasFev[Horas Trabalhadas Além Jornada])+O11</f>
        <v>0</v>
      </c>
      <c r="P12" s="14" t="str">
        <f>IF(tblHorasFev[Horas Trabalhadas Além Jornada]&lt;0,IF(OR(tblHorasFev[Evento 
(1º Período)]="",tblHorasFev[Evento 
(2º Período)]=""),tblHorasFev[Horas Trabalhadas Além Jornada],""),"")</f>
        <v/>
      </c>
      <c r="Q12" s="14" t="str">
        <f>IF(tblHorasFev[Jornada Diária]&lt;&gt;"",IF((N(tblHorasFev[Jornada Diária])-ABS(N(tblHorasFev[Horas Trabalhadas Além Jornada])))=0,1,""),"")</f>
        <v/>
      </c>
      <c r="R12" s="14" t="str">
        <f>IF(tblHorasFev[Horas Trabalhadas Além Jornada]&gt;0,
IF(AND(VLOOKUP(TEXT(tblHorasFev[Data],"dddd"),tblDiaUtil[],3,FALSE)="Sim",IF(tblHorasFev[Evento 
(1º Período)]&lt;&gt;"",IF(VLOOKUP(tblHorasFev[Evento 
(1º Período)],tblEvento[],Tabelas!$E$1,FALSE)="Sim",FALSE,TRUE),TRUE),IF(tblHorasFev[Evento 
(2º Período)]&lt;&gt;"",IF(VLOOKUP(tblHorasFev[Evento 
(2º Período)],tblEvento[],Tabelas!$E$1,FALSE)="Sim",FALSE,TRUE),TRUE)),
tblHorasFev[Horas Trabalhadas Além Jornada],""),"")</f>
        <v/>
      </c>
      <c r="S12" s="14" t="str">
        <f>IF(tblHorasFev[Horas Trabalhadas Além Jornada]&gt;0,
IF(OR(VLOOKUP(TEXT(tblHorasFev[Data],"dddd"),tblDiaUtil[],3,FALSE)="Não",IF(tblHorasFev[Evento 
(1º Período)]&lt;&gt;"",IF(VLOOKUP(tblHorasFev[Evento 
(1º Período)],tblEvento[],Tabelas!$E$1,FALSE)="Sim",TRUE,FALSE),FALSE),IF(tblHorasFev[Evento 
(2º Período)]&lt;&gt;"",IF(VLOOKUP(tblHorasFev[Evento 
(2º Período)],tblEvento[],Tabelas!$E$1,FALSE)="Sim",TRUE,FALSE),FALSE)),
tblHorasFev[Horas Trabalhadas Além Jornada],""),"")</f>
        <v/>
      </c>
      <c r="T12" s="15" t="str">
        <f>IF(tblHorasFev[Evento 
(1º Período)]&lt;&gt;""," - " &amp;VLOOKUP(tblHorasFev[Evento 
(1º Período)],tblEvento[],Tabelas!$F$1,FALSE),"")&amp;IF(AND(tblHorasFev[Evento 
(2º Período)]&lt;&gt;"",tblHorasFev[Evento 
(2º Período)]&lt;&gt;tblHorasFev[Evento 
(1º Período)])," - " &amp; VLOOKUP(tblHorasFev[Evento 
(2º Período)],tblEvento[],Tabelas!$F$1,FALSE),"")</f>
        <v/>
      </c>
    </row>
    <row r="13" spans="2:25" x14ac:dyDescent="0.25">
      <c r="B13" s="11" t="str">
        <f t="shared" si="0"/>
        <v/>
      </c>
      <c r="C13" s="12" t="str">
        <f>TEXT(tblHorasFev[Data],"ddd")</f>
        <v/>
      </c>
      <c r="D13" s="25"/>
      <c r="E13" s="1"/>
      <c r="F13" s="1"/>
      <c r="G13" s="1"/>
      <c r="H13" s="1"/>
      <c r="I13" s="53"/>
      <c r="J13" s="4">
        <f>IF($B$6&lt;&gt;"",
IF(AND(tblHorasFev[Evento 
(1º Período)]&lt;&gt;"",IF(ISERROR(VLOOKUP(tblHorasFev[Evento 
(1º Período)],tblEvento[],Tabelas!$D$1,FALSE)),FALSE,VLOOKUP(tblHorasFev[Evento 
(1º Período)],tblEvento[],Tabelas!$D$1,FALSE)="Sim")),
        IF(JORNADA_PERIODO_1&lt;&gt;"",
IF(VLOOKUP(tblHorasFev[Dia],tblDiaUtil[[Abreviatura]:[1º Período]],3,FALSE)&gt;0,VLOOKUP(tblHorasFev[Dia],tblDiaUtil[[Abreviatura]:[1º Período]],3,FALSE),JORNADA_PERIODO_1),
IF(VLOOKUP(tblHorasFev[Dia],tblDiaUtil[[Abreviatura]:[1º Período]],3,FALSE)&gt;0,VLOOKUP(tblHorasFev[Dia],tblDiaUtil[[Abreviatura]:[1º Período]],3,FALSE),JORNADA/2)),
        IF(AND(ISNUMBER(tblHorasFev[Saída - 1 (Almoço)]),ISNUMBER(tblHorasFev[Entrada - 1])),
              IF(OR(AND(tblHorasFev[Evento 
(1º Período)]&lt;&gt;"",IF(ISERROR(VLOOKUP(tblHorasFev[Evento 
(1º Período)],tblEvento[],Tabelas!$E$1,FALSE)),FALSE,VLOOKUP(tblHorasFev[Evento 
(1º Período)],tblEvento[],Tabelas!$E$1,FALSE)="Sim")),IF(VLOOKUP(TEXT(tblHorasFev[Data],"dddd"),tblDiaUtil[],2,FALSE)="Não",TRUE,FALSE)),
                   tblHorasFev[Saída - 1 (Almoço)]-tblHorasFev[Entrada - 1],
                   IF(OR(HOUR(tblHorasFev[Saída - 1 (Almoço)]-tblHorasFev[Entrada - 1])&gt;0,ROUND(tblHorasFev[Saída - 1 (Almoço)]-tblHorasFev[Entrada - 1],6)&gt;ROUND(CARENCIA,6)),
                          tblHorasFev[Saída - 1 (Almoço)]-tblHorasFev[Entrada - 1],
                          0)),
                    0)),0)</f>
        <v>0</v>
      </c>
      <c r="K13" s="4">
        <f>IF($B$6&lt;&gt;"",
IF(AND(tblHorasFev[Evento 
(2º Período)]&lt;&gt;"",IF(ISERROR(VLOOKUP(tblHorasFev[Evento 
(2º Período)],tblEvento[],Tabelas!$D$1,FALSE)),FALSE,VLOOKUP(tblHorasFev[Evento 
(2º Período)],tblEvento[],Tabelas!$D$1,FALSE)="Sim")),
        IF(JORNADA_PERIODO_2&lt;&gt;"",
IF(VLOOKUP(tblHorasFev[Dia],tblDiaUtil[[Abreviatura]:[2º Período]],4,FALSE)&gt;0,VLOOKUP(tblHorasFev[Dia],tblDiaUtil[[Abreviatura]:[2º Período]],4,FALSE),JORNADA_PERIODO_2),
IF(VLOOKUP(tblHorasFev[Dia],tblDiaUtil[[Abreviatura]:[2º Período]],4,FALSE)&gt;0,VLOOKUP(tblHorasFev[Dia],tblDiaUtil[[Abreviatura]:[2º Período]],4,FALSE),JORNADA/2)),
        IF(AND(ISNUMBER(tblHorasFev[Saída - 2]),ISNUMBER(tblHorasFev[Entrada - 2 (Almoço)])),
              IF(OR(AND(tblHorasFev[Evento 
(2º Período)]&lt;&gt;"",IF(ISERROR(VLOOKUP(tblHorasFev[Evento 
(2º Período)],tblEvento[],Tabelas!$E$1,FALSE)),FALSE,VLOOKUP(tblHorasFev[Evento 
(2º Período)],tblEvento[],Tabelas!$E$1,FALSE)="Sim")),IF(VLOOKUP(TEXT(tblHorasFev[Data],"dddd"),tblDiaUtil[],2,FALSE)="Não",TRUE,FALSE)),
                   tblHorasFev[Saída - 2]-tblHorasFev[Entrada - 2 (Almoço)],
                   IF(OR(HOUR(tblHorasFev[Saída - 2]-tblHorasFev[Entrada - 2 (Almoço)])&gt;0,MINUTE(tblHorasFev[Saída - 2]-tblHorasFev[Entrada - 2 (Almoço)])&gt;CARENCIA),
                         tblHorasFev[Saída - 2]-tblHorasFev[Entrada - 2 (Almoço)],
                         0)),
       0)),0)</f>
        <v>0</v>
      </c>
      <c r="L13" s="4">
        <f>tblHorasFev[Horas Trabalhadas (1º Período)]+tblHorasFev[Horas Trabalhadas (2º Período)]</f>
        <v>0</v>
      </c>
      <c r="M13" s="4" t="str">
        <f>IF(tblHorasFev[Data]&lt;&gt;"",
        IF(
AND(VLOOKUP(TEXT(tblHorasFev[Data],"dddd"),tblDiaUtil[],3,FALSE)="Sim",IF(tblHorasFev[Evento 
(1º Período)]&lt;&gt;"",IF(VLOOKUP(tblHorasFev[Evento 
(1º Período)],tblEvento[],Tabelas!$E$1,FALSE)="Sim",FALSE,TRUE),TRUE),IF(tblHorasFev[Evento 
(2º Período)]&lt;&gt;"",IF(VLOOKUP(tblHorasFev[Evento 
(2º Período)],tblEvento[],Tabelas!$E$1,FALSE)="Sim",FALSE,TRUE),TRUE)),
              IF(VLOOKUP(tblHorasFev[Dia],tblDiaUtil[[Abreviatura]:[1º Período]],3,FALSE)&gt;0,VLOOKUP(tblHorasFev[Dia],tblDiaUtil[[Abreviatura]:[1º Período]],3,FALSE),JORNADA),
              ""),
         "")</f>
        <v/>
      </c>
      <c r="N13" s="14">
        <f>IF(OR(tblHorasFev[Horas Trabalhadas (1º Período)]&lt;&gt;0,tblHorasFev[Horas Trabalhadas (2º Período)]&lt;&gt;0),
        IF(ISNUMBER(tblHorasFev[Jornada Diária]),
              IF(tblHorasFev[Jornada Diária]&gt;(tblHorasFev[Horas Trabalhadas (2º Período)]+tblHorasFev[Horas Trabalhadas (1º Período)]),
                     IF(ROUND((tblHorasFev[Jornada Diária]-(tblHorasFev[Horas Trabalhadas (2º Período)]+tblHorasFev[Horas Trabalhadas (1º Período)])),6)&gt;ROUND(CARENCIA,6),
                           -tblHorasFev[Jornada Diária]+(tblHorasFev[Horas Trabalhadas (2º Período)]+tblHorasFev[Horas Trabalhadas (1º Período)]),
                           0),
                      IF(ROUND((tblHorasFev[Jornada Diária]-(tblHorasFev[Horas Trabalhadas (2º Período)]+tblHorasFev[Horas Trabalhadas (1º Período)])),6)&lt;ROUND(-CARENCIA,6),
                           -tblHorasFev[Jornada Diária]+(tblHorasFev[Horas Trabalhadas (2º Período)]+tblHorasFev[Horas Trabalhadas (1º Período)]),
                           0)),
              tblHorasFev[Horas Trabalhadas (2º Período)]+tblHorasFev[Horas Trabalhadas (1º Período)]),
         IF(AND(IF(ISERROR(VLOOKUP(tblHorasFev[Evento 
(1º Período)],tblEvento[[Evento]:[Libera o Período]],4,FALSE)),FALSE,IF(VLOOKUP(tblHorasFev[Evento 
(1º Período)],tblEvento[[Evento]:[Libera o Período]],4,FALSE)="Não",TRUE,FALSE)),IF(ISERROR(VLOOKUP(tblHorasFev[Evento 
(2º Período)],tblEvento[[Evento]:[Libera o Período]],4,FALSE)),FALSE,IF(VLOOKUP(tblHorasFev[Evento 
(2º Período)],tblEvento[[Evento]:[Libera o Período]],4,FALSE)="Não",TRUE,FALSE))),
-IF(VLOOKUP(tblHorasFev[Dia],tblDiaUtil[[Abreviatura]:[Total Jornada]],5,FALSE)&lt;&gt;"",VLOOKUP(tblHorasFev[Dia],tblDiaUtil[[Abreviatura]:[Total Jornada]],5,FALSE),JORNADA),
IF(IF(ISERROR(VLOOKUP(tblHorasFev[Evento 
(1º Período)],tblEvento[[Evento]:[Libera o Período]],4,FALSE)),FALSE,
IF(VLOOKUP(tblHorasFev[Evento 
(1º Período)],tblEvento[[Evento]:[Libera o Período]],4,FALSE)="Não",TRUE,FALSE)
),
-IF(VLOOKUP(tblHorasFev[Dia],tblDiaUtil[[Abreviatura]:[1º Período]],3,FALSE)&lt;&gt;"",VLOOKUP(tblHorasFev[Dia],tblDiaUtil[[Abreviatura]:[1º Período]],3,FALSE),JORNADA_PERIODO_1),
IF(IF(ISERROR(VLOOKUP(tblHorasFev[Evento 
(2º Período)],tblEvento[[Evento]:[Libera o Período]],4,FALSE)),FALSE,IF(VLOOKUP(tblHorasFev[Evento 
(2º Período)],tblEvento[[Evento]:[Libera o Período]],4,FALSE)="Não",TRUE,FALSE)),
-IF(VLOOKUP(tblHorasFev[Dia],tblDiaUtil[[Abreviatura]:[2º Período]],4,FALSE)&lt;&gt;"",VLOOKUP(tblHorasFev[Dia],tblDiaUtil[[Abreviatura]:[2º Período]],4,FALSE),JORNADA_PERIODO_2),0))))</f>
        <v>0</v>
      </c>
      <c r="O13" s="14">
        <f>IF(tblHorasFev[Horas Trabalhadas Além Jornada]&gt;0,
        IF(ISNUMBER(tblHorasFev[Jornada Diária]),
              IF(HOUR(tblHorasFev[Horas Trabalhadas Além Jornada])&gt;=VLOOKUP(LIMITE,tblLimiteHora[],Tabelas!$I$1,FALSE),
                    VLOOKUP(LIMITE,tblLimiteHora[],Tabelas!$J$1,FALSE),
                    tblHorasFev[Horas Trabalhadas Além Jornada]),
              tblHorasFev[Horas Trabalhadas Além Jornada]),
        tblHorasFev[Horas Trabalhadas Além Jornada])+O12</f>
        <v>0</v>
      </c>
      <c r="P13" s="14" t="str">
        <f>IF(tblHorasFev[Horas Trabalhadas Além Jornada]&lt;0,IF(OR(tblHorasFev[Evento 
(1º Período)]="",tblHorasFev[Evento 
(2º Período)]=""),tblHorasFev[Horas Trabalhadas Além Jornada],""),"")</f>
        <v/>
      </c>
      <c r="Q13" s="14" t="str">
        <f>IF(tblHorasFev[Jornada Diária]&lt;&gt;"",IF((N(tblHorasFev[Jornada Diária])-ABS(N(tblHorasFev[Horas Trabalhadas Além Jornada])))=0,1,""),"")</f>
        <v/>
      </c>
      <c r="R13" s="14" t="str">
        <f>IF(tblHorasFev[Horas Trabalhadas Além Jornada]&gt;0,
IF(AND(VLOOKUP(TEXT(tblHorasFev[Data],"dddd"),tblDiaUtil[],3,FALSE)="Sim",IF(tblHorasFev[Evento 
(1º Período)]&lt;&gt;"",IF(VLOOKUP(tblHorasFev[Evento 
(1º Período)],tblEvento[],Tabelas!$E$1,FALSE)="Sim",FALSE,TRUE),TRUE),IF(tblHorasFev[Evento 
(2º Período)]&lt;&gt;"",IF(VLOOKUP(tblHorasFev[Evento 
(2º Período)],tblEvento[],Tabelas!$E$1,FALSE)="Sim",FALSE,TRUE),TRUE)),
tblHorasFev[Horas Trabalhadas Além Jornada],""),"")</f>
        <v/>
      </c>
      <c r="S13" s="14" t="str">
        <f>IF(tblHorasFev[Horas Trabalhadas Além Jornada]&gt;0,
IF(OR(VLOOKUP(TEXT(tblHorasFev[Data],"dddd"),tblDiaUtil[],3,FALSE)="Não",IF(tblHorasFev[Evento 
(1º Período)]&lt;&gt;"",IF(VLOOKUP(tblHorasFev[Evento 
(1º Período)],tblEvento[],Tabelas!$E$1,FALSE)="Sim",TRUE,FALSE),FALSE),IF(tblHorasFev[Evento 
(2º Período)]&lt;&gt;"",IF(VLOOKUP(tblHorasFev[Evento 
(2º Período)],tblEvento[],Tabelas!$E$1,FALSE)="Sim",TRUE,FALSE),FALSE)),
tblHorasFev[Horas Trabalhadas Além Jornada],""),"")</f>
        <v/>
      </c>
      <c r="T13" s="15" t="str">
        <f>IF(tblHorasFev[Evento 
(1º Período)]&lt;&gt;""," - " &amp;VLOOKUP(tblHorasFev[Evento 
(1º Período)],tblEvento[],Tabelas!$F$1,FALSE),"")&amp;IF(AND(tblHorasFev[Evento 
(2º Período)]&lt;&gt;"",tblHorasFev[Evento 
(2º Período)]&lt;&gt;tblHorasFev[Evento 
(1º Período)])," - " &amp; VLOOKUP(tblHorasFev[Evento 
(2º Período)],tblEvento[],Tabelas!$F$1,FALSE),"")</f>
        <v/>
      </c>
    </row>
    <row r="14" spans="2:25" x14ac:dyDescent="0.25">
      <c r="B14" s="11" t="str">
        <f t="shared" si="0"/>
        <v/>
      </c>
      <c r="C14" s="12" t="str">
        <f>TEXT(tblHorasFev[Data],"ddd")</f>
        <v/>
      </c>
      <c r="D14" s="25"/>
      <c r="E14" s="1"/>
      <c r="F14" s="1"/>
      <c r="G14" s="1"/>
      <c r="H14" s="1"/>
      <c r="I14" s="53"/>
      <c r="J14" s="4">
        <f>IF($B$6&lt;&gt;"",
IF(AND(tblHorasFev[Evento 
(1º Período)]&lt;&gt;"",IF(ISERROR(VLOOKUP(tblHorasFev[Evento 
(1º Período)],tblEvento[],Tabelas!$D$1,FALSE)),FALSE,VLOOKUP(tblHorasFev[Evento 
(1º Período)],tblEvento[],Tabelas!$D$1,FALSE)="Sim")),
        IF(JORNADA_PERIODO_1&lt;&gt;"",
IF(VLOOKUP(tblHorasFev[Dia],tblDiaUtil[[Abreviatura]:[1º Período]],3,FALSE)&gt;0,VLOOKUP(tblHorasFev[Dia],tblDiaUtil[[Abreviatura]:[1º Período]],3,FALSE),JORNADA_PERIODO_1),
IF(VLOOKUP(tblHorasFev[Dia],tblDiaUtil[[Abreviatura]:[1º Período]],3,FALSE)&gt;0,VLOOKUP(tblHorasFev[Dia],tblDiaUtil[[Abreviatura]:[1º Período]],3,FALSE),JORNADA/2)),
        IF(AND(ISNUMBER(tblHorasFev[Saída - 1 (Almoço)]),ISNUMBER(tblHorasFev[Entrada - 1])),
              IF(OR(AND(tblHorasFev[Evento 
(1º Período)]&lt;&gt;"",IF(ISERROR(VLOOKUP(tblHorasFev[Evento 
(1º Período)],tblEvento[],Tabelas!$E$1,FALSE)),FALSE,VLOOKUP(tblHorasFev[Evento 
(1º Período)],tblEvento[],Tabelas!$E$1,FALSE)="Sim")),IF(VLOOKUP(TEXT(tblHorasFev[Data],"dddd"),tblDiaUtil[],2,FALSE)="Não",TRUE,FALSE)),
                   tblHorasFev[Saída - 1 (Almoço)]-tblHorasFev[Entrada - 1],
                   IF(OR(HOUR(tblHorasFev[Saída - 1 (Almoço)]-tblHorasFev[Entrada - 1])&gt;0,ROUND(tblHorasFev[Saída - 1 (Almoço)]-tblHorasFev[Entrada - 1],6)&gt;ROUND(CARENCIA,6)),
                          tblHorasFev[Saída - 1 (Almoço)]-tblHorasFev[Entrada - 1],
                          0)),
                    0)),0)</f>
        <v>0</v>
      </c>
      <c r="K14" s="4">
        <f>IF($B$6&lt;&gt;"",
IF(AND(tblHorasFev[Evento 
(2º Período)]&lt;&gt;"",IF(ISERROR(VLOOKUP(tblHorasFev[Evento 
(2º Período)],tblEvento[],Tabelas!$D$1,FALSE)),FALSE,VLOOKUP(tblHorasFev[Evento 
(2º Período)],tblEvento[],Tabelas!$D$1,FALSE)="Sim")),
        IF(JORNADA_PERIODO_2&lt;&gt;"",
IF(VLOOKUP(tblHorasFev[Dia],tblDiaUtil[[Abreviatura]:[2º Período]],4,FALSE)&gt;0,VLOOKUP(tblHorasFev[Dia],tblDiaUtil[[Abreviatura]:[2º Período]],4,FALSE),JORNADA_PERIODO_2),
IF(VLOOKUP(tblHorasFev[Dia],tblDiaUtil[[Abreviatura]:[2º Período]],4,FALSE)&gt;0,VLOOKUP(tblHorasFev[Dia],tblDiaUtil[[Abreviatura]:[2º Período]],4,FALSE),JORNADA/2)),
        IF(AND(ISNUMBER(tblHorasFev[Saída - 2]),ISNUMBER(tblHorasFev[Entrada - 2 (Almoço)])),
              IF(OR(AND(tblHorasFev[Evento 
(2º Período)]&lt;&gt;"",IF(ISERROR(VLOOKUP(tblHorasFev[Evento 
(2º Período)],tblEvento[],Tabelas!$E$1,FALSE)),FALSE,VLOOKUP(tblHorasFev[Evento 
(2º Período)],tblEvento[],Tabelas!$E$1,FALSE)="Sim")),IF(VLOOKUP(TEXT(tblHorasFev[Data],"dddd"),tblDiaUtil[],2,FALSE)="Não",TRUE,FALSE)),
                   tblHorasFev[Saída - 2]-tblHorasFev[Entrada - 2 (Almoço)],
                   IF(OR(HOUR(tblHorasFev[Saída - 2]-tblHorasFev[Entrada - 2 (Almoço)])&gt;0,MINUTE(tblHorasFev[Saída - 2]-tblHorasFev[Entrada - 2 (Almoço)])&gt;CARENCIA),
                         tblHorasFev[Saída - 2]-tblHorasFev[Entrada - 2 (Almoço)],
                         0)),
       0)),0)</f>
        <v>0</v>
      </c>
      <c r="L14" s="4">
        <f>tblHorasFev[Horas Trabalhadas (1º Período)]+tblHorasFev[Horas Trabalhadas (2º Período)]</f>
        <v>0</v>
      </c>
      <c r="M14" s="4" t="str">
        <f>IF(tblHorasFev[Data]&lt;&gt;"",
        IF(
AND(VLOOKUP(TEXT(tblHorasFev[Data],"dddd"),tblDiaUtil[],3,FALSE)="Sim",IF(tblHorasFev[Evento 
(1º Período)]&lt;&gt;"",IF(VLOOKUP(tblHorasFev[Evento 
(1º Período)],tblEvento[],Tabelas!$E$1,FALSE)="Sim",FALSE,TRUE),TRUE),IF(tblHorasFev[Evento 
(2º Período)]&lt;&gt;"",IF(VLOOKUP(tblHorasFev[Evento 
(2º Período)],tblEvento[],Tabelas!$E$1,FALSE)="Sim",FALSE,TRUE),TRUE)),
              IF(VLOOKUP(tblHorasFev[Dia],tblDiaUtil[[Abreviatura]:[1º Período]],3,FALSE)&gt;0,VLOOKUP(tblHorasFev[Dia],tblDiaUtil[[Abreviatura]:[1º Período]],3,FALSE),JORNADA),
              ""),
         "")</f>
        <v/>
      </c>
      <c r="N14" s="14">
        <f>IF(OR(tblHorasFev[Horas Trabalhadas (1º Período)]&lt;&gt;0,tblHorasFev[Horas Trabalhadas (2º Período)]&lt;&gt;0),
        IF(ISNUMBER(tblHorasFev[Jornada Diária]),
              IF(tblHorasFev[Jornada Diária]&gt;(tblHorasFev[Horas Trabalhadas (2º Período)]+tblHorasFev[Horas Trabalhadas (1º Período)]),
                     IF(ROUND((tblHorasFev[Jornada Diária]-(tblHorasFev[Horas Trabalhadas (2º Período)]+tblHorasFev[Horas Trabalhadas (1º Período)])),6)&gt;ROUND(CARENCIA,6),
                           -tblHorasFev[Jornada Diária]+(tblHorasFev[Horas Trabalhadas (2º Período)]+tblHorasFev[Horas Trabalhadas (1º Período)]),
                           0),
                      IF(ROUND((tblHorasFev[Jornada Diária]-(tblHorasFev[Horas Trabalhadas (2º Período)]+tblHorasFev[Horas Trabalhadas (1º Período)])),6)&lt;ROUND(-CARENCIA,6),
                           -tblHorasFev[Jornada Diária]+(tblHorasFev[Horas Trabalhadas (2º Período)]+tblHorasFev[Horas Trabalhadas (1º Período)]),
                           0)),
              tblHorasFev[Horas Trabalhadas (2º Período)]+tblHorasFev[Horas Trabalhadas (1º Período)]),
         IF(AND(IF(ISERROR(VLOOKUP(tblHorasFev[Evento 
(1º Período)],tblEvento[[Evento]:[Libera o Período]],4,FALSE)),FALSE,IF(VLOOKUP(tblHorasFev[Evento 
(1º Período)],tblEvento[[Evento]:[Libera o Período]],4,FALSE)="Não",TRUE,FALSE)),IF(ISERROR(VLOOKUP(tblHorasFev[Evento 
(2º Período)],tblEvento[[Evento]:[Libera o Período]],4,FALSE)),FALSE,IF(VLOOKUP(tblHorasFev[Evento 
(2º Período)],tblEvento[[Evento]:[Libera o Período]],4,FALSE)="Não",TRUE,FALSE))),
-IF(VLOOKUP(tblHorasFev[Dia],tblDiaUtil[[Abreviatura]:[Total Jornada]],5,FALSE)&lt;&gt;"",VLOOKUP(tblHorasFev[Dia],tblDiaUtil[[Abreviatura]:[Total Jornada]],5,FALSE),JORNADA),
IF(IF(ISERROR(VLOOKUP(tblHorasFev[Evento 
(1º Período)],tblEvento[[Evento]:[Libera o Período]],4,FALSE)),FALSE,
IF(VLOOKUP(tblHorasFev[Evento 
(1º Período)],tblEvento[[Evento]:[Libera o Período]],4,FALSE)="Não",TRUE,FALSE)
),
-IF(VLOOKUP(tblHorasFev[Dia],tblDiaUtil[[Abreviatura]:[1º Período]],3,FALSE)&lt;&gt;"",VLOOKUP(tblHorasFev[Dia],tblDiaUtil[[Abreviatura]:[1º Período]],3,FALSE),JORNADA_PERIODO_1),
IF(IF(ISERROR(VLOOKUP(tblHorasFev[Evento 
(2º Período)],tblEvento[[Evento]:[Libera o Período]],4,FALSE)),FALSE,IF(VLOOKUP(tblHorasFev[Evento 
(2º Período)],tblEvento[[Evento]:[Libera o Período]],4,FALSE)="Não",TRUE,FALSE)),
-IF(VLOOKUP(tblHorasFev[Dia],tblDiaUtil[[Abreviatura]:[2º Período]],4,FALSE)&lt;&gt;"",VLOOKUP(tblHorasFev[Dia],tblDiaUtil[[Abreviatura]:[2º Período]],4,FALSE),JORNADA_PERIODO_2),0))))</f>
        <v>0</v>
      </c>
      <c r="O14" s="14">
        <f>IF(tblHorasFev[Horas Trabalhadas Além Jornada]&gt;0,
        IF(ISNUMBER(tblHorasFev[Jornada Diária]),
              IF(HOUR(tblHorasFev[Horas Trabalhadas Além Jornada])&gt;=VLOOKUP(LIMITE,tblLimiteHora[],Tabelas!$I$1,FALSE),
                    VLOOKUP(LIMITE,tblLimiteHora[],Tabelas!$J$1,FALSE),
                    tblHorasFev[Horas Trabalhadas Além Jornada]),
              tblHorasFev[Horas Trabalhadas Além Jornada]),
        tblHorasFev[Horas Trabalhadas Além Jornada])+O13</f>
        <v>0</v>
      </c>
      <c r="P14" s="14" t="str">
        <f>IF(tblHorasFev[Horas Trabalhadas Além Jornada]&lt;0,IF(OR(tblHorasFev[Evento 
(1º Período)]="",tblHorasFev[Evento 
(2º Período)]=""),tblHorasFev[Horas Trabalhadas Além Jornada],""),"")</f>
        <v/>
      </c>
      <c r="Q14" s="14" t="str">
        <f>IF(tblHorasFev[Jornada Diária]&lt;&gt;"",IF((N(tblHorasFev[Jornada Diária])-ABS(N(tblHorasFev[Horas Trabalhadas Além Jornada])))=0,1,""),"")</f>
        <v/>
      </c>
      <c r="R14" s="14" t="str">
        <f>IF(tblHorasFev[Horas Trabalhadas Além Jornada]&gt;0,
IF(AND(VLOOKUP(TEXT(tblHorasFev[Data],"dddd"),tblDiaUtil[],3,FALSE)="Sim",IF(tblHorasFev[Evento 
(1º Período)]&lt;&gt;"",IF(VLOOKUP(tblHorasFev[Evento 
(1º Período)],tblEvento[],Tabelas!$E$1,FALSE)="Sim",FALSE,TRUE),TRUE),IF(tblHorasFev[Evento 
(2º Período)]&lt;&gt;"",IF(VLOOKUP(tblHorasFev[Evento 
(2º Período)],tblEvento[],Tabelas!$E$1,FALSE)="Sim",FALSE,TRUE),TRUE)),
tblHorasFev[Horas Trabalhadas Além Jornada],""),"")</f>
        <v/>
      </c>
      <c r="S14" s="14" t="str">
        <f>IF(tblHorasFev[Horas Trabalhadas Além Jornada]&gt;0,
IF(OR(VLOOKUP(TEXT(tblHorasFev[Data],"dddd"),tblDiaUtil[],3,FALSE)="Não",IF(tblHorasFev[Evento 
(1º Período)]&lt;&gt;"",IF(VLOOKUP(tblHorasFev[Evento 
(1º Período)],tblEvento[],Tabelas!$E$1,FALSE)="Sim",TRUE,FALSE),FALSE),IF(tblHorasFev[Evento 
(2º Período)]&lt;&gt;"",IF(VLOOKUP(tblHorasFev[Evento 
(2º Período)],tblEvento[],Tabelas!$E$1,FALSE)="Sim",TRUE,FALSE),FALSE)),
tblHorasFev[Horas Trabalhadas Além Jornada],""),"")</f>
        <v/>
      </c>
      <c r="T14" s="15" t="str">
        <f>IF(tblHorasFev[Evento 
(1º Período)]&lt;&gt;""," - " &amp;VLOOKUP(tblHorasFev[Evento 
(1º Período)],tblEvento[],Tabelas!$F$1,FALSE),"")&amp;IF(AND(tblHorasFev[Evento 
(2º Período)]&lt;&gt;"",tblHorasFev[Evento 
(2º Período)]&lt;&gt;tblHorasFev[Evento 
(1º Período)])," - " &amp; VLOOKUP(tblHorasFev[Evento 
(2º Período)],tblEvento[],Tabelas!$F$1,FALSE),"")</f>
        <v/>
      </c>
      <c r="X14" s="18"/>
      <c r="Y14" s="18"/>
    </row>
    <row r="15" spans="2:25" x14ac:dyDescent="0.25">
      <c r="B15" s="11" t="str">
        <f t="shared" si="0"/>
        <v/>
      </c>
      <c r="C15" s="12" t="str">
        <f>TEXT(tblHorasFev[Data],"ddd")</f>
        <v/>
      </c>
      <c r="D15" s="25"/>
      <c r="E15" s="1"/>
      <c r="F15" s="1"/>
      <c r="G15" s="1"/>
      <c r="H15" s="1"/>
      <c r="I15" s="53"/>
      <c r="J15" s="4">
        <f>IF($B$6&lt;&gt;"",
IF(AND(tblHorasFev[Evento 
(1º Período)]&lt;&gt;"",IF(ISERROR(VLOOKUP(tblHorasFev[Evento 
(1º Período)],tblEvento[],Tabelas!$D$1,FALSE)),FALSE,VLOOKUP(tblHorasFev[Evento 
(1º Período)],tblEvento[],Tabelas!$D$1,FALSE)="Sim")),
        IF(JORNADA_PERIODO_1&lt;&gt;"",
IF(VLOOKUP(tblHorasFev[Dia],tblDiaUtil[[Abreviatura]:[1º Período]],3,FALSE)&gt;0,VLOOKUP(tblHorasFev[Dia],tblDiaUtil[[Abreviatura]:[1º Período]],3,FALSE),JORNADA_PERIODO_1),
IF(VLOOKUP(tblHorasFev[Dia],tblDiaUtil[[Abreviatura]:[1º Período]],3,FALSE)&gt;0,VLOOKUP(tblHorasFev[Dia],tblDiaUtil[[Abreviatura]:[1º Período]],3,FALSE),JORNADA/2)),
        IF(AND(ISNUMBER(tblHorasFev[Saída - 1 (Almoço)]),ISNUMBER(tblHorasFev[Entrada - 1])),
              IF(OR(AND(tblHorasFev[Evento 
(1º Período)]&lt;&gt;"",IF(ISERROR(VLOOKUP(tblHorasFev[Evento 
(1º Período)],tblEvento[],Tabelas!$E$1,FALSE)),FALSE,VLOOKUP(tblHorasFev[Evento 
(1º Período)],tblEvento[],Tabelas!$E$1,FALSE)="Sim")),IF(VLOOKUP(TEXT(tblHorasFev[Data],"dddd"),tblDiaUtil[],2,FALSE)="Não",TRUE,FALSE)),
                   tblHorasFev[Saída - 1 (Almoço)]-tblHorasFev[Entrada - 1],
                   IF(OR(HOUR(tblHorasFev[Saída - 1 (Almoço)]-tblHorasFev[Entrada - 1])&gt;0,ROUND(tblHorasFev[Saída - 1 (Almoço)]-tblHorasFev[Entrada - 1],6)&gt;ROUND(CARENCIA,6)),
                          tblHorasFev[Saída - 1 (Almoço)]-tblHorasFev[Entrada - 1],
                          0)),
                    0)),0)</f>
        <v>0</v>
      </c>
      <c r="K15" s="4">
        <f>IF($B$6&lt;&gt;"",
IF(AND(tblHorasFev[Evento 
(2º Período)]&lt;&gt;"",IF(ISERROR(VLOOKUP(tblHorasFev[Evento 
(2º Período)],tblEvento[],Tabelas!$D$1,FALSE)),FALSE,VLOOKUP(tblHorasFev[Evento 
(2º Período)],tblEvento[],Tabelas!$D$1,FALSE)="Sim")),
        IF(JORNADA_PERIODO_2&lt;&gt;"",
IF(VLOOKUP(tblHorasFev[Dia],tblDiaUtil[[Abreviatura]:[2º Período]],4,FALSE)&gt;0,VLOOKUP(tblHorasFev[Dia],tblDiaUtil[[Abreviatura]:[2º Período]],4,FALSE),JORNADA_PERIODO_2),
IF(VLOOKUP(tblHorasFev[Dia],tblDiaUtil[[Abreviatura]:[2º Período]],4,FALSE)&gt;0,VLOOKUP(tblHorasFev[Dia],tblDiaUtil[[Abreviatura]:[2º Período]],4,FALSE),JORNADA/2)),
        IF(AND(ISNUMBER(tblHorasFev[Saída - 2]),ISNUMBER(tblHorasFev[Entrada - 2 (Almoço)])),
              IF(OR(AND(tblHorasFev[Evento 
(2º Período)]&lt;&gt;"",IF(ISERROR(VLOOKUP(tblHorasFev[Evento 
(2º Período)],tblEvento[],Tabelas!$E$1,FALSE)),FALSE,VLOOKUP(tblHorasFev[Evento 
(2º Período)],tblEvento[],Tabelas!$E$1,FALSE)="Sim")),IF(VLOOKUP(TEXT(tblHorasFev[Data],"dddd"),tblDiaUtil[],2,FALSE)="Não",TRUE,FALSE)),
                   tblHorasFev[Saída - 2]-tblHorasFev[Entrada - 2 (Almoço)],
                   IF(OR(HOUR(tblHorasFev[Saída - 2]-tblHorasFev[Entrada - 2 (Almoço)])&gt;0,MINUTE(tblHorasFev[Saída - 2]-tblHorasFev[Entrada - 2 (Almoço)])&gt;CARENCIA),
                         tblHorasFev[Saída - 2]-tblHorasFev[Entrada - 2 (Almoço)],
                         0)),
       0)),0)</f>
        <v>0</v>
      </c>
      <c r="L15" s="4">
        <f>tblHorasFev[Horas Trabalhadas (1º Período)]+tblHorasFev[Horas Trabalhadas (2º Período)]</f>
        <v>0</v>
      </c>
      <c r="M15" s="4" t="str">
        <f>IF(tblHorasFev[Data]&lt;&gt;"",
        IF(
AND(VLOOKUP(TEXT(tblHorasFev[Data],"dddd"),tblDiaUtil[],3,FALSE)="Sim",IF(tblHorasFev[Evento 
(1º Período)]&lt;&gt;"",IF(VLOOKUP(tblHorasFev[Evento 
(1º Período)],tblEvento[],Tabelas!$E$1,FALSE)="Sim",FALSE,TRUE),TRUE),IF(tblHorasFev[Evento 
(2º Período)]&lt;&gt;"",IF(VLOOKUP(tblHorasFev[Evento 
(2º Período)],tblEvento[],Tabelas!$E$1,FALSE)="Sim",FALSE,TRUE),TRUE)),
              IF(VLOOKUP(tblHorasFev[Dia],tblDiaUtil[[Abreviatura]:[1º Período]],3,FALSE)&gt;0,VLOOKUP(tblHorasFev[Dia],tblDiaUtil[[Abreviatura]:[1º Período]],3,FALSE),JORNADA),
              ""),
         "")</f>
        <v/>
      </c>
      <c r="N15" s="14">
        <f>IF(OR(tblHorasFev[Horas Trabalhadas (1º Período)]&lt;&gt;0,tblHorasFev[Horas Trabalhadas (2º Período)]&lt;&gt;0),
        IF(ISNUMBER(tblHorasFev[Jornada Diária]),
              IF(tblHorasFev[Jornada Diária]&gt;(tblHorasFev[Horas Trabalhadas (2º Período)]+tblHorasFev[Horas Trabalhadas (1º Período)]),
                     IF(ROUND((tblHorasFev[Jornada Diária]-(tblHorasFev[Horas Trabalhadas (2º Período)]+tblHorasFev[Horas Trabalhadas (1º Período)])),6)&gt;ROUND(CARENCIA,6),
                           -tblHorasFev[Jornada Diária]+(tblHorasFev[Horas Trabalhadas (2º Período)]+tblHorasFev[Horas Trabalhadas (1º Período)]),
                           0),
                      IF(ROUND((tblHorasFev[Jornada Diária]-(tblHorasFev[Horas Trabalhadas (2º Período)]+tblHorasFev[Horas Trabalhadas (1º Período)])),6)&lt;ROUND(-CARENCIA,6),
                           -tblHorasFev[Jornada Diária]+(tblHorasFev[Horas Trabalhadas (2º Período)]+tblHorasFev[Horas Trabalhadas (1º Período)]),
                           0)),
              tblHorasFev[Horas Trabalhadas (2º Período)]+tblHorasFev[Horas Trabalhadas (1º Período)]),
         IF(AND(IF(ISERROR(VLOOKUP(tblHorasFev[Evento 
(1º Período)],tblEvento[[Evento]:[Libera o Período]],4,FALSE)),FALSE,IF(VLOOKUP(tblHorasFev[Evento 
(1º Período)],tblEvento[[Evento]:[Libera o Período]],4,FALSE)="Não",TRUE,FALSE)),IF(ISERROR(VLOOKUP(tblHorasFev[Evento 
(2º Período)],tblEvento[[Evento]:[Libera o Período]],4,FALSE)),FALSE,IF(VLOOKUP(tblHorasFev[Evento 
(2º Período)],tblEvento[[Evento]:[Libera o Período]],4,FALSE)="Não",TRUE,FALSE))),
-IF(VLOOKUP(tblHorasFev[Dia],tblDiaUtil[[Abreviatura]:[Total Jornada]],5,FALSE)&lt;&gt;"",VLOOKUP(tblHorasFev[Dia],tblDiaUtil[[Abreviatura]:[Total Jornada]],5,FALSE),JORNADA),
IF(IF(ISERROR(VLOOKUP(tblHorasFev[Evento 
(1º Período)],tblEvento[[Evento]:[Libera o Período]],4,FALSE)),FALSE,
IF(VLOOKUP(tblHorasFev[Evento 
(1º Período)],tblEvento[[Evento]:[Libera o Período]],4,FALSE)="Não",TRUE,FALSE)
),
-IF(VLOOKUP(tblHorasFev[Dia],tblDiaUtil[[Abreviatura]:[1º Período]],3,FALSE)&lt;&gt;"",VLOOKUP(tblHorasFev[Dia],tblDiaUtil[[Abreviatura]:[1º Período]],3,FALSE),JORNADA_PERIODO_1),
IF(IF(ISERROR(VLOOKUP(tblHorasFev[Evento 
(2º Período)],tblEvento[[Evento]:[Libera o Período]],4,FALSE)),FALSE,IF(VLOOKUP(tblHorasFev[Evento 
(2º Período)],tblEvento[[Evento]:[Libera o Período]],4,FALSE)="Não",TRUE,FALSE)),
-IF(VLOOKUP(tblHorasFev[Dia],tblDiaUtil[[Abreviatura]:[2º Período]],4,FALSE)&lt;&gt;"",VLOOKUP(tblHorasFev[Dia],tblDiaUtil[[Abreviatura]:[2º Período]],4,FALSE),JORNADA_PERIODO_2),0))))</f>
        <v>0</v>
      </c>
      <c r="O15" s="14">
        <f>IF(tblHorasFev[Horas Trabalhadas Além Jornada]&gt;0,
        IF(ISNUMBER(tblHorasFev[Jornada Diária]),
              IF(HOUR(tblHorasFev[Horas Trabalhadas Além Jornada])&gt;=VLOOKUP(LIMITE,tblLimiteHora[],Tabelas!$I$1,FALSE),
                    VLOOKUP(LIMITE,tblLimiteHora[],Tabelas!$J$1,FALSE),
                    tblHorasFev[Horas Trabalhadas Além Jornada]),
              tblHorasFev[Horas Trabalhadas Além Jornada]),
        tblHorasFev[Horas Trabalhadas Além Jornada])+O14</f>
        <v>0</v>
      </c>
      <c r="P15" s="14" t="str">
        <f>IF(tblHorasFev[Horas Trabalhadas Além Jornada]&lt;0,IF(OR(tblHorasFev[Evento 
(1º Período)]="",tblHorasFev[Evento 
(2º Período)]=""),tblHorasFev[Horas Trabalhadas Além Jornada],""),"")</f>
        <v/>
      </c>
      <c r="Q15" s="14" t="str">
        <f>IF(tblHorasFev[Jornada Diária]&lt;&gt;"",IF((N(tblHorasFev[Jornada Diária])-ABS(N(tblHorasFev[Horas Trabalhadas Além Jornada])))=0,1,""),"")</f>
        <v/>
      </c>
      <c r="R15" s="14" t="str">
        <f>IF(tblHorasFev[Horas Trabalhadas Além Jornada]&gt;0,
IF(AND(VLOOKUP(TEXT(tblHorasFev[Data],"dddd"),tblDiaUtil[],3,FALSE)="Sim",IF(tblHorasFev[Evento 
(1º Período)]&lt;&gt;"",IF(VLOOKUP(tblHorasFev[Evento 
(1º Período)],tblEvento[],Tabelas!$E$1,FALSE)="Sim",FALSE,TRUE),TRUE),IF(tblHorasFev[Evento 
(2º Período)]&lt;&gt;"",IF(VLOOKUP(tblHorasFev[Evento 
(2º Período)],tblEvento[],Tabelas!$E$1,FALSE)="Sim",FALSE,TRUE),TRUE)),
tblHorasFev[Horas Trabalhadas Além Jornada],""),"")</f>
        <v/>
      </c>
      <c r="S15" s="14" t="str">
        <f>IF(tblHorasFev[Horas Trabalhadas Além Jornada]&gt;0,
IF(OR(VLOOKUP(TEXT(tblHorasFev[Data],"dddd"),tblDiaUtil[],3,FALSE)="Não",IF(tblHorasFev[Evento 
(1º Período)]&lt;&gt;"",IF(VLOOKUP(tblHorasFev[Evento 
(1º Período)],tblEvento[],Tabelas!$E$1,FALSE)="Sim",TRUE,FALSE),FALSE),IF(tblHorasFev[Evento 
(2º Período)]&lt;&gt;"",IF(VLOOKUP(tblHorasFev[Evento 
(2º Período)],tblEvento[],Tabelas!$E$1,FALSE)="Sim",TRUE,FALSE),FALSE)),
tblHorasFev[Horas Trabalhadas Além Jornada],""),"")</f>
        <v/>
      </c>
      <c r="T15" s="15" t="str">
        <f>IF(tblHorasFev[Evento 
(1º Período)]&lt;&gt;""," - " &amp;VLOOKUP(tblHorasFev[Evento 
(1º Período)],tblEvento[],Tabelas!$F$1,FALSE),"")&amp;IF(AND(tblHorasFev[Evento 
(2º Período)]&lt;&gt;"",tblHorasFev[Evento 
(2º Período)]&lt;&gt;tblHorasFev[Evento 
(1º Período)])," - " &amp; VLOOKUP(tblHorasFev[Evento 
(2º Período)],tblEvento[],Tabelas!$F$1,FALSE),"")</f>
        <v/>
      </c>
      <c r="X15" s="17"/>
    </row>
    <row r="16" spans="2:25" x14ac:dyDescent="0.25">
      <c r="B16" s="11" t="str">
        <f t="shared" si="0"/>
        <v/>
      </c>
      <c r="C16" s="12" t="str">
        <f>TEXT(tblHorasFev[Data],"ddd")</f>
        <v/>
      </c>
      <c r="D16" s="25"/>
      <c r="E16" s="1"/>
      <c r="F16" s="1"/>
      <c r="G16" s="1"/>
      <c r="H16" s="1"/>
      <c r="I16" s="53"/>
      <c r="J16" s="4">
        <f>IF($B$6&lt;&gt;"",
IF(AND(tblHorasFev[Evento 
(1º Período)]&lt;&gt;"",IF(ISERROR(VLOOKUP(tblHorasFev[Evento 
(1º Período)],tblEvento[],Tabelas!$D$1,FALSE)),FALSE,VLOOKUP(tblHorasFev[Evento 
(1º Período)],tblEvento[],Tabelas!$D$1,FALSE)="Sim")),
        IF(JORNADA_PERIODO_1&lt;&gt;"",
IF(VLOOKUP(tblHorasFev[Dia],tblDiaUtil[[Abreviatura]:[1º Período]],3,FALSE)&gt;0,VLOOKUP(tblHorasFev[Dia],tblDiaUtil[[Abreviatura]:[1º Período]],3,FALSE),JORNADA_PERIODO_1),
IF(VLOOKUP(tblHorasFev[Dia],tblDiaUtil[[Abreviatura]:[1º Período]],3,FALSE)&gt;0,VLOOKUP(tblHorasFev[Dia],tblDiaUtil[[Abreviatura]:[1º Período]],3,FALSE),JORNADA/2)),
        IF(AND(ISNUMBER(tblHorasFev[Saída - 1 (Almoço)]),ISNUMBER(tblHorasFev[Entrada - 1])),
              IF(OR(AND(tblHorasFev[Evento 
(1º Período)]&lt;&gt;"",IF(ISERROR(VLOOKUP(tblHorasFev[Evento 
(1º Período)],tblEvento[],Tabelas!$E$1,FALSE)),FALSE,VLOOKUP(tblHorasFev[Evento 
(1º Período)],tblEvento[],Tabelas!$E$1,FALSE)="Sim")),IF(VLOOKUP(TEXT(tblHorasFev[Data],"dddd"),tblDiaUtil[],2,FALSE)="Não",TRUE,FALSE)),
                   tblHorasFev[Saída - 1 (Almoço)]-tblHorasFev[Entrada - 1],
                   IF(OR(HOUR(tblHorasFev[Saída - 1 (Almoço)]-tblHorasFev[Entrada - 1])&gt;0,ROUND(tblHorasFev[Saída - 1 (Almoço)]-tblHorasFev[Entrada - 1],6)&gt;ROUND(CARENCIA,6)),
                          tblHorasFev[Saída - 1 (Almoço)]-tblHorasFev[Entrada - 1],
                          0)),
                    0)),0)</f>
        <v>0</v>
      </c>
      <c r="K16" s="4">
        <f>IF($B$6&lt;&gt;"",
IF(AND(tblHorasFev[Evento 
(2º Período)]&lt;&gt;"",IF(ISERROR(VLOOKUP(tblHorasFev[Evento 
(2º Período)],tblEvento[],Tabelas!$D$1,FALSE)),FALSE,VLOOKUP(tblHorasFev[Evento 
(2º Período)],tblEvento[],Tabelas!$D$1,FALSE)="Sim")),
        IF(JORNADA_PERIODO_2&lt;&gt;"",
IF(VLOOKUP(tblHorasFev[Dia],tblDiaUtil[[Abreviatura]:[2º Período]],4,FALSE)&gt;0,VLOOKUP(tblHorasFev[Dia],tblDiaUtil[[Abreviatura]:[2º Período]],4,FALSE),JORNADA_PERIODO_2),
IF(VLOOKUP(tblHorasFev[Dia],tblDiaUtil[[Abreviatura]:[2º Período]],4,FALSE)&gt;0,VLOOKUP(tblHorasFev[Dia],tblDiaUtil[[Abreviatura]:[2º Período]],4,FALSE),JORNADA/2)),
        IF(AND(ISNUMBER(tblHorasFev[Saída - 2]),ISNUMBER(tblHorasFev[Entrada - 2 (Almoço)])),
              IF(OR(AND(tblHorasFev[Evento 
(2º Período)]&lt;&gt;"",IF(ISERROR(VLOOKUP(tblHorasFev[Evento 
(2º Período)],tblEvento[],Tabelas!$E$1,FALSE)),FALSE,VLOOKUP(tblHorasFev[Evento 
(2º Período)],tblEvento[],Tabelas!$E$1,FALSE)="Sim")),IF(VLOOKUP(TEXT(tblHorasFev[Data],"dddd"),tblDiaUtil[],2,FALSE)="Não",TRUE,FALSE)),
                   tblHorasFev[Saída - 2]-tblHorasFev[Entrada - 2 (Almoço)],
                   IF(OR(HOUR(tblHorasFev[Saída - 2]-tblHorasFev[Entrada - 2 (Almoço)])&gt;0,MINUTE(tblHorasFev[Saída - 2]-tblHorasFev[Entrada - 2 (Almoço)])&gt;CARENCIA),
                         tblHorasFev[Saída - 2]-tblHorasFev[Entrada - 2 (Almoço)],
                         0)),
       0)),0)</f>
        <v>0</v>
      </c>
      <c r="L16" s="4">
        <f>tblHorasFev[Horas Trabalhadas (1º Período)]+tblHorasFev[Horas Trabalhadas (2º Período)]</f>
        <v>0</v>
      </c>
      <c r="M16" s="4" t="str">
        <f>IF(tblHorasFev[Data]&lt;&gt;"",
        IF(
AND(VLOOKUP(TEXT(tblHorasFev[Data],"dddd"),tblDiaUtil[],3,FALSE)="Sim",IF(tblHorasFev[Evento 
(1º Período)]&lt;&gt;"",IF(VLOOKUP(tblHorasFev[Evento 
(1º Período)],tblEvento[],Tabelas!$E$1,FALSE)="Sim",FALSE,TRUE),TRUE),IF(tblHorasFev[Evento 
(2º Período)]&lt;&gt;"",IF(VLOOKUP(tblHorasFev[Evento 
(2º Período)],tblEvento[],Tabelas!$E$1,FALSE)="Sim",FALSE,TRUE),TRUE)),
              IF(VLOOKUP(tblHorasFev[Dia],tblDiaUtil[[Abreviatura]:[1º Período]],3,FALSE)&gt;0,VLOOKUP(tblHorasFev[Dia],tblDiaUtil[[Abreviatura]:[1º Período]],3,FALSE),JORNADA),
              ""),
         "")</f>
        <v/>
      </c>
      <c r="N16" s="14">
        <f>IF(OR(tblHorasFev[Horas Trabalhadas (1º Período)]&lt;&gt;0,tblHorasFev[Horas Trabalhadas (2º Período)]&lt;&gt;0),
        IF(ISNUMBER(tblHorasFev[Jornada Diária]),
              IF(tblHorasFev[Jornada Diária]&gt;(tblHorasFev[Horas Trabalhadas (2º Período)]+tblHorasFev[Horas Trabalhadas (1º Período)]),
                     IF(ROUND((tblHorasFev[Jornada Diária]-(tblHorasFev[Horas Trabalhadas (2º Período)]+tblHorasFev[Horas Trabalhadas (1º Período)])),6)&gt;ROUND(CARENCIA,6),
                           -tblHorasFev[Jornada Diária]+(tblHorasFev[Horas Trabalhadas (2º Período)]+tblHorasFev[Horas Trabalhadas (1º Período)]),
                           0),
                      IF(ROUND((tblHorasFev[Jornada Diária]-(tblHorasFev[Horas Trabalhadas (2º Período)]+tblHorasFev[Horas Trabalhadas (1º Período)])),6)&lt;ROUND(-CARENCIA,6),
                           -tblHorasFev[Jornada Diária]+(tblHorasFev[Horas Trabalhadas (2º Período)]+tblHorasFev[Horas Trabalhadas (1º Período)]),
                           0)),
              tblHorasFev[Horas Trabalhadas (2º Período)]+tblHorasFev[Horas Trabalhadas (1º Período)]),
         IF(AND(IF(ISERROR(VLOOKUP(tblHorasFev[Evento 
(1º Período)],tblEvento[[Evento]:[Libera o Período]],4,FALSE)),FALSE,IF(VLOOKUP(tblHorasFev[Evento 
(1º Período)],tblEvento[[Evento]:[Libera o Período]],4,FALSE)="Não",TRUE,FALSE)),IF(ISERROR(VLOOKUP(tblHorasFev[Evento 
(2º Período)],tblEvento[[Evento]:[Libera o Período]],4,FALSE)),FALSE,IF(VLOOKUP(tblHorasFev[Evento 
(2º Período)],tblEvento[[Evento]:[Libera o Período]],4,FALSE)="Não",TRUE,FALSE))),
-IF(VLOOKUP(tblHorasFev[Dia],tblDiaUtil[[Abreviatura]:[Total Jornada]],5,FALSE)&lt;&gt;"",VLOOKUP(tblHorasFev[Dia],tblDiaUtil[[Abreviatura]:[Total Jornada]],5,FALSE),JORNADA),
IF(IF(ISERROR(VLOOKUP(tblHorasFev[Evento 
(1º Período)],tblEvento[[Evento]:[Libera o Período]],4,FALSE)),FALSE,
IF(VLOOKUP(tblHorasFev[Evento 
(1º Período)],tblEvento[[Evento]:[Libera o Período]],4,FALSE)="Não",TRUE,FALSE)
),
-IF(VLOOKUP(tblHorasFev[Dia],tblDiaUtil[[Abreviatura]:[1º Período]],3,FALSE)&lt;&gt;"",VLOOKUP(tblHorasFev[Dia],tblDiaUtil[[Abreviatura]:[1º Período]],3,FALSE),JORNADA_PERIODO_1),
IF(IF(ISERROR(VLOOKUP(tblHorasFev[Evento 
(2º Período)],tblEvento[[Evento]:[Libera o Período]],4,FALSE)),FALSE,IF(VLOOKUP(tblHorasFev[Evento 
(2º Período)],tblEvento[[Evento]:[Libera o Período]],4,FALSE)="Não",TRUE,FALSE)),
-IF(VLOOKUP(tblHorasFev[Dia],tblDiaUtil[[Abreviatura]:[2º Período]],4,FALSE)&lt;&gt;"",VLOOKUP(tblHorasFev[Dia],tblDiaUtil[[Abreviatura]:[2º Período]],4,FALSE),JORNADA_PERIODO_2),0))))</f>
        <v>0</v>
      </c>
      <c r="O16" s="14">
        <f>IF(tblHorasFev[Horas Trabalhadas Além Jornada]&gt;0,
        IF(ISNUMBER(tblHorasFev[Jornada Diária]),
              IF(HOUR(tblHorasFev[Horas Trabalhadas Além Jornada])&gt;=VLOOKUP(LIMITE,tblLimiteHora[],Tabelas!$I$1,FALSE),
                    VLOOKUP(LIMITE,tblLimiteHora[],Tabelas!$J$1,FALSE),
                    tblHorasFev[Horas Trabalhadas Além Jornada]),
              tblHorasFev[Horas Trabalhadas Além Jornada]),
        tblHorasFev[Horas Trabalhadas Além Jornada])+O15</f>
        <v>0</v>
      </c>
      <c r="P16" s="14" t="str">
        <f>IF(tblHorasFev[Horas Trabalhadas Além Jornada]&lt;0,IF(OR(tblHorasFev[Evento 
(1º Período)]="",tblHorasFev[Evento 
(2º Período)]=""),tblHorasFev[Horas Trabalhadas Além Jornada],""),"")</f>
        <v/>
      </c>
      <c r="Q16" s="14" t="str">
        <f>IF(tblHorasFev[Jornada Diária]&lt;&gt;"",IF((N(tblHorasFev[Jornada Diária])-ABS(N(tblHorasFev[Horas Trabalhadas Além Jornada])))=0,1,""),"")</f>
        <v/>
      </c>
      <c r="R16" s="14" t="str">
        <f>IF(tblHorasFev[Horas Trabalhadas Além Jornada]&gt;0,
IF(AND(VLOOKUP(TEXT(tblHorasFev[Data],"dddd"),tblDiaUtil[],3,FALSE)="Sim",IF(tblHorasFev[Evento 
(1º Período)]&lt;&gt;"",IF(VLOOKUP(tblHorasFev[Evento 
(1º Período)],tblEvento[],Tabelas!$E$1,FALSE)="Sim",FALSE,TRUE),TRUE),IF(tblHorasFev[Evento 
(2º Período)]&lt;&gt;"",IF(VLOOKUP(tblHorasFev[Evento 
(2º Período)],tblEvento[],Tabelas!$E$1,FALSE)="Sim",FALSE,TRUE),TRUE)),
tblHorasFev[Horas Trabalhadas Além Jornada],""),"")</f>
        <v/>
      </c>
      <c r="S16" s="14" t="str">
        <f>IF(tblHorasFev[Horas Trabalhadas Além Jornada]&gt;0,
IF(OR(VLOOKUP(TEXT(tblHorasFev[Data],"dddd"),tblDiaUtil[],3,FALSE)="Não",IF(tblHorasFev[Evento 
(1º Período)]&lt;&gt;"",IF(VLOOKUP(tblHorasFev[Evento 
(1º Período)],tblEvento[],Tabelas!$E$1,FALSE)="Sim",TRUE,FALSE),FALSE),IF(tblHorasFev[Evento 
(2º Período)]&lt;&gt;"",IF(VLOOKUP(tblHorasFev[Evento 
(2º Período)],tblEvento[],Tabelas!$E$1,FALSE)="Sim",TRUE,FALSE),FALSE)),
tblHorasFev[Horas Trabalhadas Além Jornada],""),"")</f>
        <v/>
      </c>
      <c r="T16" s="15" t="str">
        <f>IF(tblHorasFev[Evento 
(1º Período)]&lt;&gt;""," - " &amp;VLOOKUP(tblHorasFev[Evento 
(1º Período)],tblEvento[],Tabelas!$F$1,FALSE),"")&amp;IF(AND(tblHorasFev[Evento 
(2º Período)]&lt;&gt;"",tblHorasFev[Evento 
(2º Período)]&lt;&gt;tblHorasFev[Evento 
(1º Período)])," - " &amp; VLOOKUP(tblHorasFev[Evento 
(2º Período)],tblEvento[],Tabelas!$F$1,FALSE),"")</f>
        <v/>
      </c>
    </row>
    <row r="17" spans="2:20" x14ac:dyDescent="0.25">
      <c r="B17" s="11" t="str">
        <f t="shared" si="0"/>
        <v/>
      </c>
      <c r="C17" s="12" t="str">
        <f>TEXT(tblHorasFev[Data],"ddd")</f>
        <v/>
      </c>
      <c r="D17" s="25"/>
      <c r="E17" s="1"/>
      <c r="F17" s="1"/>
      <c r="G17" s="1"/>
      <c r="H17" s="1"/>
      <c r="I17" s="53"/>
      <c r="J17" s="4">
        <f>IF($B$6&lt;&gt;"",
IF(AND(tblHorasFev[Evento 
(1º Período)]&lt;&gt;"",IF(ISERROR(VLOOKUP(tblHorasFev[Evento 
(1º Período)],tblEvento[],Tabelas!$D$1,FALSE)),FALSE,VLOOKUP(tblHorasFev[Evento 
(1º Período)],tblEvento[],Tabelas!$D$1,FALSE)="Sim")),
        IF(JORNADA_PERIODO_1&lt;&gt;"",
IF(VLOOKUP(tblHorasFev[Dia],tblDiaUtil[[Abreviatura]:[1º Período]],3,FALSE)&gt;0,VLOOKUP(tblHorasFev[Dia],tblDiaUtil[[Abreviatura]:[1º Período]],3,FALSE),JORNADA_PERIODO_1),
IF(VLOOKUP(tblHorasFev[Dia],tblDiaUtil[[Abreviatura]:[1º Período]],3,FALSE)&gt;0,VLOOKUP(tblHorasFev[Dia],tblDiaUtil[[Abreviatura]:[1º Período]],3,FALSE),JORNADA/2)),
        IF(AND(ISNUMBER(tblHorasFev[Saída - 1 (Almoço)]),ISNUMBER(tblHorasFev[Entrada - 1])),
              IF(OR(AND(tblHorasFev[Evento 
(1º Período)]&lt;&gt;"",IF(ISERROR(VLOOKUP(tblHorasFev[Evento 
(1º Período)],tblEvento[],Tabelas!$E$1,FALSE)),FALSE,VLOOKUP(tblHorasFev[Evento 
(1º Período)],tblEvento[],Tabelas!$E$1,FALSE)="Sim")),IF(VLOOKUP(TEXT(tblHorasFev[Data],"dddd"),tblDiaUtil[],2,FALSE)="Não",TRUE,FALSE)),
                   tblHorasFev[Saída - 1 (Almoço)]-tblHorasFev[Entrada - 1],
                   IF(OR(HOUR(tblHorasFev[Saída - 1 (Almoço)]-tblHorasFev[Entrada - 1])&gt;0,ROUND(tblHorasFev[Saída - 1 (Almoço)]-tblHorasFev[Entrada - 1],6)&gt;ROUND(CARENCIA,6)),
                          tblHorasFev[Saída - 1 (Almoço)]-tblHorasFev[Entrada - 1],
                          0)),
                    0)),0)</f>
        <v>0</v>
      </c>
      <c r="K17" s="4">
        <f>IF($B$6&lt;&gt;"",
IF(AND(tblHorasFev[Evento 
(2º Período)]&lt;&gt;"",IF(ISERROR(VLOOKUP(tblHorasFev[Evento 
(2º Período)],tblEvento[],Tabelas!$D$1,FALSE)),FALSE,VLOOKUP(tblHorasFev[Evento 
(2º Período)],tblEvento[],Tabelas!$D$1,FALSE)="Sim")),
        IF(JORNADA_PERIODO_2&lt;&gt;"",
IF(VLOOKUP(tblHorasFev[Dia],tblDiaUtil[[Abreviatura]:[2º Período]],4,FALSE)&gt;0,VLOOKUP(tblHorasFev[Dia],tblDiaUtil[[Abreviatura]:[2º Período]],4,FALSE),JORNADA_PERIODO_2),
IF(VLOOKUP(tblHorasFev[Dia],tblDiaUtil[[Abreviatura]:[2º Período]],4,FALSE)&gt;0,VLOOKUP(tblHorasFev[Dia],tblDiaUtil[[Abreviatura]:[2º Período]],4,FALSE),JORNADA/2)),
        IF(AND(ISNUMBER(tblHorasFev[Saída - 2]),ISNUMBER(tblHorasFev[Entrada - 2 (Almoço)])),
              IF(OR(AND(tblHorasFev[Evento 
(2º Período)]&lt;&gt;"",IF(ISERROR(VLOOKUP(tblHorasFev[Evento 
(2º Período)],tblEvento[],Tabelas!$E$1,FALSE)),FALSE,VLOOKUP(tblHorasFev[Evento 
(2º Período)],tblEvento[],Tabelas!$E$1,FALSE)="Sim")),IF(VLOOKUP(TEXT(tblHorasFev[Data],"dddd"),tblDiaUtil[],2,FALSE)="Não",TRUE,FALSE)),
                   tblHorasFev[Saída - 2]-tblHorasFev[Entrada - 2 (Almoço)],
                   IF(OR(HOUR(tblHorasFev[Saída - 2]-tblHorasFev[Entrada - 2 (Almoço)])&gt;0,MINUTE(tblHorasFev[Saída - 2]-tblHorasFev[Entrada - 2 (Almoço)])&gt;CARENCIA),
                         tblHorasFev[Saída - 2]-tblHorasFev[Entrada - 2 (Almoço)],
                         0)),
       0)),0)</f>
        <v>0</v>
      </c>
      <c r="L17" s="4">
        <f>tblHorasFev[Horas Trabalhadas (1º Período)]+tblHorasFev[Horas Trabalhadas (2º Período)]</f>
        <v>0</v>
      </c>
      <c r="M17" s="4" t="str">
        <f>IF(tblHorasFev[Data]&lt;&gt;"",
        IF(
AND(VLOOKUP(TEXT(tblHorasFev[Data],"dddd"),tblDiaUtil[],3,FALSE)="Sim",IF(tblHorasFev[Evento 
(1º Período)]&lt;&gt;"",IF(VLOOKUP(tblHorasFev[Evento 
(1º Período)],tblEvento[],Tabelas!$E$1,FALSE)="Sim",FALSE,TRUE),TRUE),IF(tblHorasFev[Evento 
(2º Período)]&lt;&gt;"",IF(VLOOKUP(tblHorasFev[Evento 
(2º Período)],tblEvento[],Tabelas!$E$1,FALSE)="Sim",FALSE,TRUE),TRUE)),
              IF(VLOOKUP(tblHorasFev[Dia],tblDiaUtil[[Abreviatura]:[1º Período]],3,FALSE)&gt;0,VLOOKUP(tblHorasFev[Dia],tblDiaUtil[[Abreviatura]:[1º Período]],3,FALSE),JORNADA),
              ""),
         "")</f>
        <v/>
      </c>
      <c r="N17" s="14">
        <f>IF(OR(tblHorasFev[Horas Trabalhadas (1º Período)]&lt;&gt;0,tblHorasFev[Horas Trabalhadas (2º Período)]&lt;&gt;0),
        IF(ISNUMBER(tblHorasFev[Jornada Diária]),
              IF(tblHorasFev[Jornada Diária]&gt;(tblHorasFev[Horas Trabalhadas (2º Período)]+tblHorasFev[Horas Trabalhadas (1º Período)]),
                     IF(ROUND((tblHorasFev[Jornada Diária]-(tblHorasFev[Horas Trabalhadas (2º Período)]+tblHorasFev[Horas Trabalhadas (1º Período)])),6)&gt;ROUND(CARENCIA,6),
                           -tblHorasFev[Jornada Diária]+(tblHorasFev[Horas Trabalhadas (2º Período)]+tblHorasFev[Horas Trabalhadas (1º Período)]),
                           0),
                      IF(ROUND((tblHorasFev[Jornada Diária]-(tblHorasFev[Horas Trabalhadas (2º Período)]+tblHorasFev[Horas Trabalhadas (1º Período)])),6)&lt;ROUND(-CARENCIA,6),
                           -tblHorasFev[Jornada Diária]+(tblHorasFev[Horas Trabalhadas (2º Período)]+tblHorasFev[Horas Trabalhadas (1º Período)]),
                           0)),
              tblHorasFev[Horas Trabalhadas (2º Período)]+tblHorasFev[Horas Trabalhadas (1º Período)]),
         IF(AND(IF(ISERROR(VLOOKUP(tblHorasFev[Evento 
(1º Período)],tblEvento[[Evento]:[Libera o Período]],4,FALSE)),FALSE,IF(VLOOKUP(tblHorasFev[Evento 
(1º Período)],tblEvento[[Evento]:[Libera o Período]],4,FALSE)="Não",TRUE,FALSE)),IF(ISERROR(VLOOKUP(tblHorasFev[Evento 
(2º Período)],tblEvento[[Evento]:[Libera o Período]],4,FALSE)),FALSE,IF(VLOOKUP(tblHorasFev[Evento 
(2º Período)],tblEvento[[Evento]:[Libera o Período]],4,FALSE)="Não",TRUE,FALSE))),
-IF(VLOOKUP(tblHorasFev[Dia],tblDiaUtil[[Abreviatura]:[Total Jornada]],5,FALSE)&lt;&gt;"",VLOOKUP(tblHorasFev[Dia],tblDiaUtil[[Abreviatura]:[Total Jornada]],5,FALSE),JORNADA),
IF(IF(ISERROR(VLOOKUP(tblHorasFev[Evento 
(1º Período)],tblEvento[[Evento]:[Libera o Período]],4,FALSE)),FALSE,
IF(VLOOKUP(tblHorasFev[Evento 
(1º Período)],tblEvento[[Evento]:[Libera o Período]],4,FALSE)="Não",TRUE,FALSE)
),
-IF(VLOOKUP(tblHorasFev[Dia],tblDiaUtil[[Abreviatura]:[1º Período]],3,FALSE)&lt;&gt;"",VLOOKUP(tblHorasFev[Dia],tblDiaUtil[[Abreviatura]:[1º Período]],3,FALSE),JORNADA_PERIODO_1),
IF(IF(ISERROR(VLOOKUP(tblHorasFev[Evento 
(2º Período)],tblEvento[[Evento]:[Libera o Período]],4,FALSE)),FALSE,IF(VLOOKUP(tblHorasFev[Evento 
(2º Período)],tblEvento[[Evento]:[Libera o Período]],4,FALSE)="Não",TRUE,FALSE)),
-IF(VLOOKUP(tblHorasFev[Dia],tblDiaUtil[[Abreviatura]:[2º Período]],4,FALSE)&lt;&gt;"",VLOOKUP(tblHorasFev[Dia],tblDiaUtil[[Abreviatura]:[2º Período]],4,FALSE),JORNADA_PERIODO_2),0))))</f>
        <v>0</v>
      </c>
      <c r="O17" s="14">
        <f>IF(tblHorasFev[Horas Trabalhadas Além Jornada]&gt;0,
        IF(ISNUMBER(tblHorasFev[Jornada Diária]),
              IF(HOUR(tblHorasFev[Horas Trabalhadas Além Jornada])&gt;=VLOOKUP(LIMITE,tblLimiteHora[],Tabelas!$I$1,FALSE),
                    VLOOKUP(LIMITE,tblLimiteHora[],Tabelas!$J$1,FALSE),
                    tblHorasFev[Horas Trabalhadas Além Jornada]),
              tblHorasFev[Horas Trabalhadas Além Jornada]),
        tblHorasFev[Horas Trabalhadas Além Jornada])+O16</f>
        <v>0</v>
      </c>
      <c r="P17" s="14" t="str">
        <f>IF(tblHorasFev[Horas Trabalhadas Além Jornada]&lt;0,IF(OR(tblHorasFev[Evento 
(1º Período)]="",tblHorasFev[Evento 
(2º Período)]=""),tblHorasFev[Horas Trabalhadas Além Jornada],""),"")</f>
        <v/>
      </c>
      <c r="Q17" s="14" t="str">
        <f>IF(tblHorasFev[Jornada Diária]&lt;&gt;"",IF((N(tblHorasFev[Jornada Diária])-ABS(N(tblHorasFev[Horas Trabalhadas Além Jornada])))=0,1,""),"")</f>
        <v/>
      </c>
      <c r="R17" s="14" t="str">
        <f>IF(tblHorasFev[Horas Trabalhadas Além Jornada]&gt;0,
IF(AND(VLOOKUP(TEXT(tblHorasFev[Data],"dddd"),tblDiaUtil[],3,FALSE)="Sim",IF(tblHorasFev[Evento 
(1º Período)]&lt;&gt;"",IF(VLOOKUP(tblHorasFev[Evento 
(1º Período)],tblEvento[],Tabelas!$E$1,FALSE)="Sim",FALSE,TRUE),TRUE),IF(tblHorasFev[Evento 
(2º Período)]&lt;&gt;"",IF(VLOOKUP(tblHorasFev[Evento 
(2º Período)],tblEvento[],Tabelas!$E$1,FALSE)="Sim",FALSE,TRUE),TRUE)),
tblHorasFev[Horas Trabalhadas Além Jornada],""),"")</f>
        <v/>
      </c>
      <c r="S17" s="14" t="str">
        <f>IF(tblHorasFev[Horas Trabalhadas Além Jornada]&gt;0,
IF(OR(VLOOKUP(TEXT(tblHorasFev[Data],"dddd"),tblDiaUtil[],3,FALSE)="Não",IF(tblHorasFev[Evento 
(1º Período)]&lt;&gt;"",IF(VLOOKUP(tblHorasFev[Evento 
(1º Período)],tblEvento[],Tabelas!$E$1,FALSE)="Sim",TRUE,FALSE),FALSE),IF(tblHorasFev[Evento 
(2º Período)]&lt;&gt;"",IF(VLOOKUP(tblHorasFev[Evento 
(2º Período)],tblEvento[],Tabelas!$E$1,FALSE)="Sim",TRUE,FALSE),FALSE)),
tblHorasFev[Horas Trabalhadas Além Jornada],""),"")</f>
        <v/>
      </c>
      <c r="T17" s="15" t="str">
        <f>IF(tblHorasFev[Evento 
(1º Período)]&lt;&gt;""," - " &amp;VLOOKUP(tblHorasFev[Evento 
(1º Período)],tblEvento[],Tabelas!$F$1,FALSE),"")&amp;IF(AND(tblHorasFev[Evento 
(2º Período)]&lt;&gt;"",tblHorasFev[Evento 
(2º Período)]&lt;&gt;tblHorasFev[Evento 
(1º Período)])," - " &amp; VLOOKUP(tblHorasFev[Evento 
(2º Período)],tblEvento[],Tabelas!$F$1,FALSE),"")</f>
        <v/>
      </c>
    </row>
    <row r="18" spans="2:20" x14ac:dyDescent="0.25">
      <c r="B18" s="11" t="str">
        <f t="shared" si="0"/>
        <v/>
      </c>
      <c r="C18" s="12" t="str">
        <f>TEXT(tblHorasFev[Data],"ddd")</f>
        <v/>
      </c>
      <c r="D18" s="25"/>
      <c r="E18" s="1"/>
      <c r="F18" s="1"/>
      <c r="G18" s="1"/>
      <c r="H18" s="1"/>
      <c r="I18" s="53"/>
      <c r="J18" s="4">
        <f>IF($B$6&lt;&gt;"",
IF(AND(tblHorasFev[Evento 
(1º Período)]&lt;&gt;"",IF(ISERROR(VLOOKUP(tblHorasFev[Evento 
(1º Período)],tblEvento[],Tabelas!$D$1,FALSE)),FALSE,VLOOKUP(tblHorasFev[Evento 
(1º Período)],tblEvento[],Tabelas!$D$1,FALSE)="Sim")),
        IF(JORNADA_PERIODO_1&lt;&gt;"",
IF(VLOOKUP(tblHorasFev[Dia],tblDiaUtil[[Abreviatura]:[1º Período]],3,FALSE)&gt;0,VLOOKUP(tblHorasFev[Dia],tblDiaUtil[[Abreviatura]:[1º Período]],3,FALSE),JORNADA_PERIODO_1),
IF(VLOOKUP(tblHorasFev[Dia],tblDiaUtil[[Abreviatura]:[1º Período]],3,FALSE)&gt;0,VLOOKUP(tblHorasFev[Dia],tblDiaUtil[[Abreviatura]:[1º Período]],3,FALSE),JORNADA/2)),
        IF(AND(ISNUMBER(tblHorasFev[Saída - 1 (Almoço)]),ISNUMBER(tblHorasFev[Entrada - 1])),
              IF(OR(AND(tblHorasFev[Evento 
(1º Período)]&lt;&gt;"",IF(ISERROR(VLOOKUP(tblHorasFev[Evento 
(1º Período)],tblEvento[],Tabelas!$E$1,FALSE)),FALSE,VLOOKUP(tblHorasFev[Evento 
(1º Período)],tblEvento[],Tabelas!$E$1,FALSE)="Sim")),IF(VLOOKUP(TEXT(tblHorasFev[Data],"dddd"),tblDiaUtil[],2,FALSE)="Não",TRUE,FALSE)),
                   tblHorasFev[Saída - 1 (Almoço)]-tblHorasFev[Entrada - 1],
                   IF(OR(HOUR(tblHorasFev[Saída - 1 (Almoço)]-tblHorasFev[Entrada - 1])&gt;0,ROUND(tblHorasFev[Saída - 1 (Almoço)]-tblHorasFev[Entrada - 1],6)&gt;ROUND(CARENCIA,6)),
                          tblHorasFev[Saída - 1 (Almoço)]-tblHorasFev[Entrada - 1],
                          0)),
                    0)),0)</f>
        <v>0</v>
      </c>
      <c r="K18" s="4">
        <f>IF($B$6&lt;&gt;"",
IF(AND(tblHorasFev[Evento 
(2º Período)]&lt;&gt;"",IF(ISERROR(VLOOKUP(tblHorasFev[Evento 
(2º Período)],tblEvento[],Tabelas!$D$1,FALSE)),FALSE,VLOOKUP(tblHorasFev[Evento 
(2º Período)],tblEvento[],Tabelas!$D$1,FALSE)="Sim")),
        IF(JORNADA_PERIODO_2&lt;&gt;"",
IF(VLOOKUP(tblHorasFev[Dia],tblDiaUtil[[Abreviatura]:[2º Período]],4,FALSE)&gt;0,VLOOKUP(tblHorasFev[Dia],tblDiaUtil[[Abreviatura]:[2º Período]],4,FALSE),JORNADA_PERIODO_2),
IF(VLOOKUP(tblHorasFev[Dia],tblDiaUtil[[Abreviatura]:[2º Período]],4,FALSE)&gt;0,VLOOKUP(tblHorasFev[Dia],tblDiaUtil[[Abreviatura]:[2º Período]],4,FALSE),JORNADA/2)),
        IF(AND(ISNUMBER(tblHorasFev[Saída - 2]),ISNUMBER(tblHorasFev[Entrada - 2 (Almoço)])),
              IF(OR(AND(tblHorasFev[Evento 
(2º Período)]&lt;&gt;"",IF(ISERROR(VLOOKUP(tblHorasFev[Evento 
(2º Período)],tblEvento[],Tabelas!$E$1,FALSE)),FALSE,VLOOKUP(tblHorasFev[Evento 
(2º Período)],tblEvento[],Tabelas!$E$1,FALSE)="Sim")),IF(VLOOKUP(TEXT(tblHorasFev[Data],"dddd"),tblDiaUtil[],2,FALSE)="Não",TRUE,FALSE)),
                   tblHorasFev[Saída - 2]-tblHorasFev[Entrada - 2 (Almoço)],
                   IF(OR(HOUR(tblHorasFev[Saída - 2]-tblHorasFev[Entrada - 2 (Almoço)])&gt;0,MINUTE(tblHorasFev[Saída - 2]-tblHorasFev[Entrada - 2 (Almoço)])&gt;CARENCIA),
                         tblHorasFev[Saída - 2]-tblHorasFev[Entrada - 2 (Almoço)],
                         0)),
       0)),0)</f>
        <v>0</v>
      </c>
      <c r="L18" s="4">
        <f>tblHorasFev[Horas Trabalhadas (1º Período)]+tblHorasFev[Horas Trabalhadas (2º Período)]</f>
        <v>0</v>
      </c>
      <c r="M18" s="4" t="str">
        <f>IF(tblHorasFev[Data]&lt;&gt;"",
        IF(
AND(VLOOKUP(TEXT(tblHorasFev[Data],"dddd"),tblDiaUtil[],3,FALSE)="Sim",IF(tblHorasFev[Evento 
(1º Período)]&lt;&gt;"",IF(VLOOKUP(tblHorasFev[Evento 
(1º Período)],tblEvento[],Tabelas!$E$1,FALSE)="Sim",FALSE,TRUE),TRUE),IF(tblHorasFev[Evento 
(2º Período)]&lt;&gt;"",IF(VLOOKUP(tblHorasFev[Evento 
(2º Período)],tblEvento[],Tabelas!$E$1,FALSE)="Sim",FALSE,TRUE),TRUE)),
              IF(VLOOKUP(tblHorasFev[Dia],tblDiaUtil[[Abreviatura]:[1º Período]],3,FALSE)&gt;0,VLOOKUP(tblHorasFev[Dia],tblDiaUtil[[Abreviatura]:[1º Período]],3,FALSE),JORNADA),
              ""),
         "")</f>
        <v/>
      </c>
      <c r="N18" s="14">
        <f>IF(OR(tblHorasFev[Horas Trabalhadas (1º Período)]&lt;&gt;0,tblHorasFev[Horas Trabalhadas (2º Período)]&lt;&gt;0),
        IF(ISNUMBER(tblHorasFev[Jornada Diária]),
              IF(tblHorasFev[Jornada Diária]&gt;(tblHorasFev[Horas Trabalhadas (2º Período)]+tblHorasFev[Horas Trabalhadas (1º Período)]),
                     IF(ROUND((tblHorasFev[Jornada Diária]-(tblHorasFev[Horas Trabalhadas (2º Período)]+tblHorasFev[Horas Trabalhadas (1º Período)])),6)&gt;ROUND(CARENCIA,6),
                           -tblHorasFev[Jornada Diária]+(tblHorasFev[Horas Trabalhadas (2º Período)]+tblHorasFev[Horas Trabalhadas (1º Período)]),
                           0),
                      IF(ROUND((tblHorasFev[Jornada Diária]-(tblHorasFev[Horas Trabalhadas (2º Período)]+tblHorasFev[Horas Trabalhadas (1º Período)])),6)&lt;ROUND(-CARENCIA,6),
                           -tblHorasFev[Jornada Diária]+(tblHorasFev[Horas Trabalhadas (2º Período)]+tblHorasFev[Horas Trabalhadas (1º Período)]),
                           0)),
              tblHorasFev[Horas Trabalhadas (2º Período)]+tblHorasFev[Horas Trabalhadas (1º Período)]),
         IF(AND(IF(ISERROR(VLOOKUP(tblHorasFev[Evento 
(1º Período)],tblEvento[[Evento]:[Libera o Período]],4,FALSE)),FALSE,IF(VLOOKUP(tblHorasFev[Evento 
(1º Período)],tblEvento[[Evento]:[Libera o Período]],4,FALSE)="Não",TRUE,FALSE)),IF(ISERROR(VLOOKUP(tblHorasFev[Evento 
(2º Período)],tblEvento[[Evento]:[Libera o Período]],4,FALSE)),FALSE,IF(VLOOKUP(tblHorasFev[Evento 
(2º Período)],tblEvento[[Evento]:[Libera o Período]],4,FALSE)="Não",TRUE,FALSE))),
-IF(VLOOKUP(tblHorasFev[Dia],tblDiaUtil[[Abreviatura]:[Total Jornada]],5,FALSE)&lt;&gt;"",VLOOKUP(tblHorasFev[Dia],tblDiaUtil[[Abreviatura]:[Total Jornada]],5,FALSE),JORNADA),
IF(IF(ISERROR(VLOOKUP(tblHorasFev[Evento 
(1º Período)],tblEvento[[Evento]:[Libera o Período]],4,FALSE)),FALSE,
IF(VLOOKUP(tblHorasFev[Evento 
(1º Período)],tblEvento[[Evento]:[Libera o Período]],4,FALSE)="Não",TRUE,FALSE)
),
-IF(VLOOKUP(tblHorasFev[Dia],tblDiaUtil[[Abreviatura]:[1º Período]],3,FALSE)&lt;&gt;"",VLOOKUP(tblHorasFev[Dia],tblDiaUtil[[Abreviatura]:[1º Período]],3,FALSE),JORNADA_PERIODO_1),
IF(IF(ISERROR(VLOOKUP(tblHorasFev[Evento 
(2º Período)],tblEvento[[Evento]:[Libera o Período]],4,FALSE)),FALSE,IF(VLOOKUP(tblHorasFev[Evento 
(2º Período)],tblEvento[[Evento]:[Libera o Período]],4,FALSE)="Não",TRUE,FALSE)),
-IF(VLOOKUP(tblHorasFev[Dia],tblDiaUtil[[Abreviatura]:[2º Período]],4,FALSE)&lt;&gt;"",VLOOKUP(tblHorasFev[Dia],tblDiaUtil[[Abreviatura]:[2º Período]],4,FALSE),JORNADA_PERIODO_2),0))))</f>
        <v>0</v>
      </c>
      <c r="O18" s="14">
        <f>IF(tblHorasFev[Horas Trabalhadas Além Jornada]&gt;0,
        IF(ISNUMBER(tblHorasFev[Jornada Diária]),
              IF(HOUR(tblHorasFev[Horas Trabalhadas Além Jornada])&gt;=VLOOKUP(LIMITE,tblLimiteHora[],Tabelas!$I$1,FALSE),
                    VLOOKUP(LIMITE,tblLimiteHora[],Tabelas!$J$1,FALSE),
                    tblHorasFev[Horas Trabalhadas Além Jornada]),
              tblHorasFev[Horas Trabalhadas Além Jornada]),
        tblHorasFev[Horas Trabalhadas Além Jornada])+O17</f>
        <v>0</v>
      </c>
      <c r="P18" s="14" t="str">
        <f>IF(tblHorasFev[Horas Trabalhadas Além Jornada]&lt;0,IF(OR(tblHorasFev[Evento 
(1º Período)]="",tblHorasFev[Evento 
(2º Período)]=""),tblHorasFev[Horas Trabalhadas Além Jornada],""),"")</f>
        <v/>
      </c>
      <c r="Q18" s="14" t="str">
        <f>IF(tblHorasFev[Jornada Diária]&lt;&gt;"",IF((N(tblHorasFev[Jornada Diária])-ABS(N(tblHorasFev[Horas Trabalhadas Além Jornada])))=0,1,""),"")</f>
        <v/>
      </c>
      <c r="R18" s="14" t="str">
        <f>IF(tblHorasFev[Horas Trabalhadas Além Jornada]&gt;0,
IF(AND(VLOOKUP(TEXT(tblHorasFev[Data],"dddd"),tblDiaUtil[],3,FALSE)="Sim",IF(tblHorasFev[Evento 
(1º Período)]&lt;&gt;"",IF(VLOOKUP(tblHorasFev[Evento 
(1º Período)],tblEvento[],Tabelas!$E$1,FALSE)="Sim",FALSE,TRUE),TRUE),IF(tblHorasFev[Evento 
(2º Período)]&lt;&gt;"",IF(VLOOKUP(tblHorasFev[Evento 
(2º Período)],tblEvento[],Tabelas!$E$1,FALSE)="Sim",FALSE,TRUE),TRUE)),
tblHorasFev[Horas Trabalhadas Além Jornada],""),"")</f>
        <v/>
      </c>
      <c r="S18" s="14" t="str">
        <f>IF(tblHorasFev[Horas Trabalhadas Além Jornada]&gt;0,
IF(OR(VLOOKUP(TEXT(tblHorasFev[Data],"dddd"),tblDiaUtil[],3,FALSE)="Não",IF(tblHorasFev[Evento 
(1º Período)]&lt;&gt;"",IF(VLOOKUP(tblHorasFev[Evento 
(1º Período)],tblEvento[],Tabelas!$E$1,FALSE)="Sim",TRUE,FALSE),FALSE),IF(tblHorasFev[Evento 
(2º Período)]&lt;&gt;"",IF(VLOOKUP(tblHorasFev[Evento 
(2º Período)],tblEvento[],Tabelas!$E$1,FALSE)="Sim",TRUE,FALSE),FALSE)),
tblHorasFev[Horas Trabalhadas Além Jornada],""),"")</f>
        <v/>
      </c>
      <c r="T18" s="15" t="str">
        <f>IF(tblHorasFev[Evento 
(1º Período)]&lt;&gt;""," - " &amp;VLOOKUP(tblHorasFev[Evento 
(1º Período)],tblEvento[],Tabelas!$F$1,FALSE),"")&amp;IF(AND(tblHorasFev[Evento 
(2º Período)]&lt;&gt;"",tblHorasFev[Evento 
(2º Período)]&lt;&gt;tblHorasFev[Evento 
(1º Período)])," - " &amp; VLOOKUP(tblHorasFev[Evento 
(2º Período)],tblEvento[],Tabelas!$F$1,FALSE),"")</f>
        <v/>
      </c>
    </row>
    <row r="19" spans="2:20" x14ac:dyDescent="0.25">
      <c r="B19" s="11" t="str">
        <f t="shared" si="0"/>
        <v/>
      </c>
      <c r="C19" s="12" t="str">
        <f>TEXT(tblHorasFev[Data],"ddd")</f>
        <v/>
      </c>
      <c r="D19" s="25"/>
      <c r="E19" s="1"/>
      <c r="F19" s="1"/>
      <c r="G19" s="1"/>
      <c r="H19" s="1"/>
      <c r="I19" s="53"/>
      <c r="J19" s="4">
        <f>IF($B$6&lt;&gt;"",
IF(AND(tblHorasFev[Evento 
(1º Período)]&lt;&gt;"",IF(ISERROR(VLOOKUP(tblHorasFev[Evento 
(1º Período)],tblEvento[],Tabelas!$D$1,FALSE)),FALSE,VLOOKUP(tblHorasFev[Evento 
(1º Período)],tblEvento[],Tabelas!$D$1,FALSE)="Sim")),
        IF(JORNADA_PERIODO_1&lt;&gt;"",
IF(VLOOKUP(tblHorasFev[Dia],tblDiaUtil[[Abreviatura]:[1º Período]],3,FALSE)&gt;0,VLOOKUP(tblHorasFev[Dia],tblDiaUtil[[Abreviatura]:[1º Período]],3,FALSE),JORNADA_PERIODO_1),
IF(VLOOKUP(tblHorasFev[Dia],tblDiaUtil[[Abreviatura]:[1º Período]],3,FALSE)&gt;0,VLOOKUP(tblHorasFev[Dia],tblDiaUtil[[Abreviatura]:[1º Período]],3,FALSE),JORNADA/2)),
        IF(AND(ISNUMBER(tblHorasFev[Saída - 1 (Almoço)]),ISNUMBER(tblHorasFev[Entrada - 1])),
              IF(OR(AND(tblHorasFev[Evento 
(1º Período)]&lt;&gt;"",IF(ISERROR(VLOOKUP(tblHorasFev[Evento 
(1º Período)],tblEvento[],Tabelas!$E$1,FALSE)),FALSE,VLOOKUP(tblHorasFev[Evento 
(1º Período)],tblEvento[],Tabelas!$E$1,FALSE)="Sim")),IF(VLOOKUP(TEXT(tblHorasFev[Data],"dddd"),tblDiaUtil[],2,FALSE)="Não",TRUE,FALSE)),
                   tblHorasFev[Saída - 1 (Almoço)]-tblHorasFev[Entrada - 1],
                   IF(OR(HOUR(tblHorasFev[Saída - 1 (Almoço)]-tblHorasFev[Entrada - 1])&gt;0,ROUND(tblHorasFev[Saída - 1 (Almoço)]-tblHorasFev[Entrada - 1],6)&gt;ROUND(CARENCIA,6)),
                          tblHorasFev[Saída - 1 (Almoço)]-tblHorasFev[Entrada - 1],
                          0)),
                    0)),0)</f>
        <v>0</v>
      </c>
      <c r="K19" s="4">
        <f>IF($B$6&lt;&gt;"",
IF(AND(tblHorasFev[Evento 
(2º Período)]&lt;&gt;"",IF(ISERROR(VLOOKUP(tblHorasFev[Evento 
(2º Período)],tblEvento[],Tabelas!$D$1,FALSE)),FALSE,VLOOKUP(tblHorasFev[Evento 
(2º Período)],tblEvento[],Tabelas!$D$1,FALSE)="Sim")),
        IF(JORNADA_PERIODO_2&lt;&gt;"",
IF(VLOOKUP(tblHorasFev[Dia],tblDiaUtil[[Abreviatura]:[2º Período]],4,FALSE)&gt;0,VLOOKUP(tblHorasFev[Dia],tblDiaUtil[[Abreviatura]:[2º Período]],4,FALSE),JORNADA_PERIODO_2),
IF(VLOOKUP(tblHorasFev[Dia],tblDiaUtil[[Abreviatura]:[2º Período]],4,FALSE)&gt;0,VLOOKUP(tblHorasFev[Dia],tblDiaUtil[[Abreviatura]:[2º Período]],4,FALSE),JORNADA/2)),
        IF(AND(ISNUMBER(tblHorasFev[Saída - 2]),ISNUMBER(tblHorasFev[Entrada - 2 (Almoço)])),
              IF(OR(AND(tblHorasFev[Evento 
(2º Período)]&lt;&gt;"",IF(ISERROR(VLOOKUP(tblHorasFev[Evento 
(2º Período)],tblEvento[],Tabelas!$E$1,FALSE)),FALSE,VLOOKUP(tblHorasFev[Evento 
(2º Período)],tblEvento[],Tabelas!$E$1,FALSE)="Sim")),IF(VLOOKUP(TEXT(tblHorasFev[Data],"dddd"),tblDiaUtil[],2,FALSE)="Não",TRUE,FALSE)),
                   tblHorasFev[Saída - 2]-tblHorasFev[Entrada - 2 (Almoço)],
                   IF(OR(HOUR(tblHorasFev[Saída - 2]-tblHorasFev[Entrada - 2 (Almoço)])&gt;0,MINUTE(tblHorasFev[Saída - 2]-tblHorasFev[Entrada - 2 (Almoço)])&gt;CARENCIA),
                         tblHorasFev[Saída - 2]-tblHorasFev[Entrada - 2 (Almoço)],
                         0)),
       0)),0)</f>
        <v>0</v>
      </c>
      <c r="L19" s="4">
        <f>tblHorasFev[Horas Trabalhadas (1º Período)]+tblHorasFev[Horas Trabalhadas (2º Período)]</f>
        <v>0</v>
      </c>
      <c r="M19" s="4" t="str">
        <f>IF(tblHorasFev[Data]&lt;&gt;"",
        IF(
AND(VLOOKUP(TEXT(tblHorasFev[Data],"dddd"),tblDiaUtil[],3,FALSE)="Sim",IF(tblHorasFev[Evento 
(1º Período)]&lt;&gt;"",IF(VLOOKUP(tblHorasFev[Evento 
(1º Período)],tblEvento[],Tabelas!$E$1,FALSE)="Sim",FALSE,TRUE),TRUE),IF(tblHorasFev[Evento 
(2º Período)]&lt;&gt;"",IF(VLOOKUP(tblHorasFev[Evento 
(2º Período)],tblEvento[],Tabelas!$E$1,FALSE)="Sim",FALSE,TRUE),TRUE)),
              IF(VLOOKUP(tblHorasFev[Dia],tblDiaUtil[[Abreviatura]:[1º Período]],3,FALSE)&gt;0,VLOOKUP(tblHorasFev[Dia],tblDiaUtil[[Abreviatura]:[1º Período]],3,FALSE),JORNADA),
              ""),
         "")</f>
        <v/>
      </c>
      <c r="N19" s="14">
        <f>IF(OR(tblHorasFev[Horas Trabalhadas (1º Período)]&lt;&gt;0,tblHorasFev[Horas Trabalhadas (2º Período)]&lt;&gt;0),
        IF(ISNUMBER(tblHorasFev[Jornada Diária]),
              IF(tblHorasFev[Jornada Diária]&gt;(tblHorasFev[Horas Trabalhadas (2º Período)]+tblHorasFev[Horas Trabalhadas (1º Período)]),
                     IF(ROUND((tblHorasFev[Jornada Diária]-(tblHorasFev[Horas Trabalhadas (2º Período)]+tblHorasFev[Horas Trabalhadas (1º Período)])),6)&gt;ROUND(CARENCIA,6),
                           -tblHorasFev[Jornada Diária]+(tblHorasFev[Horas Trabalhadas (2º Período)]+tblHorasFev[Horas Trabalhadas (1º Período)]),
                           0),
                      IF(ROUND((tblHorasFev[Jornada Diária]-(tblHorasFev[Horas Trabalhadas (2º Período)]+tblHorasFev[Horas Trabalhadas (1º Período)])),6)&lt;ROUND(-CARENCIA,6),
                           -tblHorasFev[Jornada Diária]+(tblHorasFev[Horas Trabalhadas (2º Período)]+tblHorasFev[Horas Trabalhadas (1º Período)]),
                           0)),
              tblHorasFev[Horas Trabalhadas (2º Período)]+tblHorasFev[Horas Trabalhadas (1º Período)]),
         IF(AND(IF(ISERROR(VLOOKUP(tblHorasFev[Evento 
(1º Período)],tblEvento[[Evento]:[Libera o Período]],4,FALSE)),FALSE,IF(VLOOKUP(tblHorasFev[Evento 
(1º Período)],tblEvento[[Evento]:[Libera o Período]],4,FALSE)="Não",TRUE,FALSE)),IF(ISERROR(VLOOKUP(tblHorasFev[Evento 
(2º Período)],tblEvento[[Evento]:[Libera o Período]],4,FALSE)),FALSE,IF(VLOOKUP(tblHorasFev[Evento 
(2º Período)],tblEvento[[Evento]:[Libera o Período]],4,FALSE)="Não",TRUE,FALSE))),
-IF(VLOOKUP(tblHorasFev[Dia],tblDiaUtil[[Abreviatura]:[Total Jornada]],5,FALSE)&lt;&gt;"",VLOOKUP(tblHorasFev[Dia],tblDiaUtil[[Abreviatura]:[Total Jornada]],5,FALSE),JORNADA),
IF(IF(ISERROR(VLOOKUP(tblHorasFev[Evento 
(1º Período)],tblEvento[[Evento]:[Libera o Período]],4,FALSE)),FALSE,
IF(VLOOKUP(tblHorasFev[Evento 
(1º Período)],tblEvento[[Evento]:[Libera o Período]],4,FALSE)="Não",TRUE,FALSE)
),
-IF(VLOOKUP(tblHorasFev[Dia],tblDiaUtil[[Abreviatura]:[1º Período]],3,FALSE)&lt;&gt;"",VLOOKUP(tblHorasFev[Dia],tblDiaUtil[[Abreviatura]:[1º Período]],3,FALSE),JORNADA_PERIODO_1),
IF(IF(ISERROR(VLOOKUP(tblHorasFev[Evento 
(2º Período)],tblEvento[[Evento]:[Libera o Período]],4,FALSE)),FALSE,IF(VLOOKUP(tblHorasFev[Evento 
(2º Período)],tblEvento[[Evento]:[Libera o Período]],4,FALSE)="Não",TRUE,FALSE)),
-IF(VLOOKUP(tblHorasFev[Dia],tblDiaUtil[[Abreviatura]:[2º Período]],4,FALSE)&lt;&gt;"",VLOOKUP(tblHorasFev[Dia],tblDiaUtil[[Abreviatura]:[2º Período]],4,FALSE),JORNADA_PERIODO_2),0))))</f>
        <v>0</v>
      </c>
      <c r="O19" s="14">
        <f>IF(tblHorasFev[Horas Trabalhadas Além Jornada]&gt;0,
        IF(ISNUMBER(tblHorasFev[Jornada Diária]),
              IF(HOUR(tblHorasFev[Horas Trabalhadas Além Jornada])&gt;=VLOOKUP(LIMITE,tblLimiteHora[],Tabelas!$I$1,FALSE),
                    VLOOKUP(LIMITE,tblLimiteHora[],Tabelas!$J$1,FALSE),
                    tblHorasFev[Horas Trabalhadas Além Jornada]),
              tblHorasFev[Horas Trabalhadas Além Jornada]),
        tblHorasFev[Horas Trabalhadas Além Jornada])+O18</f>
        <v>0</v>
      </c>
      <c r="P19" s="14" t="str">
        <f>IF(tblHorasFev[Horas Trabalhadas Além Jornada]&lt;0,IF(OR(tblHorasFev[Evento 
(1º Período)]="",tblHorasFev[Evento 
(2º Período)]=""),tblHorasFev[Horas Trabalhadas Além Jornada],""),"")</f>
        <v/>
      </c>
      <c r="Q19" s="14" t="str">
        <f>IF(tblHorasFev[Jornada Diária]&lt;&gt;"",IF((N(tblHorasFev[Jornada Diária])-ABS(N(tblHorasFev[Horas Trabalhadas Além Jornada])))=0,1,""),"")</f>
        <v/>
      </c>
      <c r="R19" s="14" t="str">
        <f>IF(tblHorasFev[Horas Trabalhadas Além Jornada]&gt;0,
IF(AND(VLOOKUP(TEXT(tblHorasFev[Data],"dddd"),tblDiaUtil[],3,FALSE)="Sim",IF(tblHorasFev[Evento 
(1º Período)]&lt;&gt;"",IF(VLOOKUP(tblHorasFev[Evento 
(1º Período)],tblEvento[],Tabelas!$E$1,FALSE)="Sim",FALSE,TRUE),TRUE),IF(tblHorasFev[Evento 
(2º Período)]&lt;&gt;"",IF(VLOOKUP(tblHorasFev[Evento 
(2º Período)],tblEvento[],Tabelas!$E$1,FALSE)="Sim",FALSE,TRUE),TRUE)),
tblHorasFev[Horas Trabalhadas Além Jornada],""),"")</f>
        <v/>
      </c>
      <c r="S19" s="14" t="str">
        <f>IF(tblHorasFev[Horas Trabalhadas Além Jornada]&gt;0,
IF(OR(VLOOKUP(TEXT(tblHorasFev[Data],"dddd"),tblDiaUtil[],3,FALSE)="Não",IF(tblHorasFev[Evento 
(1º Período)]&lt;&gt;"",IF(VLOOKUP(tblHorasFev[Evento 
(1º Período)],tblEvento[],Tabelas!$E$1,FALSE)="Sim",TRUE,FALSE),FALSE),IF(tblHorasFev[Evento 
(2º Período)]&lt;&gt;"",IF(VLOOKUP(tblHorasFev[Evento 
(2º Período)],tblEvento[],Tabelas!$E$1,FALSE)="Sim",TRUE,FALSE),FALSE)),
tblHorasFev[Horas Trabalhadas Além Jornada],""),"")</f>
        <v/>
      </c>
      <c r="T19" s="15" t="str">
        <f>IF(tblHorasFev[Evento 
(1º Período)]&lt;&gt;""," - " &amp;VLOOKUP(tblHorasFev[Evento 
(1º Período)],tblEvento[],Tabelas!$F$1,FALSE),"")&amp;IF(AND(tblHorasFev[Evento 
(2º Período)]&lt;&gt;"",tblHorasFev[Evento 
(2º Período)]&lt;&gt;tblHorasFev[Evento 
(1º Período)])," - " &amp; VLOOKUP(tblHorasFev[Evento 
(2º Período)],tblEvento[],Tabelas!$F$1,FALSE),"")</f>
        <v/>
      </c>
    </row>
    <row r="20" spans="2:20" x14ac:dyDescent="0.25">
      <c r="B20" s="11" t="str">
        <f t="shared" si="0"/>
        <v/>
      </c>
      <c r="C20" s="12" t="str">
        <f>TEXT(tblHorasFev[Data],"ddd")</f>
        <v/>
      </c>
      <c r="D20" s="25"/>
      <c r="E20" s="1"/>
      <c r="F20" s="1"/>
      <c r="G20" s="1"/>
      <c r="H20" s="1"/>
      <c r="I20" s="53"/>
      <c r="J20" s="4">
        <f>IF($B$6&lt;&gt;"",
IF(AND(tblHorasFev[Evento 
(1º Período)]&lt;&gt;"",IF(ISERROR(VLOOKUP(tblHorasFev[Evento 
(1º Período)],tblEvento[],Tabelas!$D$1,FALSE)),FALSE,VLOOKUP(tblHorasFev[Evento 
(1º Período)],tblEvento[],Tabelas!$D$1,FALSE)="Sim")),
        IF(JORNADA_PERIODO_1&lt;&gt;"",
IF(VLOOKUP(tblHorasFev[Dia],tblDiaUtil[[Abreviatura]:[1º Período]],3,FALSE)&gt;0,VLOOKUP(tblHorasFev[Dia],tblDiaUtil[[Abreviatura]:[1º Período]],3,FALSE),JORNADA_PERIODO_1),
IF(VLOOKUP(tblHorasFev[Dia],tblDiaUtil[[Abreviatura]:[1º Período]],3,FALSE)&gt;0,VLOOKUP(tblHorasFev[Dia],tblDiaUtil[[Abreviatura]:[1º Período]],3,FALSE),JORNADA/2)),
        IF(AND(ISNUMBER(tblHorasFev[Saída - 1 (Almoço)]),ISNUMBER(tblHorasFev[Entrada - 1])),
              IF(OR(AND(tblHorasFev[Evento 
(1º Período)]&lt;&gt;"",IF(ISERROR(VLOOKUP(tblHorasFev[Evento 
(1º Período)],tblEvento[],Tabelas!$E$1,FALSE)),FALSE,VLOOKUP(tblHorasFev[Evento 
(1º Período)],tblEvento[],Tabelas!$E$1,FALSE)="Sim")),IF(VLOOKUP(TEXT(tblHorasFev[Data],"dddd"),tblDiaUtil[],2,FALSE)="Não",TRUE,FALSE)),
                   tblHorasFev[Saída - 1 (Almoço)]-tblHorasFev[Entrada - 1],
                   IF(OR(HOUR(tblHorasFev[Saída - 1 (Almoço)]-tblHorasFev[Entrada - 1])&gt;0,ROUND(tblHorasFev[Saída - 1 (Almoço)]-tblHorasFev[Entrada - 1],6)&gt;ROUND(CARENCIA,6)),
                          tblHorasFev[Saída - 1 (Almoço)]-tblHorasFev[Entrada - 1],
                          0)),
                    0)),0)</f>
        <v>0</v>
      </c>
      <c r="K20" s="4">
        <f>IF($B$6&lt;&gt;"",
IF(AND(tblHorasFev[Evento 
(2º Período)]&lt;&gt;"",IF(ISERROR(VLOOKUP(tblHorasFev[Evento 
(2º Período)],tblEvento[],Tabelas!$D$1,FALSE)),FALSE,VLOOKUP(tblHorasFev[Evento 
(2º Período)],tblEvento[],Tabelas!$D$1,FALSE)="Sim")),
        IF(JORNADA_PERIODO_2&lt;&gt;"",
IF(VLOOKUP(tblHorasFev[Dia],tblDiaUtil[[Abreviatura]:[2º Período]],4,FALSE)&gt;0,VLOOKUP(tblHorasFev[Dia],tblDiaUtil[[Abreviatura]:[2º Período]],4,FALSE),JORNADA_PERIODO_2),
IF(VLOOKUP(tblHorasFev[Dia],tblDiaUtil[[Abreviatura]:[2º Período]],4,FALSE)&gt;0,VLOOKUP(tblHorasFev[Dia],tblDiaUtil[[Abreviatura]:[2º Período]],4,FALSE),JORNADA/2)),
        IF(AND(ISNUMBER(tblHorasFev[Saída - 2]),ISNUMBER(tblHorasFev[Entrada - 2 (Almoço)])),
              IF(OR(AND(tblHorasFev[Evento 
(2º Período)]&lt;&gt;"",IF(ISERROR(VLOOKUP(tblHorasFev[Evento 
(2º Período)],tblEvento[],Tabelas!$E$1,FALSE)),FALSE,VLOOKUP(tblHorasFev[Evento 
(2º Período)],tblEvento[],Tabelas!$E$1,FALSE)="Sim")),IF(VLOOKUP(TEXT(tblHorasFev[Data],"dddd"),tblDiaUtil[],2,FALSE)="Não",TRUE,FALSE)),
                   tblHorasFev[Saída - 2]-tblHorasFev[Entrada - 2 (Almoço)],
                   IF(OR(HOUR(tblHorasFev[Saída - 2]-tblHorasFev[Entrada - 2 (Almoço)])&gt;0,MINUTE(tblHorasFev[Saída - 2]-tblHorasFev[Entrada - 2 (Almoço)])&gt;CARENCIA),
                         tblHorasFev[Saída - 2]-tblHorasFev[Entrada - 2 (Almoço)],
                         0)),
       0)),0)</f>
        <v>0</v>
      </c>
      <c r="L20" s="4">
        <f>tblHorasFev[Horas Trabalhadas (1º Período)]+tblHorasFev[Horas Trabalhadas (2º Período)]</f>
        <v>0</v>
      </c>
      <c r="M20" s="4" t="str">
        <f>IF(tblHorasFev[Data]&lt;&gt;"",
        IF(
AND(VLOOKUP(TEXT(tblHorasFev[Data],"dddd"),tblDiaUtil[],3,FALSE)="Sim",IF(tblHorasFev[Evento 
(1º Período)]&lt;&gt;"",IF(VLOOKUP(tblHorasFev[Evento 
(1º Período)],tblEvento[],Tabelas!$E$1,FALSE)="Sim",FALSE,TRUE),TRUE),IF(tblHorasFev[Evento 
(2º Período)]&lt;&gt;"",IF(VLOOKUP(tblHorasFev[Evento 
(2º Período)],tblEvento[],Tabelas!$E$1,FALSE)="Sim",FALSE,TRUE),TRUE)),
              IF(VLOOKUP(tblHorasFev[Dia],tblDiaUtil[[Abreviatura]:[1º Período]],3,FALSE)&gt;0,VLOOKUP(tblHorasFev[Dia],tblDiaUtil[[Abreviatura]:[1º Período]],3,FALSE),JORNADA),
              ""),
         "")</f>
        <v/>
      </c>
      <c r="N20" s="14">
        <f>IF(OR(tblHorasFev[Horas Trabalhadas (1º Período)]&lt;&gt;0,tblHorasFev[Horas Trabalhadas (2º Período)]&lt;&gt;0),
        IF(ISNUMBER(tblHorasFev[Jornada Diária]),
              IF(tblHorasFev[Jornada Diária]&gt;(tblHorasFev[Horas Trabalhadas (2º Período)]+tblHorasFev[Horas Trabalhadas (1º Período)]),
                     IF(ROUND((tblHorasFev[Jornada Diária]-(tblHorasFev[Horas Trabalhadas (2º Período)]+tblHorasFev[Horas Trabalhadas (1º Período)])),6)&gt;ROUND(CARENCIA,6),
                           -tblHorasFev[Jornada Diária]+(tblHorasFev[Horas Trabalhadas (2º Período)]+tblHorasFev[Horas Trabalhadas (1º Período)]),
                           0),
                      IF(ROUND((tblHorasFev[Jornada Diária]-(tblHorasFev[Horas Trabalhadas (2º Período)]+tblHorasFev[Horas Trabalhadas (1º Período)])),6)&lt;ROUND(-CARENCIA,6),
                           -tblHorasFev[Jornada Diária]+(tblHorasFev[Horas Trabalhadas (2º Período)]+tblHorasFev[Horas Trabalhadas (1º Período)]),
                           0)),
              tblHorasFev[Horas Trabalhadas (2º Período)]+tblHorasFev[Horas Trabalhadas (1º Período)]),
         IF(AND(IF(ISERROR(VLOOKUP(tblHorasFev[Evento 
(1º Período)],tblEvento[[Evento]:[Libera o Período]],4,FALSE)),FALSE,IF(VLOOKUP(tblHorasFev[Evento 
(1º Período)],tblEvento[[Evento]:[Libera o Período]],4,FALSE)="Não",TRUE,FALSE)),IF(ISERROR(VLOOKUP(tblHorasFev[Evento 
(2º Período)],tblEvento[[Evento]:[Libera o Período]],4,FALSE)),FALSE,IF(VLOOKUP(tblHorasFev[Evento 
(2º Período)],tblEvento[[Evento]:[Libera o Período]],4,FALSE)="Não",TRUE,FALSE))),
-IF(VLOOKUP(tblHorasFev[Dia],tblDiaUtil[[Abreviatura]:[Total Jornada]],5,FALSE)&lt;&gt;"",VLOOKUP(tblHorasFev[Dia],tblDiaUtil[[Abreviatura]:[Total Jornada]],5,FALSE),JORNADA),
IF(IF(ISERROR(VLOOKUP(tblHorasFev[Evento 
(1º Período)],tblEvento[[Evento]:[Libera o Período]],4,FALSE)),FALSE,
IF(VLOOKUP(tblHorasFev[Evento 
(1º Período)],tblEvento[[Evento]:[Libera o Período]],4,FALSE)="Não",TRUE,FALSE)
),
-IF(VLOOKUP(tblHorasFev[Dia],tblDiaUtil[[Abreviatura]:[1º Período]],3,FALSE)&lt;&gt;"",VLOOKUP(tblHorasFev[Dia],tblDiaUtil[[Abreviatura]:[1º Período]],3,FALSE),JORNADA_PERIODO_1),
IF(IF(ISERROR(VLOOKUP(tblHorasFev[Evento 
(2º Período)],tblEvento[[Evento]:[Libera o Período]],4,FALSE)),FALSE,IF(VLOOKUP(tblHorasFev[Evento 
(2º Período)],tblEvento[[Evento]:[Libera o Período]],4,FALSE)="Não",TRUE,FALSE)),
-IF(VLOOKUP(tblHorasFev[Dia],tblDiaUtil[[Abreviatura]:[2º Período]],4,FALSE)&lt;&gt;"",VLOOKUP(tblHorasFev[Dia],tblDiaUtil[[Abreviatura]:[2º Período]],4,FALSE),JORNADA_PERIODO_2),0))))</f>
        <v>0</v>
      </c>
      <c r="O20" s="14">
        <f>IF(tblHorasFev[Horas Trabalhadas Além Jornada]&gt;0,
        IF(ISNUMBER(tblHorasFev[Jornada Diária]),
              IF(HOUR(tblHorasFev[Horas Trabalhadas Além Jornada])&gt;=VLOOKUP(LIMITE,tblLimiteHora[],Tabelas!$I$1,FALSE),
                    VLOOKUP(LIMITE,tblLimiteHora[],Tabelas!$J$1,FALSE),
                    tblHorasFev[Horas Trabalhadas Além Jornada]),
              tblHorasFev[Horas Trabalhadas Além Jornada]),
        tblHorasFev[Horas Trabalhadas Além Jornada])+O19</f>
        <v>0</v>
      </c>
      <c r="P20" s="14" t="str">
        <f>IF(tblHorasFev[Horas Trabalhadas Além Jornada]&lt;0,IF(OR(tblHorasFev[Evento 
(1º Período)]="",tblHorasFev[Evento 
(2º Período)]=""),tblHorasFev[Horas Trabalhadas Além Jornada],""),"")</f>
        <v/>
      </c>
      <c r="Q20" s="14" t="str">
        <f>IF(tblHorasFev[Jornada Diária]&lt;&gt;"",IF((N(tblHorasFev[Jornada Diária])-ABS(N(tblHorasFev[Horas Trabalhadas Além Jornada])))=0,1,""),"")</f>
        <v/>
      </c>
      <c r="R20" s="14" t="str">
        <f>IF(tblHorasFev[Horas Trabalhadas Além Jornada]&gt;0,
IF(AND(VLOOKUP(TEXT(tblHorasFev[Data],"dddd"),tblDiaUtil[],3,FALSE)="Sim",IF(tblHorasFev[Evento 
(1º Período)]&lt;&gt;"",IF(VLOOKUP(tblHorasFev[Evento 
(1º Período)],tblEvento[],Tabelas!$E$1,FALSE)="Sim",FALSE,TRUE),TRUE),IF(tblHorasFev[Evento 
(2º Período)]&lt;&gt;"",IF(VLOOKUP(tblHorasFev[Evento 
(2º Período)],tblEvento[],Tabelas!$E$1,FALSE)="Sim",FALSE,TRUE),TRUE)),
tblHorasFev[Horas Trabalhadas Além Jornada],""),"")</f>
        <v/>
      </c>
      <c r="S20" s="14" t="str">
        <f>IF(tblHorasFev[Horas Trabalhadas Além Jornada]&gt;0,
IF(OR(VLOOKUP(TEXT(tblHorasFev[Data],"dddd"),tblDiaUtil[],3,FALSE)="Não",IF(tblHorasFev[Evento 
(1º Período)]&lt;&gt;"",IF(VLOOKUP(tblHorasFev[Evento 
(1º Período)],tblEvento[],Tabelas!$E$1,FALSE)="Sim",TRUE,FALSE),FALSE),IF(tblHorasFev[Evento 
(2º Período)]&lt;&gt;"",IF(VLOOKUP(tblHorasFev[Evento 
(2º Período)],tblEvento[],Tabelas!$E$1,FALSE)="Sim",TRUE,FALSE),FALSE)),
tblHorasFev[Horas Trabalhadas Além Jornada],""),"")</f>
        <v/>
      </c>
      <c r="T20" s="15" t="str">
        <f>IF(tblHorasFev[Evento 
(1º Período)]&lt;&gt;""," - " &amp;VLOOKUP(tblHorasFev[Evento 
(1º Período)],tblEvento[],Tabelas!$F$1,FALSE),"")&amp;IF(AND(tblHorasFev[Evento 
(2º Período)]&lt;&gt;"",tblHorasFev[Evento 
(2º Período)]&lt;&gt;tblHorasFev[Evento 
(1º Período)])," - " &amp; VLOOKUP(tblHorasFev[Evento 
(2º Período)],tblEvento[],Tabelas!$F$1,FALSE),"")</f>
        <v/>
      </c>
    </row>
    <row r="21" spans="2:20" x14ac:dyDescent="0.25">
      <c r="B21" s="11" t="str">
        <f t="shared" si="0"/>
        <v/>
      </c>
      <c r="C21" s="12" t="str">
        <f>TEXT(tblHorasFev[Data],"ddd")</f>
        <v/>
      </c>
      <c r="D21" s="25"/>
      <c r="E21" s="1"/>
      <c r="F21" s="1"/>
      <c r="G21" s="1"/>
      <c r="H21" s="1"/>
      <c r="I21" s="53"/>
      <c r="J21" s="4">
        <f>IF($B$6&lt;&gt;"",
IF(AND(tblHorasFev[Evento 
(1º Período)]&lt;&gt;"",IF(ISERROR(VLOOKUP(tblHorasFev[Evento 
(1º Período)],tblEvento[],Tabelas!$D$1,FALSE)),FALSE,VLOOKUP(tblHorasFev[Evento 
(1º Período)],tblEvento[],Tabelas!$D$1,FALSE)="Sim")),
        IF(JORNADA_PERIODO_1&lt;&gt;"",
IF(VLOOKUP(tblHorasFev[Dia],tblDiaUtil[[Abreviatura]:[1º Período]],3,FALSE)&gt;0,VLOOKUP(tblHorasFev[Dia],tblDiaUtil[[Abreviatura]:[1º Período]],3,FALSE),JORNADA_PERIODO_1),
IF(VLOOKUP(tblHorasFev[Dia],tblDiaUtil[[Abreviatura]:[1º Período]],3,FALSE)&gt;0,VLOOKUP(tblHorasFev[Dia],tblDiaUtil[[Abreviatura]:[1º Período]],3,FALSE),JORNADA/2)),
        IF(AND(ISNUMBER(tblHorasFev[Saída - 1 (Almoço)]),ISNUMBER(tblHorasFev[Entrada - 1])),
              IF(OR(AND(tblHorasFev[Evento 
(1º Período)]&lt;&gt;"",IF(ISERROR(VLOOKUP(tblHorasFev[Evento 
(1º Período)],tblEvento[],Tabelas!$E$1,FALSE)),FALSE,VLOOKUP(tblHorasFev[Evento 
(1º Período)],tblEvento[],Tabelas!$E$1,FALSE)="Sim")),IF(VLOOKUP(TEXT(tblHorasFev[Data],"dddd"),tblDiaUtil[],2,FALSE)="Não",TRUE,FALSE)),
                   tblHorasFev[Saída - 1 (Almoço)]-tblHorasFev[Entrada - 1],
                   IF(OR(HOUR(tblHorasFev[Saída - 1 (Almoço)]-tblHorasFev[Entrada - 1])&gt;0,ROUND(tblHorasFev[Saída - 1 (Almoço)]-tblHorasFev[Entrada - 1],6)&gt;ROUND(CARENCIA,6)),
                          tblHorasFev[Saída - 1 (Almoço)]-tblHorasFev[Entrada - 1],
                          0)),
                    0)),0)</f>
        <v>0</v>
      </c>
      <c r="K21" s="4">
        <f>IF($B$6&lt;&gt;"",
IF(AND(tblHorasFev[Evento 
(2º Período)]&lt;&gt;"",IF(ISERROR(VLOOKUP(tblHorasFev[Evento 
(2º Período)],tblEvento[],Tabelas!$D$1,FALSE)),FALSE,VLOOKUP(tblHorasFev[Evento 
(2º Período)],tblEvento[],Tabelas!$D$1,FALSE)="Sim")),
        IF(JORNADA_PERIODO_2&lt;&gt;"",
IF(VLOOKUP(tblHorasFev[Dia],tblDiaUtil[[Abreviatura]:[2º Período]],4,FALSE)&gt;0,VLOOKUP(tblHorasFev[Dia],tblDiaUtil[[Abreviatura]:[2º Período]],4,FALSE),JORNADA_PERIODO_2),
IF(VLOOKUP(tblHorasFev[Dia],tblDiaUtil[[Abreviatura]:[2º Período]],4,FALSE)&gt;0,VLOOKUP(tblHorasFev[Dia],tblDiaUtil[[Abreviatura]:[2º Período]],4,FALSE),JORNADA/2)),
        IF(AND(ISNUMBER(tblHorasFev[Saída - 2]),ISNUMBER(tblHorasFev[Entrada - 2 (Almoço)])),
              IF(OR(AND(tblHorasFev[Evento 
(2º Período)]&lt;&gt;"",IF(ISERROR(VLOOKUP(tblHorasFev[Evento 
(2º Período)],tblEvento[],Tabelas!$E$1,FALSE)),FALSE,VLOOKUP(tblHorasFev[Evento 
(2º Período)],tblEvento[],Tabelas!$E$1,FALSE)="Sim")),IF(VLOOKUP(TEXT(tblHorasFev[Data],"dddd"),tblDiaUtil[],2,FALSE)="Não",TRUE,FALSE)),
                   tblHorasFev[Saída - 2]-tblHorasFev[Entrada - 2 (Almoço)],
                   IF(OR(HOUR(tblHorasFev[Saída - 2]-tblHorasFev[Entrada - 2 (Almoço)])&gt;0,MINUTE(tblHorasFev[Saída - 2]-tblHorasFev[Entrada - 2 (Almoço)])&gt;CARENCIA),
                         tblHorasFev[Saída - 2]-tblHorasFev[Entrada - 2 (Almoço)],
                         0)),
       0)),0)</f>
        <v>0</v>
      </c>
      <c r="L21" s="4">
        <f>tblHorasFev[Horas Trabalhadas (1º Período)]+tblHorasFev[Horas Trabalhadas (2º Período)]</f>
        <v>0</v>
      </c>
      <c r="M21" s="4" t="str">
        <f>IF(tblHorasFev[Data]&lt;&gt;"",
        IF(
AND(VLOOKUP(TEXT(tblHorasFev[Data],"dddd"),tblDiaUtil[],3,FALSE)="Sim",IF(tblHorasFev[Evento 
(1º Período)]&lt;&gt;"",IF(VLOOKUP(tblHorasFev[Evento 
(1º Período)],tblEvento[],Tabelas!$E$1,FALSE)="Sim",FALSE,TRUE),TRUE),IF(tblHorasFev[Evento 
(2º Período)]&lt;&gt;"",IF(VLOOKUP(tblHorasFev[Evento 
(2º Período)],tblEvento[],Tabelas!$E$1,FALSE)="Sim",FALSE,TRUE),TRUE)),
              IF(VLOOKUP(tblHorasFev[Dia],tblDiaUtil[[Abreviatura]:[1º Período]],3,FALSE)&gt;0,VLOOKUP(tblHorasFev[Dia],tblDiaUtil[[Abreviatura]:[1º Período]],3,FALSE),JORNADA),
              ""),
         "")</f>
        <v/>
      </c>
      <c r="N21" s="14">
        <f>IF(OR(tblHorasFev[Horas Trabalhadas (1º Período)]&lt;&gt;0,tblHorasFev[Horas Trabalhadas (2º Período)]&lt;&gt;0),
        IF(ISNUMBER(tblHorasFev[Jornada Diária]),
              IF(tblHorasFev[Jornada Diária]&gt;(tblHorasFev[Horas Trabalhadas (2º Período)]+tblHorasFev[Horas Trabalhadas (1º Período)]),
                     IF(ROUND((tblHorasFev[Jornada Diária]-(tblHorasFev[Horas Trabalhadas (2º Período)]+tblHorasFev[Horas Trabalhadas (1º Período)])),6)&gt;ROUND(CARENCIA,6),
                           -tblHorasFev[Jornada Diária]+(tblHorasFev[Horas Trabalhadas (2º Período)]+tblHorasFev[Horas Trabalhadas (1º Período)]),
                           0),
                      IF(ROUND((tblHorasFev[Jornada Diária]-(tblHorasFev[Horas Trabalhadas (2º Período)]+tblHorasFev[Horas Trabalhadas (1º Período)])),6)&lt;ROUND(-CARENCIA,6),
                           -tblHorasFev[Jornada Diária]+(tblHorasFev[Horas Trabalhadas (2º Período)]+tblHorasFev[Horas Trabalhadas (1º Período)]),
                           0)),
              tblHorasFev[Horas Trabalhadas (2º Período)]+tblHorasFev[Horas Trabalhadas (1º Período)]),
         IF(AND(IF(ISERROR(VLOOKUP(tblHorasFev[Evento 
(1º Período)],tblEvento[[Evento]:[Libera o Período]],4,FALSE)),FALSE,IF(VLOOKUP(tblHorasFev[Evento 
(1º Período)],tblEvento[[Evento]:[Libera o Período]],4,FALSE)="Não",TRUE,FALSE)),IF(ISERROR(VLOOKUP(tblHorasFev[Evento 
(2º Período)],tblEvento[[Evento]:[Libera o Período]],4,FALSE)),FALSE,IF(VLOOKUP(tblHorasFev[Evento 
(2º Período)],tblEvento[[Evento]:[Libera o Período]],4,FALSE)="Não",TRUE,FALSE))),
-IF(VLOOKUP(tblHorasFev[Dia],tblDiaUtil[[Abreviatura]:[Total Jornada]],5,FALSE)&lt;&gt;"",VLOOKUP(tblHorasFev[Dia],tblDiaUtil[[Abreviatura]:[Total Jornada]],5,FALSE),JORNADA),
IF(IF(ISERROR(VLOOKUP(tblHorasFev[Evento 
(1º Período)],tblEvento[[Evento]:[Libera o Período]],4,FALSE)),FALSE,
IF(VLOOKUP(tblHorasFev[Evento 
(1º Período)],tblEvento[[Evento]:[Libera o Período]],4,FALSE)="Não",TRUE,FALSE)
),
-IF(VLOOKUP(tblHorasFev[Dia],tblDiaUtil[[Abreviatura]:[1º Período]],3,FALSE)&lt;&gt;"",VLOOKUP(tblHorasFev[Dia],tblDiaUtil[[Abreviatura]:[1º Período]],3,FALSE),JORNADA_PERIODO_1),
IF(IF(ISERROR(VLOOKUP(tblHorasFev[Evento 
(2º Período)],tblEvento[[Evento]:[Libera o Período]],4,FALSE)),FALSE,IF(VLOOKUP(tblHorasFev[Evento 
(2º Período)],tblEvento[[Evento]:[Libera o Período]],4,FALSE)="Não",TRUE,FALSE)),
-IF(VLOOKUP(tblHorasFev[Dia],tblDiaUtil[[Abreviatura]:[2º Período]],4,FALSE)&lt;&gt;"",VLOOKUP(tblHorasFev[Dia],tblDiaUtil[[Abreviatura]:[2º Período]],4,FALSE),JORNADA_PERIODO_2),0))))</f>
        <v>0</v>
      </c>
      <c r="O21" s="14">
        <f>IF(tblHorasFev[Horas Trabalhadas Além Jornada]&gt;0,
        IF(ISNUMBER(tblHorasFev[Jornada Diária]),
              IF(HOUR(tblHorasFev[Horas Trabalhadas Além Jornada])&gt;=VLOOKUP(LIMITE,tblLimiteHora[],Tabelas!$I$1,FALSE),
                    VLOOKUP(LIMITE,tblLimiteHora[],Tabelas!$J$1,FALSE),
                    tblHorasFev[Horas Trabalhadas Além Jornada]),
              tblHorasFev[Horas Trabalhadas Além Jornada]),
        tblHorasFev[Horas Trabalhadas Além Jornada])+O20</f>
        <v>0</v>
      </c>
      <c r="P21" s="14" t="str">
        <f>IF(tblHorasFev[Horas Trabalhadas Além Jornada]&lt;0,IF(OR(tblHorasFev[Evento 
(1º Período)]="",tblHorasFev[Evento 
(2º Período)]=""),tblHorasFev[Horas Trabalhadas Além Jornada],""),"")</f>
        <v/>
      </c>
      <c r="Q21" s="14" t="str">
        <f>IF(tblHorasFev[Jornada Diária]&lt;&gt;"",IF((N(tblHorasFev[Jornada Diária])-ABS(N(tblHorasFev[Horas Trabalhadas Além Jornada])))=0,1,""),"")</f>
        <v/>
      </c>
      <c r="R21" s="14" t="str">
        <f>IF(tblHorasFev[Horas Trabalhadas Além Jornada]&gt;0,
IF(AND(VLOOKUP(TEXT(tblHorasFev[Data],"dddd"),tblDiaUtil[],3,FALSE)="Sim",IF(tblHorasFev[Evento 
(1º Período)]&lt;&gt;"",IF(VLOOKUP(tblHorasFev[Evento 
(1º Período)],tblEvento[],Tabelas!$E$1,FALSE)="Sim",FALSE,TRUE),TRUE),IF(tblHorasFev[Evento 
(2º Período)]&lt;&gt;"",IF(VLOOKUP(tblHorasFev[Evento 
(2º Período)],tblEvento[],Tabelas!$E$1,FALSE)="Sim",FALSE,TRUE),TRUE)),
tblHorasFev[Horas Trabalhadas Além Jornada],""),"")</f>
        <v/>
      </c>
      <c r="S21" s="14" t="str">
        <f>IF(tblHorasFev[Horas Trabalhadas Além Jornada]&gt;0,
IF(OR(VLOOKUP(TEXT(tblHorasFev[Data],"dddd"),tblDiaUtil[],3,FALSE)="Não",IF(tblHorasFev[Evento 
(1º Período)]&lt;&gt;"",IF(VLOOKUP(tblHorasFev[Evento 
(1º Período)],tblEvento[],Tabelas!$E$1,FALSE)="Sim",TRUE,FALSE),FALSE),IF(tblHorasFev[Evento 
(2º Período)]&lt;&gt;"",IF(VLOOKUP(tblHorasFev[Evento 
(2º Período)],tblEvento[],Tabelas!$E$1,FALSE)="Sim",TRUE,FALSE),FALSE)),
tblHorasFev[Horas Trabalhadas Além Jornada],""),"")</f>
        <v/>
      </c>
      <c r="T21" s="15" t="str">
        <f>IF(tblHorasFev[Evento 
(1º Período)]&lt;&gt;""," - " &amp;VLOOKUP(tblHorasFev[Evento 
(1º Período)],tblEvento[],Tabelas!$F$1,FALSE),"")&amp;IF(AND(tblHorasFev[Evento 
(2º Período)]&lt;&gt;"",tblHorasFev[Evento 
(2º Período)]&lt;&gt;tblHorasFev[Evento 
(1º Período)])," - " &amp; VLOOKUP(tblHorasFev[Evento 
(2º Período)],tblEvento[],Tabelas!$F$1,FALSE),"")</f>
        <v/>
      </c>
    </row>
    <row r="22" spans="2:20" x14ac:dyDescent="0.25">
      <c r="B22" s="11" t="str">
        <f t="shared" si="0"/>
        <v/>
      </c>
      <c r="C22" s="12" t="str">
        <f>TEXT(tblHorasFev[Data],"ddd")</f>
        <v/>
      </c>
      <c r="D22" s="25"/>
      <c r="E22" s="1"/>
      <c r="F22" s="1"/>
      <c r="G22" s="1"/>
      <c r="H22" s="1"/>
      <c r="I22" s="53"/>
      <c r="J22" s="4">
        <f>IF($B$6&lt;&gt;"",
IF(AND(tblHorasFev[Evento 
(1º Período)]&lt;&gt;"",IF(ISERROR(VLOOKUP(tblHorasFev[Evento 
(1º Período)],tblEvento[],Tabelas!$D$1,FALSE)),FALSE,VLOOKUP(tblHorasFev[Evento 
(1º Período)],tblEvento[],Tabelas!$D$1,FALSE)="Sim")),
        IF(JORNADA_PERIODO_1&lt;&gt;"",
IF(VLOOKUP(tblHorasFev[Dia],tblDiaUtil[[Abreviatura]:[1º Período]],3,FALSE)&gt;0,VLOOKUP(tblHorasFev[Dia],tblDiaUtil[[Abreviatura]:[1º Período]],3,FALSE),JORNADA_PERIODO_1),
IF(VLOOKUP(tblHorasFev[Dia],tblDiaUtil[[Abreviatura]:[1º Período]],3,FALSE)&gt;0,VLOOKUP(tblHorasFev[Dia],tblDiaUtil[[Abreviatura]:[1º Período]],3,FALSE),JORNADA/2)),
        IF(AND(ISNUMBER(tblHorasFev[Saída - 1 (Almoço)]),ISNUMBER(tblHorasFev[Entrada - 1])),
              IF(OR(AND(tblHorasFev[Evento 
(1º Período)]&lt;&gt;"",IF(ISERROR(VLOOKUP(tblHorasFev[Evento 
(1º Período)],tblEvento[],Tabelas!$E$1,FALSE)),FALSE,VLOOKUP(tblHorasFev[Evento 
(1º Período)],tblEvento[],Tabelas!$E$1,FALSE)="Sim")),IF(VLOOKUP(TEXT(tblHorasFev[Data],"dddd"),tblDiaUtil[],2,FALSE)="Não",TRUE,FALSE)),
                   tblHorasFev[Saída - 1 (Almoço)]-tblHorasFev[Entrada - 1],
                   IF(OR(HOUR(tblHorasFev[Saída - 1 (Almoço)]-tblHorasFev[Entrada - 1])&gt;0,ROUND(tblHorasFev[Saída - 1 (Almoço)]-tblHorasFev[Entrada - 1],6)&gt;ROUND(CARENCIA,6)),
                          tblHorasFev[Saída - 1 (Almoço)]-tblHorasFev[Entrada - 1],
                          0)),
                    0)),0)</f>
        <v>0</v>
      </c>
      <c r="K22" s="4">
        <f>IF($B$6&lt;&gt;"",
IF(AND(tblHorasFev[Evento 
(2º Período)]&lt;&gt;"",IF(ISERROR(VLOOKUP(tblHorasFev[Evento 
(2º Período)],tblEvento[],Tabelas!$D$1,FALSE)),FALSE,VLOOKUP(tblHorasFev[Evento 
(2º Período)],tblEvento[],Tabelas!$D$1,FALSE)="Sim")),
        IF(JORNADA_PERIODO_2&lt;&gt;"",
IF(VLOOKUP(tblHorasFev[Dia],tblDiaUtil[[Abreviatura]:[2º Período]],4,FALSE)&gt;0,VLOOKUP(tblHorasFev[Dia],tblDiaUtil[[Abreviatura]:[2º Período]],4,FALSE),JORNADA_PERIODO_2),
IF(VLOOKUP(tblHorasFev[Dia],tblDiaUtil[[Abreviatura]:[2º Período]],4,FALSE)&gt;0,VLOOKUP(tblHorasFev[Dia],tblDiaUtil[[Abreviatura]:[2º Período]],4,FALSE),JORNADA/2)),
        IF(AND(ISNUMBER(tblHorasFev[Saída - 2]),ISNUMBER(tblHorasFev[Entrada - 2 (Almoço)])),
              IF(OR(AND(tblHorasFev[Evento 
(2º Período)]&lt;&gt;"",IF(ISERROR(VLOOKUP(tblHorasFev[Evento 
(2º Período)],tblEvento[],Tabelas!$E$1,FALSE)),FALSE,VLOOKUP(tblHorasFev[Evento 
(2º Período)],tblEvento[],Tabelas!$E$1,FALSE)="Sim")),IF(VLOOKUP(TEXT(tblHorasFev[Data],"dddd"),tblDiaUtil[],2,FALSE)="Não",TRUE,FALSE)),
                   tblHorasFev[Saída - 2]-tblHorasFev[Entrada - 2 (Almoço)],
                   IF(OR(HOUR(tblHorasFev[Saída - 2]-tblHorasFev[Entrada - 2 (Almoço)])&gt;0,MINUTE(tblHorasFev[Saída - 2]-tblHorasFev[Entrada - 2 (Almoço)])&gt;CARENCIA),
                         tblHorasFev[Saída - 2]-tblHorasFev[Entrada - 2 (Almoço)],
                         0)),
       0)),0)</f>
        <v>0</v>
      </c>
      <c r="L22" s="4">
        <f>tblHorasFev[Horas Trabalhadas (1º Período)]+tblHorasFev[Horas Trabalhadas (2º Período)]</f>
        <v>0</v>
      </c>
      <c r="M22" s="4" t="str">
        <f>IF(tblHorasFev[Data]&lt;&gt;"",
        IF(
AND(VLOOKUP(TEXT(tblHorasFev[Data],"dddd"),tblDiaUtil[],3,FALSE)="Sim",IF(tblHorasFev[Evento 
(1º Período)]&lt;&gt;"",IF(VLOOKUP(tblHorasFev[Evento 
(1º Período)],tblEvento[],Tabelas!$E$1,FALSE)="Sim",FALSE,TRUE),TRUE),IF(tblHorasFev[Evento 
(2º Período)]&lt;&gt;"",IF(VLOOKUP(tblHorasFev[Evento 
(2º Período)],tblEvento[],Tabelas!$E$1,FALSE)="Sim",FALSE,TRUE),TRUE)),
              IF(VLOOKUP(tblHorasFev[Dia],tblDiaUtil[[Abreviatura]:[1º Período]],3,FALSE)&gt;0,VLOOKUP(tblHorasFev[Dia],tblDiaUtil[[Abreviatura]:[1º Período]],3,FALSE),JORNADA),
              ""),
         "")</f>
        <v/>
      </c>
      <c r="N22" s="14">
        <f>IF(OR(tblHorasFev[Horas Trabalhadas (1º Período)]&lt;&gt;0,tblHorasFev[Horas Trabalhadas (2º Período)]&lt;&gt;0),
        IF(ISNUMBER(tblHorasFev[Jornada Diária]),
              IF(tblHorasFev[Jornada Diária]&gt;(tblHorasFev[Horas Trabalhadas (2º Período)]+tblHorasFev[Horas Trabalhadas (1º Período)]),
                     IF(ROUND((tblHorasFev[Jornada Diária]-(tblHorasFev[Horas Trabalhadas (2º Período)]+tblHorasFev[Horas Trabalhadas (1º Período)])),6)&gt;ROUND(CARENCIA,6),
                           -tblHorasFev[Jornada Diária]+(tblHorasFev[Horas Trabalhadas (2º Período)]+tblHorasFev[Horas Trabalhadas (1º Período)]),
                           0),
                      IF(ROUND((tblHorasFev[Jornada Diária]-(tblHorasFev[Horas Trabalhadas (2º Período)]+tblHorasFev[Horas Trabalhadas (1º Período)])),6)&lt;ROUND(-CARENCIA,6),
                           -tblHorasFev[Jornada Diária]+(tblHorasFev[Horas Trabalhadas (2º Período)]+tblHorasFev[Horas Trabalhadas (1º Período)]),
                           0)),
              tblHorasFev[Horas Trabalhadas (2º Período)]+tblHorasFev[Horas Trabalhadas (1º Período)]),
         IF(AND(IF(ISERROR(VLOOKUP(tblHorasFev[Evento 
(1º Período)],tblEvento[[Evento]:[Libera o Período]],4,FALSE)),FALSE,IF(VLOOKUP(tblHorasFev[Evento 
(1º Período)],tblEvento[[Evento]:[Libera o Período]],4,FALSE)="Não",TRUE,FALSE)),IF(ISERROR(VLOOKUP(tblHorasFev[Evento 
(2º Período)],tblEvento[[Evento]:[Libera o Período]],4,FALSE)),FALSE,IF(VLOOKUP(tblHorasFev[Evento 
(2º Período)],tblEvento[[Evento]:[Libera o Período]],4,FALSE)="Não",TRUE,FALSE))),
-IF(VLOOKUP(tblHorasFev[Dia],tblDiaUtil[[Abreviatura]:[Total Jornada]],5,FALSE)&lt;&gt;"",VLOOKUP(tblHorasFev[Dia],tblDiaUtil[[Abreviatura]:[Total Jornada]],5,FALSE),JORNADA),
IF(IF(ISERROR(VLOOKUP(tblHorasFev[Evento 
(1º Período)],tblEvento[[Evento]:[Libera o Período]],4,FALSE)),FALSE,
IF(VLOOKUP(tblHorasFev[Evento 
(1º Período)],tblEvento[[Evento]:[Libera o Período]],4,FALSE)="Não",TRUE,FALSE)
),
-IF(VLOOKUP(tblHorasFev[Dia],tblDiaUtil[[Abreviatura]:[1º Período]],3,FALSE)&lt;&gt;"",VLOOKUP(tblHorasFev[Dia],tblDiaUtil[[Abreviatura]:[1º Período]],3,FALSE),JORNADA_PERIODO_1),
IF(IF(ISERROR(VLOOKUP(tblHorasFev[Evento 
(2º Período)],tblEvento[[Evento]:[Libera o Período]],4,FALSE)),FALSE,IF(VLOOKUP(tblHorasFev[Evento 
(2º Período)],tblEvento[[Evento]:[Libera o Período]],4,FALSE)="Não",TRUE,FALSE)),
-IF(VLOOKUP(tblHorasFev[Dia],tblDiaUtil[[Abreviatura]:[2º Período]],4,FALSE)&lt;&gt;"",VLOOKUP(tblHorasFev[Dia],tblDiaUtil[[Abreviatura]:[2º Período]],4,FALSE),JORNADA_PERIODO_2),0))))</f>
        <v>0</v>
      </c>
      <c r="O22" s="14">
        <f>IF(tblHorasFev[Horas Trabalhadas Além Jornada]&gt;0,
        IF(ISNUMBER(tblHorasFev[Jornada Diária]),
              IF(HOUR(tblHorasFev[Horas Trabalhadas Além Jornada])&gt;=VLOOKUP(LIMITE,tblLimiteHora[],Tabelas!$I$1,FALSE),
                    VLOOKUP(LIMITE,tblLimiteHora[],Tabelas!$J$1,FALSE),
                    tblHorasFev[Horas Trabalhadas Além Jornada]),
              tblHorasFev[Horas Trabalhadas Além Jornada]),
        tblHorasFev[Horas Trabalhadas Além Jornada])+O21</f>
        <v>0</v>
      </c>
      <c r="P22" s="14" t="str">
        <f>IF(tblHorasFev[Horas Trabalhadas Além Jornada]&lt;0,IF(OR(tblHorasFev[Evento 
(1º Período)]="",tblHorasFev[Evento 
(2º Período)]=""),tblHorasFev[Horas Trabalhadas Além Jornada],""),"")</f>
        <v/>
      </c>
      <c r="Q22" s="14" t="str">
        <f>IF(tblHorasFev[Jornada Diária]&lt;&gt;"",IF((N(tblHorasFev[Jornada Diária])-ABS(N(tblHorasFev[Horas Trabalhadas Além Jornada])))=0,1,""),"")</f>
        <v/>
      </c>
      <c r="R22" s="14" t="str">
        <f>IF(tblHorasFev[Horas Trabalhadas Além Jornada]&gt;0,
IF(AND(VLOOKUP(TEXT(tblHorasFev[Data],"dddd"),tblDiaUtil[],3,FALSE)="Sim",IF(tblHorasFev[Evento 
(1º Período)]&lt;&gt;"",IF(VLOOKUP(tblHorasFev[Evento 
(1º Período)],tblEvento[],Tabelas!$E$1,FALSE)="Sim",FALSE,TRUE),TRUE),IF(tblHorasFev[Evento 
(2º Período)]&lt;&gt;"",IF(VLOOKUP(tblHorasFev[Evento 
(2º Período)],tblEvento[],Tabelas!$E$1,FALSE)="Sim",FALSE,TRUE),TRUE)),
tblHorasFev[Horas Trabalhadas Além Jornada],""),"")</f>
        <v/>
      </c>
      <c r="S22" s="14" t="str">
        <f>IF(tblHorasFev[Horas Trabalhadas Além Jornada]&gt;0,
IF(OR(VLOOKUP(TEXT(tblHorasFev[Data],"dddd"),tblDiaUtil[],3,FALSE)="Não",IF(tblHorasFev[Evento 
(1º Período)]&lt;&gt;"",IF(VLOOKUP(tblHorasFev[Evento 
(1º Período)],tblEvento[],Tabelas!$E$1,FALSE)="Sim",TRUE,FALSE),FALSE),IF(tblHorasFev[Evento 
(2º Período)]&lt;&gt;"",IF(VLOOKUP(tblHorasFev[Evento 
(2º Período)],tblEvento[],Tabelas!$E$1,FALSE)="Sim",TRUE,FALSE),FALSE)),
tblHorasFev[Horas Trabalhadas Além Jornada],""),"")</f>
        <v/>
      </c>
      <c r="T22" s="15" t="str">
        <f>IF(tblHorasFev[Evento 
(1º Período)]&lt;&gt;""," - " &amp;VLOOKUP(tblHorasFev[Evento 
(1º Período)],tblEvento[],Tabelas!$F$1,FALSE),"")&amp;IF(AND(tblHorasFev[Evento 
(2º Período)]&lt;&gt;"",tblHorasFev[Evento 
(2º Período)]&lt;&gt;tblHorasFev[Evento 
(1º Período)])," - " &amp; VLOOKUP(tblHorasFev[Evento 
(2º Período)],tblEvento[],Tabelas!$F$1,FALSE),"")</f>
        <v/>
      </c>
    </row>
    <row r="23" spans="2:20" x14ac:dyDescent="0.25">
      <c r="B23" s="11" t="str">
        <f t="shared" si="0"/>
        <v/>
      </c>
      <c r="C23" s="12" t="str">
        <f>TEXT(tblHorasFev[Data],"ddd")</f>
        <v/>
      </c>
      <c r="D23" s="25"/>
      <c r="E23" s="1"/>
      <c r="F23" s="1"/>
      <c r="G23" s="1"/>
      <c r="H23" s="1"/>
      <c r="I23" s="53"/>
      <c r="J23" s="4">
        <f>IF($B$6&lt;&gt;"",
IF(AND(tblHorasFev[Evento 
(1º Período)]&lt;&gt;"",IF(ISERROR(VLOOKUP(tblHorasFev[Evento 
(1º Período)],tblEvento[],Tabelas!$D$1,FALSE)),FALSE,VLOOKUP(tblHorasFev[Evento 
(1º Período)],tblEvento[],Tabelas!$D$1,FALSE)="Sim")),
        IF(JORNADA_PERIODO_1&lt;&gt;"",
IF(VLOOKUP(tblHorasFev[Dia],tblDiaUtil[[Abreviatura]:[1º Período]],3,FALSE)&gt;0,VLOOKUP(tblHorasFev[Dia],tblDiaUtil[[Abreviatura]:[1º Período]],3,FALSE),JORNADA_PERIODO_1),
IF(VLOOKUP(tblHorasFev[Dia],tblDiaUtil[[Abreviatura]:[1º Período]],3,FALSE)&gt;0,VLOOKUP(tblHorasFev[Dia],tblDiaUtil[[Abreviatura]:[1º Período]],3,FALSE),JORNADA/2)),
        IF(AND(ISNUMBER(tblHorasFev[Saída - 1 (Almoço)]),ISNUMBER(tblHorasFev[Entrada - 1])),
              IF(OR(AND(tblHorasFev[Evento 
(1º Período)]&lt;&gt;"",IF(ISERROR(VLOOKUP(tblHorasFev[Evento 
(1º Período)],tblEvento[],Tabelas!$E$1,FALSE)),FALSE,VLOOKUP(tblHorasFev[Evento 
(1º Período)],tblEvento[],Tabelas!$E$1,FALSE)="Sim")),IF(VLOOKUP(TEXT(tblHorasFev[Data],"dddd"),tblDiaUtil[],2,FALSE)="Não",TRUE,FALSE)),
                   tblHorasFev[Saída - 1 (Almoço)]-tblHorasFev[Entrada - 1],
                   IF(OR(HOUR(tblHorasFev[Saída - 1 (Almoço)]-tblHorasFev[Entrada - 1])&gt;0,ROUND(tblHorasFev[Saída - 1 (Almoço)]-tblHorasFev[Entrada - 1],6)&gt;ROUND(CARENCIA,6)),
                          tblHorasFev[Saída - 1 (Almoço)]-tblHorasFev[Entrada - 1],
                          0)),
                    0)),0)</f>
        <v>0</v>
      </c>
      <c r="K23" s="4">
        <f>IF($B$6&lt;&gt;"",
IF(AND(tblHorasFev[Evento 
(2º Período)]&lt;&gt;"",IF(ISERROR(VLOOKUP(tblHorasFev[Evento 
(2º Período)],tblEvento[],Tabelas!$D$1,FALSE)),FALSE,VLOOKUP(tblHorasFev[Evento 
(2º Período)],tblEvento[],Tabelas!$D$1,FALSE)="Sim")),
        IF(JORNADA_PERIODO_2&lt;&gt;"",
IF(VLOOKUP(tblHorasFev[Dia],tblDiaUtil[[Abreviatura]:[2º Período]],4,FALSE)&gt;0,VLOOKUP(tblHorasFev[Dia],tblDiaUtil[[Abreviatura]:[2º Período]],4,FALSE),JORNADA_PERIODO_2),
IF(VLOOKUP(tblHorasFev[Dia],tblDiaUtil[[Abreviatura]:[2º Período]],4,FALSE)&gt;0,VLOOKUP(tblHorasFev[Dia],tblDiaUtil[[Abreviatura]:[2º Período]],4,FALSE),JORNADA/2)),
        IF(AND(ISNUMBER(tblHorasFev[Saída - 2]),ISNUMBER(tblHorasFev[Entrada - 2 (Almoço)])),
              IF(OR(AND(tblHorasFev[Evento 
(2º Período)]&lt;&gt;"",IF(ISERROR(VLOOKUP(tblHorasFev[Evento 
(2º Período)],tblEvento[],Tabelas!$E$1,FALSE)),FALSE,VLOOKUP(tblHorasFev[Evento 
(2º Período)],tblEvento[],Tabelas!$E$1,FALSE)="Sim")),IF(VLOOKUP(TEXT(tblHorasFev[Data],"dddd"),tblDiaUtil[],2,FALSE)="Não",TRUE,FALSE)),
                   tblHorasFev[Saída - 2]-tblHorasFev[Entrada - 2 (Almoço)],
                   IF(OR(HOUR(tblHorasFev[Saída - 2]-tblHorasFev[Entrada - 2 (Almoço)])&gt;0,MINUTE(tblHorasFev[Saída - 2]-tblHorasFev[Entrada - 2 (Almoço)])&gt;CARENCIA),
                         tblHorasFev[Saída - 2]-tblHorasFev[Entrada - 2 (Almoço)],
                         0)),
       0)),0)</f>
        <v>0</v>
      </c>
      <c r="L23" s="4">
        <f>tblHorasFev[Horas Trabalhadas (1º Período)]+tblHorasFev[Horas Trabalhadas (2º Período)]</f>
        <v>0</v>
      </c>
      <c r="M23" s="4" t="str">
        <f>IF(tblHorasFev[Data]&lt;&gt;"",
        IF(
AND(VLOOKUP(TEXT(tblHorasFev[Data],"dddd"),tblDiaUtil[],3,FALSE)="Sim",IF(tblHorasFev[Evento 
(1º Período)]&lt;&gt;"",IF(VLOOKUP(tblHorasFev[Evento 
(1º Período)],tblEvento[],Tabelas!$E$1,FALSE)="Sim",FALSE,TRUE),TRUE),IF(tblHorasFev[Evento 
(2º Período)]&lt;&gt;"",IF(VLOOKUP(tblHorasFev[Evento 
(2º Período)],tblEvento[],Tabelas!$E$1,FALSE)="Sim",FALSE,TRUE),TRUE)),
              IF(VLOOKUP(tblHorasFev[Dia],tblDiaUtil[[Abreviatura]:[1º Período]],3,FALSE)&gt;0,VLOOKUP(tblHorasFev[Dia],tblDiaUtil[[Abreviatura]:[1º Período]],3,FALSE),JORNADA),
              ""),
         "")</f>
        <v/>
      </c>
      <c r="N23" s="14">
        <f>IF(OR(tblHorasFev[Horas Trabalhadas (1º Período)]&lt;&gt;0,tblHorasFev[Horas Trabalhadas (2º Período)]&lt;&gt;0),
        IF(ISNUMBER(tblHorasFev[Jornada Diária]),
              IF(tblHorasFev[Jornada Diária]&gt;(tblHorasFev[Horas Trabalhadas (2º Período)]+tblHorasFev[Horas Trabalhadas (1º Período)]),
                     IF(ROUND((tblHorasFev[Jornada Diária]-(tblHorasFev[Horas Trabalhadas (2º Período)]+tblHorasFev[Horas Trabalhadas (1º Período)])),6)&gt;ROUND(CARENCIA,6),
                           -tblHorasFev[Jornada Diária]+(tblHorasFev[Horas Trabalhadas (2º Período)]+tblHorasFev[Horas Trabalhadas (1º Período)]),
                           0),
                      IF(ROUND((tblHorasFev[Jornada Diária]-(tblHorasFev[Horas Trabalhadas (2º Período)]+tblHorasFev[Horas Trabalhadas (1º Período)])),6)&lt;ROUND(-CARENCIA,6),
                           -tblHorasFev[Jornada Diária]+(tblHorasFev[Horas Trabalhadas (2º Período)]+tblHorasFev[Horas Trabalhadas (1º Período)]),
                           0)),
              tblHorasFev[Horas Trabalhadas (2º Período)]+tblHorasFev[Horas Trabalhadas (1º Período)]),
         IF(AND(IF(ISERROR(VLOOKUP(tblHorasFev[Evento 
(1º Período)],tblEvento[[Evento]:[Libera o Período]],4,FALSE)),FALSE,IF(VLOOKUP(tblHorasFev[Evento 
(1º Período)],tblEvento[[Evento]:[Libera o Período]],4,FALSE)="Não",TRUE,FALSE)),IF(ISERROR(VLOOKUP(tblHorasFev[Evento 
(2º Período)],tblEvento[[Evento]:[Libera o Período]],4,FALSE)),FALSE,IF(VLOOKUP(tblHorasFev[Evento 
(2º Período)],tblEvento[[Evento]:[Libera o Período]],4,FALSE)="Não",TRUE,FALSE))),
-IF(VLOOKUP(tblHorasFev[Dia],tblDiaUtil[[Abreviatura]:[Total Jornada]],5,FALSE)&lt;&gt;"",VLOOKUP(tblHorasFev[Dia],tblDiaUtil[[Abreviatura]:[Total Jornada]],5,FALSE),JORNADA),
IF(IF(ISERROR(VLOOKUP(tblHorasFev[Evento 
(1º Período)],tblEvento[[Evento]:[Libera o Período]],4,FALSE)),FALSE,
IF(VLOOKUP(tblHorasFev[Evento 
(1º Período)],tblEvento[[Evento]:[Libera o Período]],4,FALSE)="Não",TRUE,FALSE)
),
-IF(VLOOKUP(tblHorasFev[Dia],tblDiaUtil[[Abreviatura]:[1º Período]],3,FALSE)&lt;&gt;"",VLOOKUP(tblHorasFev[Dia],tblDiaUtil[[Abreviatura]:[1º Período]],3,FALSE),JORNADA_PERIODO_1),
IF(IF(ISERROR(VLOOKUP(tblHorasFev[Evento 
(2º Período)],tblEvento[[Evento]:[Libera o Período]],4,FALSE)),FALSE,IF(VLOOKUP(tblHorasFev[Evento 
(2º Período)],tblEvento[[Evento]:[Libera o Período]],4,FALSE)="Não",TRUE,FALSE)),
-IF(VLOOKUP(tblHorasFev[Dia],tblDiaUtil[[Abreviatura]:[2º Período]],4,FALSE)&lt;&gt;"",VLOOKUP(tblHorasFev[Dia],tblDiaUtil[[Abreviatura]:[2º Período]],4,FALSE),JORNADA_PERIODO_2),0))))</f>
        <v>0</v>
      </c>
      <c r="O23" s="14">
        <f>IF(tblHorasFev[Horas Trabalhadas Além Jornada]&gt;0,
        IF(ISNUMBER(tblHorasFev[Jornada Diária]),
              IF(HOUR(tblHorasFev[Horas Trabalhadas Além Jornada])&gt;=VLOOKUP(LIMITE,tblLimiteHora[],Tabelas!$I$1,FALSE),
                    VLOOKUP(LIMITE,tblLimiteHora[],Tabelas!$J$1,FALSE),
                    tblHorasFev[Horas Trabalhadas Além Jornada]),
              tblHorasFev[Horas Trabalhadas Além Jornada]),
        tblHorasFev[Horas Trabalhadas Além Jornada])+O22</f>
        <v>0</v>
      </c>
      <c r="P23" s="14" t="str">
        <f>IF(tblHorasFev[Horas Trabalhadas Além Jornada]&lt;0,IF(OR(tblHorasFev[Evento 
(1º Período)]="",tblHorasFev[Evento 
(2º Período)]=""),tblHorasFev[Horas Trabalhadas Além Jornada],""),"")</f>
        <v/>
      </c>
      <c r="Q23" s="14" t="str">
        <f>IF(tblHorasFev[Jornada Diária]&lt;&gt;"",IF((N(tblHorasFev[Jornada Diária])-ABS(N(tblHorasFev[Horas Trabalhadas Além Jornada])))=0,1,""),"")</f>
        <v/>
      </c>
      <c r="R23" s="14" t="str">
        <f>IF(tblHorasFev[Horas Trabalhadas Além Jornada]&gt;0,
IF(AND(VLOOKUP(TEXT(tblHorasFev[Data],"dddd"),tblDiaUtil[],3,FALSE)="Sim",IF(tblHorasFev[Evento 
(1º Período)]&lt;&gt;"",IF(VLOOKUP(tblHorasFev[Evento 
(1º Período)],tblEvento[],Tabelas!$E$1,FALSE)="Sim",FALSE,TRUE),TRUE),IF(tblHorasFev[Evento 
(2º Período)]&lt;&gt;"",IF(VLOOKUP(tblHorasFev[Evento 
(2º Período)],tblEvento[],Tabelas!$E$1,FALSE)="Sim",FALSE,TRUE),TRUE)),
tblHorasFev[Horas Trabalhadas Além Jornada],""),"")</f>
        <v/>
      </c>
      <c r="S23" s="14" t="str">
        <f>IF(tblHorasFev[Horas Trabalhadas Além Jornada]&gt;0,
IF(OR(VLOOKUP(TEXT(tblHorasFev[Data],"dddd"),tblDiaUtil[],3,FALSE)="Não",IF(tblHorasFev[Evento 
(1º Período)]&lt;&gt;"",IF(VLOOKUP(tblHorasFev[Evento 
(1º Período)],tblEvento[],Tabelas!$E$1,FALSE)="Sim",TRUE,FALSE),FALSE),IF(tblHorasFev[Evento 
(2º Período)]&lt;&gt;"",IF(VLOOKUP(tblHorasFev[Evento 
(2º Período)],tblEvento[],Tabelas!$E$1,FALSE)="Sim",TRUE,FALSE),FALSE)),
tblHorasFev[Horas Trabalhadas Além Jornada],""),"")</f>
        <v/>
      </c>
      <c r="T23" s="15" t="str">
        <f>IF(tblHorasFev[Evento 
(1º Período)]&lt;&gt;""," - " &amp;VLOOKUP(tblHorasFev[Evento 
(1º Período)],tblEvento[],Tabelas!$F$1,FALSE),"")&amp;IF(AND(tblHorasFev[Evento 
(2º Período)]&lt;&gt;"",tblHorasFev[Evento 
(2º Período)]&lt;&gt;tblHorasFev[Evento 
(1º Período)])," - " &amp; VLOOKUP(tblHorasFev[Evento 
(2º Período)],tblEvento[],Tabelas!$F$1,FALSE),"")</f>
        <v/>
      </c>
    </row>
    <row r="24" spans="2:20" x14ac:dyDescent="0.25">
      <c r="B24" s="11" t="str">
        <f t="shared" si="0"/>
        <v/>
      </c>
      <c r="C24" s="12" t="str">
        <f>TEXT(tblHorasFev[Data],"ddd")</f>
        <v/>
      </c>
      <c r="D24" s="25"/>
      <c r="E24" s="1"/>
      <c r="F24" s="1"/>
      <c r="G24" s="1"/>
      <c r="H24" s="1"/>
      <c r="I24" s="53"/>
      <c r="J24" s="4">
        <f>IF($B$6&lt;&gt;"",
IF(AND(tblHorasFev[Evento 
(1º Período)]&lt;&gt;"",IF(ISERROR(VLOOKUP(tblHorasFev[Evento 
(1º Período)],tblEvento[],Tabelas!$D$1,FALSE)),FALSE,VLOOKUP(tblHorasFev[Evento 
(1º Período)],tblEvento[],Tabelas!$D$1,FALSE)="Sim")),
        IF(JORNADA_PERIODO_1&lt;&gt;"",
IF(VLOOKUP(tblHorasFev[Dia],tblDiaUtil[[Abreviatura]:[1º Período]],3,FALSE)&gt;0,VLOOKUP(tblHorasFev[Dia],tblDiaUtil[[Abreviatura]:[1º Período]],3,FALSE),JORNADA_PERIODO_1),
IF(VLOOKUP(tblHorasFev[Dia],tblDiaUtil[[Abreviatura]:[1º Período]],3,FALSE)&gt;0,VLOOKUP(tblHorasFev[Dia],tblDiaUtil[[Abreviatura]:[1º Período]],3,FALSE),JORNADA/2)),
        IF(AND(ISNUMBER(tblHorasFev[Saída - 1 (Almoço)]),ISNUMBER(tblHorasFev[Entrada - 1])),
              IF(OR(AND(tblHorasFev[Evento 
(1º Período)]&lt;&gt;"",IF(ISERROR(VLOOKUP(tblHorasFev[Evento 
(1º Período)],tblEvento[],Tabelas!$E$1,FALSE)),FALSE,VLOOKUP(tblHorasFev[Evento 
(1º Período)],tblEvento[],Tabelas!$E$1,FALSE)="Sim")),IF(VLOOKUP(TEXT(tblHorasFev[Data],"dddd"),tblDiaUtil[],2,FALSE)="Não",TRUE,FALSE)),
                   tblHorasFev[Saída - 1 (Almoço)]-tblHorasFev[Entrada - 1],
                   IF(OR(HOUR(tblHorasFev[Saída - 1 (Almoço)]-tblHorasFev[Entrada - 1])&gt;0,ROUND(tblHorasFev[Saída - 1 (Almoço)]-tblHorasFev[Entrada - 1],6)&gt;ROUND(CARENCIA,6)),
                          tblHorasFev[Saída - 1 (Almoço)]-tblHorasFev[Entrada - 1],
                          0)),
                    0)),0)</f>
        <v>0</v>
      </c>
      <c r="K24" s="4">
        <f>IF($B$6&lt;&gt;"",
IF(AND(tblHorasFev[Evento 
(2º Período)]&lt;&gt;"",IF(ISERROR(VLOOKUP(tblHorasFev[Evento 
(2º Período)],tblEvento[],Tabelas!$D$1,FALSE)),FALSE,VLOOKUP(tblHorasFev[Evento 
(2º Período)],tblEvento[],Tabelas!$D$1,FALSE)="Sim")),
        IF(JORNADA_PERIODO_2&lt;&gt;"",
IF(VLOOKUP(tblHorasFev[Dia],tblDiaUtil[[Abreviatura]:[2º Período]],4,FALSE)&gt;0,VLOOKUP(tblHorasFev[Dia],tblDiaUtil[[Abreviatura]:[2º Período]],4,FALSE),JORNADA_PERIODO_2),
IF(VLOOKUP(tblHorasFev[Dia],tblDiaUtil[[Abreviatura]:[2º Período]],4,FALSE)&gt;0,VLOOKUP(tblHorasFev[Dia],tblDiaUtil[[Abreviatura]:[2º Período]],4,FALSE),JORNADA/2)),
        IF(AND(ISNUMBER(tblHorasFev[Saída - 2]),ISNUMBER(tblHorasFev[Entrada - 2 (Almoço)])),
              IF(OR(AND(tblHorasFev[Evento 
(2º Período)]&lt;&gt;"",IF(ISERROR(VLOOKUP(tblHorasFev[Evento 
(2º Período)],tblEvento[],Tabelas!$E$1,FALSE)),FALSE,VLOOKUP(tblHorasFev[Evento 
(2º Período)],tblEvento[],Tabelas!$E$1,FALSE)="Sim")),IF(VLOOKUP(TEXT(tblHorasFev[Data],"dddd"),tblDiaUtil[],2,FALSE)="Não",TRUE,FALSE)),
                   tblHorasFev[Saída - 2]-tblHorasFev[Entrada - 2 (Almoço)],
                   IF(OR(HOUR(tblHorasFev[Saída - 2]-tblHorasFev[Entrada - 2 (Almoço)])&gt;0,MINUTE(tblHorasFev[Saída - 2]-tblHorasFev[Entrada - 2 (Almoço)])&gt;CARENCIA),
                         tblHorasFev[Saída - 2]-tblHorasFev[Entrada - 2 (Almoço)],
                         0)),
       0)),0)</f>
        <v>0</v>
      </c>
      <c r="L24" s="4">
        <f>tblHorasFev[Horas Trabalhadas (1º Período)]+tblHorasFev[Horas Trabalhadas (2º Período)]</f>
        <v>0</v>
      </c>
      <c r="M24" s="4" t="str">
        <f>IF(tblHorasFev[Data]&lt;&gt;"",
        IF(
AND(VLOOKUP(TEXT(tblHorasFev[Data],"dddd"),tblDiaUtil[],3,FALSE)="Sim",IF(tblHorasFev[Evento 
(1º Período)]&lt;&gt;"",IF(VLOOKUP(tblHorasFev[Evento 
(1º Período)],tblEvento[],Tabelas!$E$1,FALSE)="Sim",FALSE,TRUE),TRUE),IF(tblHorasFev[Evento 
(2º Período)]&lt;&gt;"",IF(VLOOKUP(tblHorasFev[Evento 
(2º Período)],tblEvento[],Tabelas!$E$1,FALSE)="Sim",FALSE,TRUE),TRUE)),
              IF(VLOOKUP(tblHorasFev[Dia],tblDiaUtil[[Abreviatura]:[1º Período]],3,FALSE)&gt;0,VLOOKUP(tblHorasFev[Dia],tblDiaUtil[[Abreviatura]:[1º Período]],3,FALSE),JORNADA),
              ""),
         "")</f>
        <v/>
      </c>
      <c r="N24" s="14">
        <f>IF(OR(tblHorasFev[Horas Trabalhadas (1º Período)]&lt;&gt;0,tblHorasFev[Horas Trabalhadas (2º Período)]&lt;&gt;0),
        IF(ISNUMBER(tblHorasFev[Jornada Diária]),
              IF(tblHorasFev[Jornada Diária]&gt;(tblHorasFev[Horas Trabalhadas (2º Período)]+tblHorasFev[Horas Trabalhadas (1º Período)]),
                     IF(ROUND((tblHorasFev[Jornada Diária]-(tblHorasFev[Horas Trabalhadas (2º Período)]+tblHorasFev[Horas Trabalhadas (1º Período)])),6)&gt;ROUND(CARENCIA,6),
                           -tblHorasFev[Jornada Diária]+(tblHorasFev[Horas Trabalhadas (2º Período)]+tblHorasFev[Horas Trabalhadas (1º Período)]),
                           0),
                      IF(ROUND((tblHorasFev[Jornada Diária]-(tblHorasFev[Horas Trabalhadas (2º Período)]+tblHorasFev[Horas Trabalhadas (1º Período)])),6)&lt;ROUND(-CARENCIA,6),
                           -tblHorasFev[Jornada Diária]+(tblHorasFev[Horas Trabalhadas (2º Período)]+tblHorasFev[Horas Trabalhadas (1º Período)]),
                           0)),
              tblHorasFev[Horas Trabalhadas (2º Período)]+tblHorasFev[Horas Trabalhadas (1º Período)]),
         IF(AND(IF(ISERROR(VLOOKUP(tblHorasFev[Evento 
(1º Período)],tblEvento[[Evento]:[Libera o Período]],4,FALSE)),FALSE,IF(VLOOKUP(tblHorasFev[Evento 
(1º Período)],tblEvento[[Evento]:[Libera o Período]],4,FALSE)="Não",TRUE,FALSE)),IF(ISERROR(VLOOKUP(tblHorasFev[Evento 
(2º Período)],tblEvento[[Evento]:[Libera o Período]],4,FALSE)),FALSE,IF(VLOOKUP(tblHorasFev[Evento 
(2º Período)],tblEvento[[Evento]:[Libera o Período]],4,FALSE)="Não",TRUE,FALSE))),
-IF(VLOOKUP(tblHorasFev[Dia],tblDiaUtil[[Abreviatura]:[Total Jornada]],5,FALSE)&lt;&gt;"",VLOOKUP(tblHorasFev[Dia],tblDiaUtil[[Abreviatura]:[Total Jornada]],5,FALSE),JORNADA),
IF(IF(ISERROR(VLOOKUP(tblHorasFev[Evento 
(1º Período)],tblEvento[[Evento]:[Libera o Período]],4,FALSE)),FALSE,
IF(VLOOKUP(tblHorasFev[Evento 
(1º Período)],tblEvento[[Evento]:[Libera o Período]],4,FALSE)="Não",TRUE,FALSE)
),
-IF(VLOOKUP(tblHorasFev[Dia],tblDiaUtil[[Abreviatura]:[1º Período]],3,FALSE)&lt;&gt;"",VLOOKUP(tblHorasFev[Dia],tblDiaUtil[[Abreviatura]:[1º Período]],3,FALSE),JORNADA_PERIODO_1),
IF(IF(ISERROR(VLOOKUP(tblHorasFev[Evento 
(2º Período)],tblEvento[[Evento]:[Libera o Período]],4,FALSE)),FALSE,IF(VLOOKUP(tblHorasFev[Evento 
(2º Período)],tblEvento[[Evento]:[Libera o Período]],4,FALSE)="Não",TRUE,FALSE)),
-IF(VLOOKUP(tblHorasFev[Dia],tblDiaUtil[[Abreviatura]:[2º Período]],4,FALSE)&lt;&gt;"",VLOOKUP(tblHorasFev[Dia],tblDiaUtil[[Abreviatura]:[2º Período]],4,FALSE),JORNADA_PERIODO_2),0))))</f>
        <v>0</v>
      </c>
      <c r="O24" s="14">
        <f>IF(tblHorasFev[Horas Trabalhadas Além Jornada]&gt;0,
        IF(ISNUMBER(tblHorasFev[Jornada Diária]),
              IF(HOUR(tblHorasFev[Horas Trabalhadas Além Jornada])&gt;=VLOOKUP(LIMITE,tblLimiteHora[],Tabelas!$I$1,FALSE),
                    VLOOKUP(LIMITE,tblLimiteHora[],Tabelas!$J$1,FALSE),
                    tblHorasFev[Horas Trabalhadas Além Jornada]),
              tblHorasFev[Horas Trabalhadas Além Jornada]),
        tblHorasFev[Horas Trabalhadas Além Jornada])+O23</f>
        <v>0</v>
      </c>
      <c r="P24" s="14" t="str">
        <f>IF(tblHorasFev[Horas Trabalhadas Além Jornada]&lt;0,IF(OR(tblHorasFev[Evento 
(1º Período)]="",tblHorasFev[Evento 
(2º Período)]=""),tblHorasFev[Horas Trabalhadas Além Jornada],""),"")</f>
        <v/>
      </c>
      <c r="Q24" s="14" t="str">
        <f>IF(tblHorasFev[Jornada Diária]&lt;&gt;"",IF((N(tblHorasFev[Jornada Diária])-ABS(N(tblHorasFev[Horas Trabalhadas Além Jornada])))=0,1,""),"")</f>
        <v/>
      </c>
      <c r="R24" s="14" t="str">
        <f>IF(tblHorasFev[Horas Trabalhadas Além Jornada]&gt;0,
IF(AND(VLOOKUP(TEXT(tblHorasFev[Data],"dddd"),tblDiaUtil[],3,FALSE)="Sim",IF(tblHorasFev[Evento 
(1º Período)]&lt;&gt;"",IF(VLOOKUP(tblHorasFev[Evento 
(1º Período)],tblEvento[],Tabelas!$E$1,FALSE)="Sim",FALSE,TRUE),TRUE),IF(tblHorasFev[Evento 
(2º Período)]&lt;&gt;"",IF(VLOOKUP(tblHorasFev[Evento 
(2º Período)],tblEvento[],Tabelas!$E$1,FALSE)="Sim",FALSE,TRUE),TRUE)),
tblHorasFev[Horas Trabalhadas Além Jornada],""),"")</f>
        <v/>
      </c>
      <c r="S24" s="14" t="str">
        <f>IF(tblHorasFev[Horas Trabalhadas Além Jornada]&gt;0,
IF(OR(VLOOKUP(TEXT(tblHorasFev[Data],"dddd"),tblDiaUtil[],3,FALSE)="Não",IF(tblHorasFev[Evento 
(1º Período)]&lt;&gt;"",IF(VLOOKUP(tblHorasFev[Evento 
(1º Período)],tblEvento[],Tabelas!$E$1,FALSE)="Sim",TRUE,FALSE),FALSE),IF(tblHorasFev[Evento 
(2º Período)]&lt;&gt;"",IF(VLOOKUP(tblHorasFev[Evento 
(2º Período)],tblEvento[],Tabelas!$E$1,FALSE)="Sim",TRUE,FALSE),FALSE)),
tblHorasFev[Horas Trabalhadas Além Jornada],""),"")</f>
        <v/>
      </c>
      <c r="T24" s="15" t="str">
        <f>IF(tblHorasFev[Evento 
(1º Período)]&lt;&gt;""," - " &amp;VLOOKUP(tblHorasFev[Evento 
(1º Período)],tblEvento[],Tabelas!$F$1,FALSE),"")&amp;IF(AND(tblHorasFev[Evento 
(2º Período)]&lt;&gt;"",tblHorasFev[Evento 
(2º Período)]&lt;&gt;tblHorasFev[Evento 
(1º Período)])," - " &amp; VLOOKUP(tblHorasFev[Evento 
(2º Período)],tblEvento[],Tabelas!$F$1,FALSE),"")</f>
        <v/>
      </c>
    </row>
    <row r="25" spans="2:20" x14ac:dyDescent="0.25">
      <c r="B25" s="11" t="str">
        <f t="shared" si="0"/>
        <v/>
      </c>
      <c r="C25" s="12" t="str">
        <f>TEXT(tblHorasFev[Data],"ddd")</f>
        <v/>
      </c>
      <c r="D25" s="25"/>
      <c r="E25" s="1"/>
      <c r="F25" s="1"/>
      <c r="G25" s="1"/>
      <c r="H25" s="1"/>
      <c r="I25" s="53"/>
      <c r="J25" s="4">
        <f>IF($B$6&lt;&gt;"",
IF(AND(tblHorasFev[Evento 
(1º Período)]&lt;&gt;"",IF(ISERROR(VLOOKUP(tblHorasFev[Evento 
(1º Período)],tblEvento[],Tabelas!$D$1,FALSE)),FALSE,VLOOKUP(tblHorasFev[Evento 
(1º Período)],tblEvento[],Tabelas!$D$1,FALSE)="Sim")),
        IF(JORNADA_PERIODO_1&lt;&gt;"",
IF(VLOOKUP(tblHorasFev[Dia],tblDiaUtil[[Abreviatura]:[1º Período]],3,FALSE)&gt;0,VLOOKUP(tblHorasFev[Dia],tblDiaUtil[[Abreviatura]:[1º Período]],3,FALSE),JORNADA_PERIODO_1),
IF(VLOOKUP(tblHorasFev[Dia],tblDiaUtil[[Abreviatura]:[1º Período]],3,FALSE)&gt;0,VLOOKUP(tblHorasFev[Dia],tblDiaUtil[[Abreviatura]:[1º Período]],3,FALSE),JORNADA/2)),
        IF(AND(ISNUMBER(tblHorasFev[Saída - 1 (Almoço)]),ISNUMBER(tblHorasFev[Entrada - 1])),
              IF(OR(AND(tblHorasFev[Evento 
(1º Período)]&lt;&gt;"",IF(ISERROR(VLOOKUP(tblHorasFev[Evento 
(1º Período)],tblEvento[],Tabelas!$E$1,FALSE)),FALSE,VLOOKUP(tblHorasFev[Evento 
(1º Período)],tblEvento[],Tabelas!$E$1,FALSE)="Sim")),IF(VLOOKUP(TEXT(tblHorasFev[Data],"dddd"),tblDiaUtil[],2,FALSE)="Não",TRUE,FALSE)),
                   tblHorasFev[Saída - 1 (Almoço)]-tblHorasFev[Entrada - 1],
                   IF(OR(HOUR(tblHorasFev[Saída - 1 (Almoço)]-tblHorasFev[Entrada - 1])&gt;0,ROUND(tblHorasFev[Saída - 1 (Almoço)]-tblHorasFev[Entrada - 1],6)&gt;ROUND(CARENCIA,6)),
                          tblHorasFev[Saída - 1 (Almoço)]-tblHorasFev[Entrada - 1],
                          0)),
                    0)),0)</f>
        <v>0</v>
      </c>
      <c r="K25" s="4">
        <f>IF($B$6&lt;&gt;"",
IF(AND(tblHorasFev[Evento 
(2º Período)]&lt;&gt;"",IF(ISERROR(VLOOKUP(tblHorasFev[Evento 
(2º Período)],tblEvento[],Tabelas!$D$1,FALSE)),FALSE,VLOOKUP(tblHorasFev[Evento 
(2º Período)],tblEvento[],Tabelas!$D$1,FALSE)="Sim")),
        IF(JORNADA_PERIODO_2&lt;&gt;"",
IF(VLOOKUP(tblHorasFev[Dia],tblDiaUtil[[Abreviatura]:[2º Período]],4,FALSE)&gt;0,VLOOKUP(tblHorasFev[Dia],tblDiaUtil[[Abreviatura]:[2º Período]],4,FALSE),JORNADA_PERIODO_2),
IF(VLOOKUP(tblHorasFev[Dia],tblDiaUtil[[Abreviatura]:[2º Período]],4,FALSE)&gt;0,VLOOKUP(tblHorasFev[Dia],tblDiaUtil[[Abreviatura]:[2º Período]],4,FALSE),JORNADA/2)),
        IF(AND(ISNUMBER(tblHorasFev[Saída - 2]),ISNUMBER(tblHorasFev[Entrada - 2 (Almoço)])),
              IF(OR(AND(tblHorasFev[Evento 
(2º Período)]&lt;&gt;"",IF(ISERROR(VLOOKUP(tblHorasFev[Evento 
(2º Período)],tblEvento[],Tabelas!$E$1,FALSE)),FALSE,VLOOKUP(tblHorasFev[Evento 
(2º Período)],tblEvento[],Tabelas!$E$1,FALSE)="Sim")),IF(VLOOKUP(TEXT(tblHorasFev[Data],"dddd"),tblDiaUtil[],2,FALSE)="Não",TRUE,FALSE)),
                   tblHorasFev[Saída - 2]-tblHorasFev[Entrada - 2 (Almoço)],
                   IF(OR(HOUR(tblHorasFev[Saída - 2]-tblHorasFev[Entrada - 2 (Almoço)])&gt;0,MINUTE(tblHorasFev[Saída - 2]-tblHorasFev[Entrada - 2 (Almoço)])&gt;CARENCIA),
                         tblHorasFev[Saída - 2]-tblHorasFev[Entrada - 2 (Almoço)],
                         0)),
       0)),0)</f>
        <v>0</v>
      </c>
      <c r="L25" s="4">
        <f>tblHorasFev[Horas Trabalhadas (1º Período)]+tblHorasFev[Horas Trabalhadas (2º Período)]</f>
        <v>0</v>
      </c>
      <c r="M25" s="4" t="str">
        <f>IF(tblHorasFev[Data]&lt;&gt;"",
        IF(
AND(VLOOKUP(TEXT(tblHorasFev[Data],"dddd"),tblDiaUtil[],3,FALSE)="Sim",IF(tblHorasFev[Evento 
(1º Período)]&lt;&gt;"",IF(VLOOKUP(tblHorasFev[Evento 
(1º Período)],tblEvento[],Tabelas!$E$1,FALSE)="Sim",FALSE,TRUE),TRUE),IF(tblHorasFev[Evento 
(2º Período)]&lt;&gt;"",IF(VLOOKUP(tblHorasFev[Evento 
(2º Período)],tblEvento[],Tabelas!$E$1,FALSE)="Sim",FALSE,TRUE),TRUE)),
              IF(VLOOKUP(tblHorasFev[Dia],tblDiaUtil[[Abreviatura]:[1º Período]],3,FALSE)&gt;0,VLOOKUP(tblHorasFev[Dia],tblDiaUtil[[Abreviatura]:[1º Período]],3,FALSE),JORNADA),
              ""),
         "")</f>
        <v/>
      </c>
      <c r="N25" s="14">
        <f>IF(OR(tblHorasFev[Horas Trabalhadas (1º Período)]&lt;&gt;0,tblHorasFev[Horas Trabalhadas (2º Período)]&lt;&gt;0),
        IF(ISNUMBER(tblHorasFev[Jornada Diária]),
              IF(tblHorasFev[Jornada Diária]&gt;(tblHorasFev[Horas Trabalhadas (2º Período)]+tblHorasFev[Horas Trabalhadas (1º Período)]),
                     IF(ROUND((tblHorasFev[Jornada Diária]-(tblHorasFev[Horas Trabalhadas (2º Período)]+tblHorasFev[Horas Trabalhadas (1º Período)])),6)&gt;ROUND(CARENCIA,6),
                           -tblHorasFev[Jornada Diária]+(tblHorasFev[Horas Trabalhadas (2º Período)]+tblHorasFev[Horas Trabalhadas (1º Período)]),
                           0),
                      IF(ROUND((tblHorasFev[Jornada Diária]-(tblHorasFev[Horas Trabalhadas (2º Período)]+tblHorasFev[Horas Trabalhadas (1º Período)])),6)&lt;ROUND(-CARENCIA,6),
                           -tblHorasFev[Jornada Diária]+(tblHorasFev[Horas Trabalhadas (2º Período)]+tblHorasFev[Horas Trabalhadas (1º Período)]),
                           0)),
              tblHorasFev[Horas Trabalhadas (2º Período)]+tblHorasFev[Horas Trabalhadas (1º Período)]),
         IF(AND(IF(ISERROR(VLOOKUP(tblHorasFev[Evento 
(1º Período)],tblEvento[[Evento]:[Libera o Período]],4,FALSE)),FALSE,IF(VLOOKUP(tblHorasFev[Evento 
(1º Período)],tblEvento[[Evento]:[Libera o Período]],4,FALSE)="Não",TRUE,FALSE)),IF(ISERROR(VLOOKUP(tblHorasFev[Evento 
(2º Período)],tblEvento[[Evento]:[Libera o Período]],4,FALSE)),FALSE,IF(VLOOKUP(tblHorasFev[Evento 
(2º Período)],tblEvento[[Evento]:[Libera o Período]],4,FALSE)="Não",TRUE,FALSE))),
-IF(VLOOKUP(tblHorasFev[Dia],tblDiaUtil[[Abreviatura]:[Total Jornada]],5,FALSE)&lt;&gt;"",VLOOKUP(tblHorasFev[Dia],tblDiaUtil[[Abreviatura]:[Total Jornada]],5,FALSE),JORNADA),
IF(IF(ISERROR(VLOOKUP(tblHorasFev[Evento 
(1º Período)],tblEvento[[Evento]:[Libera o Período]],4,FALSE)),FALSE,
IF(VLOOKUP(tblHorasFev[Evento 
(1º Período)],tblEvento[[Evento]:[Libera o Período]],4,FALSE)="Não",TRUE,FALSE)
),
-IF(VLOOKUP(tblHorasFev[Dia],tblDiaUtil[[Abreviatura]:[1º Período]],3,FALSE)&lt;&gt;"",VLOOKUP(tblHorasFev[Dia],tblDiaUtil[[Abreviatura]:[1º Período]],3,FALSE),JORNADA_PERIODO_1),
IF(IF(ISERROR(VLOOKUP(tblHorasFev[Evento 
(2º Período)],tblEvento[[Evento]:[Libera o Período]],4,FALSE)),FALSE,IF(VLOOKUP(tblHorasFev[Evento 
(2º Período)],tblEvento[[Evento]:[Libera o Período]],4,FALSE)="Não",TRUE,FALSE)),
-IF(VLOOKUP(tblHorasFev[Dia],tblDiaUtil[[Abreviatura]:[2º Período]],4,FALSE)&lt;&gt;"",VLOOKUP(tblHorasFev[Dia],tblDiaUtil[[Abreviatura]:[2º Período]],4,FALSE),JORNADA_PERIODO_2),0))))</f>
        <v>0</v>
      </c>
      <c r="O25" s="14">
        <f>IF(tblHorasFev[Horas Trabalhadas Além Jornada]&gt;0,
        IF(ISNUMBER(tblHorasFev[Jornada Diária]),
              IF(HOUR(tblHorasFev[Horas Trabalhadas Além Jornada])&gt;=VLOOKUP(LIMITE,tblLimiteHora[],Tabelas!$I$1,FALSE),
                    VLOOKUP(LIMITE,tblLimiteHora[],Tabelas!$J$1,FALSE),
                    tblHorasFev[Horas Trabalhadas Além Jornada]),
              tblHorasFev[Horas Trabalhadas Além Jornada]),
        tblHorasFev[Horas Trabalhadas Além Jornada])+O24</f>
        <v>0</v>
      </c>
      <c r="P25" s="14" t="str">
        <f>IF(tblHorasFev[Horas Trabalhadas Além Jornada]&lt;0,IF(OR(tblHorasFev[Evento 
(1º Período)]="",tblHorasFev[Evento 
(2º Período)]=""),tblHorasFev[Horas Trabalhadas Além Jornada],""),"")</f>
        <v/>
      </c>
      <c r="Q25" s="14" t="str">
        <f>IF(tblHorasFev[Jornada Diária]&lt;&gt;"",IF((N(tblHorasFev[Jornada Diária])-ABS(N(tblHorasFev[Horas Trabalhadas Além Jornada])))=0,1,""),"")</f>
        <v/>
      </c>
      <c r="R25" s="14" t="str">
        <f>IF(tblHorasFev[Horas Trabalhadas Além Jornada]&gt;0,
IF(AND(VLOOKUP(TEXT(tblHorasFev[Data],"dddd"),tblDiaUtil[],3,FALSE)="Sim",IF(tblHorasFev[Evento 
(1º Período)]&lt;&gt;"",IF(VLOOKUP(tblHorasFev[Evento 
(1º Período)],tblEvento[],Tabelas!$E$1,FALSE)="Sim",FALSE,TRUE),TRUE),IF(tblHorasFev[Evento 
(2º Período)]&lt;&gt;"",IF(VLOOKUP(tblHorasFev[Evento 
(2º Período)],tblEvento[],Tabelas!$E$1,FALSE)="Sim",FALSE,TRUE),TRUE)),
tblHorasFev[Horas Trabalhadas Além Jornada],""),"")</f>
        <v/>
      </c>
      <c r="S25" s="14" t="str">
        <f>IF(tblHorasFev[Horas Trabalhadas Além Jornada]&gt;0,
IF(OR(VLOOKUP(TEXT(tblHorasFev[Data],"dddd"),tblDiaUtil[],3,FALSE)="Não",IF(tblHorasFev[Evento 
(1º Período)]&lt;&gt;"",IF(VLOOKUP(tblHorasFev[Evento 
(1º Período)],tblEvento[],Tabelas!$E$1,FALSE)="Sim",TRUE,FALSE),FALSE),IF(tblHorasFev[Evento 
(2º Período)]&lt;&gt;"",IF(VLOOKUP(tblHorasFev[Evento 
(2º Período)],tblEvento[],Tabelas!$E$1,FALSE)="Sim",TRUE,FALSE),FALSE)),
tblHorasFev[Horas Trabalhadas Além Jornada],""),"")</f>
        <v/>
      </c>
      <c r="T25" s="15" t="str">
        <f>IF(tblHorasFev[Evento 
(1º Período)]&lt;&gt;""," - " &amp;VLOOKUP(tblHorasFev[Evento 
(1º Período)],tblEvento[],Tabelas!$F$1,FALSE),"")&amp;IF(AND(tblHorasFev[Evento 
(2º Período)]&lt;&gt;"",tblHorasFev[Evento 
(2º Período)]&lt;&gt;tblHorasFev[Evento 
(1º Período)])," - " &amp; VLOOKUP(tblHorasFev[Evento 
(2º Período)],tblEvento[],Tabelas!$F$1,FALSE),"")</f>
        <v/>
      </c>
    </row>
    <row r="26" spans="2:20" x14ac:dyDescent="0.25">
      <c r="B26" s="11" t="str">
        <f t="shared" si="0"/>
        <v/>
      </c>
      <c r="C26" s="12" t="str">
        <f>TEXT(tblHorasFev[Data],"ddd")</f>
        <v/>
      </c>
      <c r="D26" s="25"/>
      <c r="E26" s="1"/>
      <c r="F26" s="1"/>
      <c r="G26" s="1"/>
      <c r="H26" s="1"/>
      <c r="I26" s="53"/>
      <c r="J26" s="4">
        <f>IF($B$6&lt;&gt;"",
IF(AND(tblHorasFev[Evento 
(1º Período)]&lt;&gt;"",IF(ISERROR(VLOOKUP(tblHorasFev[Evento 
(1º Período)],tblEvento[],Tabelas!$D$1,FALSE)),FALSE,VLOOKUP(tblHorasFev[Evento 
(1º Período)],tblEvento[],Tabelas!$D$1,FALSE)="Sim")),
        IF(JORNADA_PERIODO_1&lt;&gt;"",
IF(VLOOKUP(tblHorasFev[Dia],tblDiaUtil[[Abreviatura]:[1º Período]],3,FALSE)&gt;0,VLOOKUP(tblHorasFev[Dia],tblDiaUtil[[Abreviatura]:[1º Período]],3,FALSE),JORNADA_PERIODO_1),
IF(VLOOKUP(tblHorasFev[Dia],tblDiaUtil[[Abreviatura]:[1º Período]],3,FALSE)&gt;0,VLOOKUP(tblHorasFev[Dia],tblDiaUtil[[Abreviatura]:[1º Período]],3,FALSE),JORNADA/2)),
        IF(AND(ISNUMBER(tblHorasFev[Saída - 1 (Almoço)]),ISNUMBER(tblHorasFev[Entrada - 1])),
              IF(OR(AND(tblHorasFev[Evento 
(1º Período)]&lt;&gt;"",IF(ISERROR(VLOOKUP(tblHorasFev[Evento 
(1º Período)],tblEvento[],Tabelas!$E$1,FALSE)),FALSE,VLOOKUP(tblHorasFev[Evento 
(1º Período)],tblEvento[],Tabelas!$E$1,FALSE)="Sim")),IF(VLOOKUP(TEXT(tblHorasFev[Data],"dddd"),tblDiaUtil[],2,FALSE)="Não",TRUE,FALSE)),
                   tblHorasFev[Saída - 1 (Almoço)]-tblHorasFev[Entrada - 1],
                   IF(OR(HOUR(tblHorasFev[Saída - 1 (Almoço)]-tblHorasFev[Entrada - 1])&gt;0,ROUND(tblHorasFev[Saída - 1 (Almoço)]-tblHorasFev[Entrada - 1],6)&gt;ROUND(CARENCIA,6)),
                          tblHorasFev[Saída - 1 (Almoço)]-tblHorasFev[Entrada - 1],
                          0)),
                    0)),0)</f>
        <v>0</v>
      </c>
      <c r="K26" s="4">
        <f>IF($B$6&lt;&gt;"",
IF(AND(tblHorasFev[Evento 
(2º Período)]&lt;&gt;"",IF(ISERROR(VLOOKUP(tblHorasFev[Evento 
(2º Período)],tblEvento[],Tabelas!$D$1,FALSE)),FALSE,VLOOKUP(tblHorasFev[Evento 
(2º Período)],tblEvento[],Tabelas!$D$1,FALSE)="Sim")),
        IF(JORNADA_PERIODO_2&lt;&gt;"",
IF(VLOOKUP(tblHorasFev[Dia],tblDiaUtil[[Abreviatura]:[2º Período]],4,FALSE)&gt;0,VLOOKUP(tblHorasFev[Dia],tblDiaUtil[[Abreviatura]:[2º Período]],4,FALSE),JORNADA_PERIODO_2),
IF(VLOOKUP(tblHorasFev[Dia],tblDiaUtil[[Abreviatura]:[2º Período]],4,FALSE)&gt;0,VLOOKUP(tblHorasFev[Dia],tblDiaUtil[[Abreviatura]:[2º Período]],4,FALSE),JORNADA/2)),
        IF(AND(ISNUMBER(tblHorasFev[Saída - 2]),ISNUMBER(tblHorasFev[Entrada - 2 (Almoço)])),
              IF(OR(AND(tblHorasFev[Evento 
(2º Período)]&lt;&gt;"",IF(ISERROR(VLOOKUP(tblHorasFev[Evento 
(2º Período)],tblEvento[],Tabelas!$E$1,FALSE)),FALSE,VLOOKUP(tblHorasFev[Evento 
(2º Período)],tblEvento[],Tabelas!$E$1,FALSE)="Sim")),IF(VLOOKUP(TEXT(tblHorasFev[Data],"dddd"),tblDiaUtil[],2,FALSE)="Não",TRUE,FALSE)),
                   tblHorasFev[Saída - 2]-tblHorasFev[Entrada - 2 (Almoço)],
                   IF(OR(HOUR(tblHorasFev[Saída - 2]-tblHorasFev[Entrada - 2 (Almoço)])&gt;0,MINUTE(tblHorasFev[Saída - 2]-tblHorasFev[Entrada - 2 (Almoço)])&gt;CARENCIA),
                         tblHorasFev[Saída - 2]-tblHorasFev[Entrada - 2 (Almoço)],
                         0)),
       0)),0)</f>
        <v>0</v>
      </c>
      <c r="L26" s="4">
        <f>tblHorasFev[Horas Trabalhadas (1º Período)]+tblHorasFev[Horas Trabalhadas (2º Período)]</f>
        <v>0</v>
      </c>
      <c r="M26" s="4" t="str">
        <f>IF(tblHorasFev[Data]&lt;&gt;"",
        IF(
AND(VLOOKUP(TEXT(tblHorasFev[Data],"dddd"),tblDiaUtil[],3,FALSE)="Sim",IF(tblHorasFev[Evento 
(1º Período)]&lt;&gt;"",IF(VLOOKUP(tblHorasFev[Evento 
(1º Período)],tblEvento[],Tabelas!$E$1,FALSE)="Sim",FALSE,TRUE),TRUE),IF(tblHorasFev[Evento 
(2º Período)]&lt;&gt;"",IF(VLOOKUP(tblHorasFev[Evento 
(2º Período)],tblEvento[],Tabelas!$E$1,FALSE)="Sim",FALSE,TRUE),TRUE)),
              IF(VLOOKUP(tblHorasFev[Dia],tblDiaUtil[[Abreviatura]:[1º Período]],3,FALSE)&gt;0,VLOOKUP(tblHorasFev[Dia],tblDiaUtil[[Abreviatura]:[1º Período]],3,FALSE),JORNADA),
              ""),
         "")</f>
        <v/>
      </c>
      <c r="N26" s="14">
        <f>IF(OR(tblHorasFev[Horas Trabalhadas (1º Período)]&lt;&gt;0,tblHorasFev[Horas Trabalhadas (2º Período)]&lt;&gt;0),
        IF(ISNUMBER(tblHorasFev[Jornada Diária]),
              IF(tblHorasFev[Jornada Diária]&gt;(tblHorasFev[Horas Trabalhadas (2º Período)]+tblHorasFev[Horas Trabalhadas (1º Período)]),
                     IF(ROUND((tblHorasFev[Jornada Diária]-(tblHorasFev[Horas Trabalhadas (2º Período)]+tblHorasFev[Horas Trabalhadas (1º Período)])),6)&gt;ROUND(CARENCIA,6),
                           -tblHorasFev[Jornada Diária]+(tblHorasFev[Horas Trabalhadas (2º Período)]+tblHorasFev[Horas Trabalhadas (1º Período)]),
                           0),
                      IF(ROUND((tblHorasFev[Jornada Diária]-(tblHorasFev[Horas Trabalhadas (2º Período)]+tblHorasFev[Horas Trabalhadas (1º Período)])),6)&lt;ROUND(-CARENCIA,6),
                           -tblHorasFev[Jornada Diária]+(tblHorasFev[Horas Trabalhadas (2º Período)]+tblHorasFev[Horas Trabalhadas (1º Período)]),
                           0)),
              tblHorasFev[Horas Trabalhadas (2º Período)]+tblHorasFev[Horas Trabalhadas (1º Período)]),
         IF(AND(IF(ISERROR(VLOOKUP(tblHorasFev[Evento 
(1º Período)],tblEvento[[Evento]:[Libera o Período]],4,FALSE)),FALSE,IF(VLOOKUP(tblHorasFev[Evento 
(1º Período)],tblEvento[[Evento]:[Libera o Período]],4,FALSE)="Não",TRUE,FALSE)),IF(ISERROR(VLOOKUP(tblHorasFev[Evento 
(2º Período)],tblEvento[[Evento]:[Libera o Período]],4,FALSE)),FALSE,IF(VLOOKUP(tblHorasFev[Evento 
(2º Período)],tblEvento[[Evento]:[Libera o Período]],4,FALSE)="Não",TRUE,FALSE))),
-IF(VLOOKUP(tblHorasFev[Dia],tblDiaUtil[[Abreviatura]:[Total Jornada]],5,FALSE)&lt;&gt;"",VLOOKUP(tblHorasFev[Dia],tblDiaUtil[[Abreviatura]:[Total Jornada]],5,FALSE),JORNADA),
IF(IF(ISERROR(VLOOKUP(tblHorasFev[Evento 
(1º Período)],tblEvento[[Evento]:[Libera o Período]],4,FALSE)),FALSE,
IF(VLOOKUP(tblHorasFev[Evento 
(1º Período)],tblEvento[[Evento]:[Libera o Período]],4,FALSE)="Não",TRUE,FALSE)
),
-IF(VLOOKUP(tblHorasFev[Dia],tblDiaUtil[[Abreviatura]:[1º Período]],3,FALSE)&lt;&gt;"",VLOOKUP(tblHorasFev[Dia],tblDiaUtil[[Abreviatura]:[1º Período]],3,FALSE),JORNADA_PERIODO_1),
IF(IF(ISERROR(VLOOKUP(tblHorasFev[Evento 
(2º Período)],tblEvento[[Evento]:[Libera o Período]],4,FALSE)),FALSE,IF(VLOOKUP(tblHorasFev[Evento 
(2º Período)],tblEvento[[Evento]:[Libera o Período]],4,FALSE)="Não",TRUE,FALSE)),
-IF(VLOOKUP(tblHorasFev[Dia],tblDiaUtil[[Abreviatura]:[2º Período]],4,FALSE)&lt;&gt;"",VLOOKUP(tblHorasFev[Dia],tblDiaUtil[[Abreviatura]:[2º Período]],4,FALSE),JORNADA_PERIODO_2),0))))</f>
        <v>0</v>
      </c>
      <c r="O26" s="14">
        <f>IF(tblHorasFev[Horas Trabalhadas Além Jornada]&gt;0,
        IF(ISNUMBER(tblHorasFev[Jornada Diária]),
              IF(HOUR(tblHorasFev[Horas Trabalhadas Além Jornada])&gt;=VLOOKUP(LIMITE,tblLimiteHora[],Tabelas!$I$1,FALSE),
                    VLOOKUP(LIMITE,tblLimiteHora[],Tabelas!$J$1,FALSE),
                    tblHorasFev[Horas Trabalhadas Além Jornada]),
              tblHorasFev[Horas Trabalhadas Além Jornada]),
        tblHorasFev[Horas Trabalhadas Além Jornada])+O25</f>
        <v>0</v>
      </c>
      <c r="P26" s="14" t="str">
        <f>IF(tblHorasFev[Horas Trabalhadas Além Jornada]&lt;0,IF(OR(tblHorasFev[Evento 
(1º Período)]="",tblHorasFev[Evento 
(2º Período)]=""),tblHorasFev[Horas Trabalhadas Além Jornada],""),"")</f>
        <v/>
      </c>
      <c r="Q26" s="14" t="str">
        <f>IF(tblHorasFev[Jornada Diária]&lt;&gt;"",IF((N(tblHorasFev[Jornada Diária])-ABS(N(tblHorasFev[Horas Trabalhadas Além Jornada])))=0,1,""),"")</f>
        <v/>
      </c>
      <c r="R26" s="14" t="str">
        <f>IF(tblHorasFev[Horas Trabalhadas Além Jornada]&gt;0,
IF(AND(VLOOKUP(TEXT(tblHorasFev[Data],"dddd"),tblDiaUtil[],3,FALSE)="Sim",IF(tblHorasFev[Evento 
(1º Período)]&lt;&gt;"",IF(VLOOKUP(tblHorasFev[Evento 
(1º Período)],tblEvento[],Tabelas!$E$1,FALSE)="Sim",FALSE,TRUE),TRUE),IF(tblHorasFev[Evento 
(2º Período)]&lt;&gt;"",IF(VLOOKUP(tblHorasFev[Evento 
(2º Período)],tblEvento[],Tabelas!$E$1,FALSE)="Sim",FALSE,TRUE),TRUE)),
tblHorasFev[Horas Trabalhadas Além Jornada],""),"")</f>
        <v/>
      </c>
      <c r="S26" s="14" t="str">
        <f>IF(tblHorasFev[Horas Trabalhadas Além Jornada]&gt;0,
IF(OR(VLOOKUP(TEXT(tblHorasFev[Data],"dddd"),tblDiaUtil[],3,FALSE)="Não",IF(tblHorasFev[Evento 
(1º Período)]&lt;&gt;"",IF(VLOOKUP(tblHorasFev[Evento 
(1º Período)],tblEvento[],Tabelas!$E$1,FALSE)="Sim",TRUE,FALSE),FALSE),IF(tblHorasFev[Evento 
(2º Período)]&lt;&gt;"",IF(VLOOKUP(tblHorasFev[Evento 
(2º Período)],tblEvento[],Tabelas!$E$1,FALSE)="Sim",TRUE,FALSE),FALSE)),
tblHorasFev[Horas Trabalhadas Além Jornada],""),"")</f>
        <v/>
      </c>
      <c r="T26" s="15" t="str">
        <f>IF(tblHorasFev[Evento 
(1º Período)]&lt;&gt;""," - " &amp;VLOOKUP(tblHorasFev[Evento 
(1º Período)],tblEvento[],Tabelas!$F$1,FALSE),"")&amp;IF(AND(tblHorasFev[Evento 
(2º Período)]&lt;&gt;"",tblHorasFev[Evento 
(2º Período)]&lt;&gt;tblHorasFev[Evento 
(1º Período)])," - " &amp; VLOOKUP(tblHorasFev[Evento 
(2º Período)],tblEvento[],Tabelas!$F$1,FALSE),"")</f>
        <v/>
      </c>
    </row>
    <row r="27" spans="2:20" x14ac:dyDescent="0.25">
      <c r="B27" s="11" t="str">
        <f t="shared" si="0"/>
        <v/>
      </c>
      <c r="C27" s="12" t="str">
        <f>TEXT(tblHorasFev[Data],"ddd")</f>
        <v/>
      </c>
      <c r="D27" s="25"/>
      <c r="E27" s="1"/>
      <c r="F27" s="1"/>
      <c r="G27" s="1"/>
      <c r="H27" s="1"/>
      <c r="I27" s="53"/>
      <c r="J27" s="4">
        <f>IF($B$6&lt;&gt;"",
IF(AND(tblHorasFev[Evento 
(1º Período)]&lt;&gt;"",IF(ISERROR(VLOOKUP(tblHorasFev[Evento 
(1º Período)],tblEvento[],Tabelas!$D$1,FALSE)),FALSE,VLOOKUP(tblHorasFev[Evento 
(1º Período)],tblEvento[],Tabelas!$D$1,FALSE)="Sim")),
        IF(JORNADA_PERIODO_1&lt;&gt;"",
IF(VLOOKUP(tblHorasFev[Dia],tblDiaUtil[[Abreviatura]:[1º Período]],3,FALSE)&gt;0,VLOOKUP(tblHorasFev[Dia],tblDiaUtil[[Abreviatura]:[1º Período]],3,FALSE),JORNADA_PERIODO_1),
IF(VLOOKUP(tblHorasFev[Dia],tblDiaUtil[[Abreviatura]:[1º Período]],3,FALSE)&gt;0,VLOOKUP(tblHorasFev[Dia],tblDiaUtil[[Abreviatura]:[1º Período]],3,FALSE),JORNADA/2)),
        IF(AND(ISNUMBER(tblHorasFev[Saída - 1 (Almoço)]),ISNUMBER(tblHorasFev[Entrada - 1])),
              IF(OR(AND(tblHorasFev[Evento 
(1º Período)]&lt;&gt;"",IF(ISERROR(VLOOKUP(tblHorasFev[Evento 
(1º Período)],tblEvento[],Tabelas!$E$1,FALSE)),FALSE,VLOOKUP(tblHorasFev[Evento 
(1º Período)],tblEvento[],Tabelas!$E$1,FALSE)="Sim")),IF(VLOOKUP(TEXT(tblHorasFev[Data],"dddd"),tblDiaUtil[],2,FALSE)="Não",TRUE,FALSE)),
                   tblHorasFev[Saída - 1 (Almoço)]-tblHorasFev[Entrada - 1],
                   IF(OR(HOUR(tblHorasFev[Saída - 1 (Almoço)]-tblHorasFev[Entrada - 1])&gt;0,ROUND(tblHorasFev[Saída - 1 (Almoço)]-tblHorasFev[Entrada - 1],6)&gt;ROUND(CARENCIA,6)),
                          tblHorasFev[Saída - 1 (Almoço)]-tblHorasFev[Entrada - 1],
                          0)),
                    0)),0)</f>
        <v>0</v>
      </c>
      <c r="K27" s="4">
        <f>IF($B$6&lt;&gt;"",
IF(AND(tblHorasFev[Evento 
(2º Período)]&lt;&gt;"",IF(ISERROR(VLOOKUP(tblHorasFev[Evento 
(2º Período)],tblEvento[],Tabelas!$D$1,FALSE)),FALSE,VLOOKUP(tblHorasFev[Evento 
(2º Período)],tblEvento[],Tabelas!$D$1,FALSE)="Sim")),
        IF(JORNADA_PERIODO_2&lt;&gt;"",
IF(VLOOKUP(tblHorasFev[Dia],tblDiaUtil[[Abreviatura]:[2º Período]],4,FALSE)&gt;0,VLOOKUP(tblHorasFev[Dia],tblDiaUtil[[Abreviatura]:[2º Período]],4,FALSE),JORNADA_PERIODO_2),
IF(VLOOKUP(tblHorasFev[Dia],tblDiaUtil[[Abreviatura]:[2º Período]],4,FALSE)&gt;0,VLOOKUP(tblHorasFev[Dia],tblDiaUtil[[Abreviatura]:[2º Período]],4,FALSE),JORNADA/2)),
        IF(AND(ISNUMBER(tblHorasFev[Saída - 2]),ISNUMBER(tblHorasFev[Entrada - 2 (Almoço)])),
              IF(OR(AND(tblHorasFev[Evento 
(2º Período)]&lt;&gt;"",IF(ISERROR(VLOOKUP(tblHorasFev[Evento 
(2º Período)],tblEvento[],Tabelas!$E$1,FALSE)),FALSE,VLOOKUP(tblHorasFev[Evento 
(2º Período)],tblEvento[],Tabelas!$E$1,FALSE)="Sim")),IF(VLOOKUP(TEXT(tblHorasFev[Data],"dddd"),tblDiaUtil[],2,FALSE)="Não",TRUE,FALSE)),
                   tblHorasFev[Saída - 2]-tblHorasFev[Entrada - 2 (Almoço)],
                   IF(OR(HOUR(tblHorasFev[Saída - 2]-tblHorasFev[Entrada - 2 (Almoço)])&gt;0,MINUTE(tblHorasFev[Saída - 2]-tblHorasFev[Entrada - 2 (Almoço)])&gt;CARENCIA),
                         tblHorasFev[Saída - 2]-tblHorasFev[Entrada - 2 (Almoço)],
                         0)),
       0)),0)</f>
        <v>0</v>
      </c>
      <c r="L27" s="4">
        <f>tblHorasFev[Horas Trabalhadas (1º Período)]+tblHorasFev[Horas Trabalhadas (2º Período)]</f>
        <v>0</v>
      </c>
      <c r="M27" s="4" t="str">
        <f>IF(tblHorasFev[Data]&lt;&gt;"",
        IF(
AND(VLOOKUP(TEXT(tblHorasFev[Data],"dddd"),tblDiaUtil[],3,FALSE)="Sim",IF(tblHorasFev[Evento 
(1º Período)]&lt;&gt;"",IF(VLOOKUP(tblHorasFev[Evento 
(1º Período)],tblEvento[],Tabelas!$E$1,FALSE)="Sim",FALSE,TRUE),TRUE),IF(tblHorasFev[Evento 
(2º Período)]&lt;&gt;"",IF(VLOOKUP(tblHorasFev[Evento 
(2º Período)],tblEvento[],Tabelas!$E$1,FALSE)="Sim",FALSE,TRUE),TRUE)),
              IF(VLOOKUP(tblHorasFev[Dia],tblDiaUtil[[Abreviatura]:[1º Período]],3,FALSE)&gt;0,VLOOKUP(tblHorasFev[Dia],tblDiaUtil[[Abreviatura]:[1º Período]],3,FALSE),JORNADA),
              ""),
         "")</f>
        <v/>
      </c>
      <c r="N27" s="14">
        <f>IF(OR(tblHorasFev[Horas Trabalhadas (1º Período)]&lt;&gt;0,tblHorasFev[Horas Trabalhadas (2º Período)]&lt;&gt;0),
        IF(ISNUMBER(tblHorasFev[Jornada Diária]),
              IF(tblHorasFev[Jornada Diária]&gt;(tblHorasFev[Horas Trabalhadas (2º Período)]+tblHorasFev[Horas Trabalhadas (1º Período)]),
                     IF(ROUND((tblHorasFev[Jornada Diária]-(tblHorasFev[Horas Trabalhadas (2º Período)]+tblHorasFev[Horas Trabalhadas (1º Período)])),6)&gt;ROUND(CARENCIA,6),
                           -tblHorasFev[Jornada Diária]+(tblHorasFev[Horas Trabalhadas (2º Período)]+tblHorasFev[Horas Trabalhadas (1º Período)]),
                           0),
                      IF(ROUND((tblHorasFev[Jornada Diária]-(tblHorasFev[Horas Trabalhadas (2º Período)]+tblHorasFev[Horas Trabalhadas (1º Período)])),6)&lt;ROUND(-CARENCIA,6),
                           -tblHorasFev[Jornada Diária]+(tblHorasFev[Horas Trabalhadas (2º Período)]+tblHorasFev[Horas Trabalhadas (1º Período)]),
                           0)),
              tblHorasFev[Horas Trabalhadas (2º Período)]+tblHorasFev[Horas Trabalhadas (1º Período)]),
         IF(AND(IF(ISERROR(VLOOKUP(tblHorasFev[Evento 
(1º Período)],tblEvento[[Evento]:[Libera o Período]],4,FALSE)),FALSE,IF(VLOOKUP(tblHorasFev[Evento 
(1º Período)],tblEvento[[Evento]:[Libera o Período]],4,FALSE)="Não",TRUE,FALSE)),IF(ISERROR(VLOOKUP(tblHorasFev[Evento 
(2º Período)],tblEvento[[Evento]:[Libera o Período]],4,FALSE)),FALSE,IF(VLOOKUP(tblHorasFev[Evento 
(2º Período)],tblEvento[[Evento]:[Libera o Período]],4,FALSE)="Não",TRUE,FALSE))),
-IF(VLOOKUP(tblHorasFev[Dia],tblDiaUtil[[Abreviatura]:[Total Jornada]],5,FALSE)&lt;&gt;"",VLOOKUP(tblHorasFev[Dia],tblDiaUtil[[Abreviatura]:[Total Jornada]],5,FALSE),JORNADA),
IF(IF(ISERROR(VLOOKUP(tblHorasFev[Evento 
(1º Período)],tblEvento[[Evento]:[Libera o Período]],4,FALSE)),FALSE,
IF(VLOOKUP(tblHorasFev[Evento 
(1º Período)],tblEvento[[Evento]:[Libera o Período]],4,FALSE)="Não",TRUE,FALSE)
),
-IF(VLOOKUP(tblHorasFev[Dia],tblDiaUtil[[Abreviatura]:[1º Período]],3,FALSE)&lt;&gt;"",VLOOKUP(tblHorasFev[Dia],tblDiaUtil[[Abreviatura]:[1º Período]],3,FALSE),JORNADA_PERIODO_1),
IF(IF(ISERROR(VLOOKUP(tblHorasFev[Evento 
(2º Período)],tblEvento[[Evento]:[Libera o Período]],4,FALSE)),FALSE,IF(VLOOKUP(tblHorasFev[Evento 
(2º Período)],tblEvento[[Evento]:[Libera o Período]],4,FALSE)="Não",TRUE,FALSE)),
-IF(VLOOKUP(tblHorasFev[Dia],tblDiaUtil[[Abreviatura]:[2º Período]],4,FALSE)&lt;&gt;"",VLOOKUP(tblHorasFev[Dia],tblDiaUtil[[Abreviatura]:[2º Período]],4,FALSE),JORNADA_PERIODO_2),0))))</f>
        <v>0</v>
      </c>
      <c r="O27" s="14">
        <f>IF(tblHorasFev[Horas Trabalhadas Além Jornada]&gt;0,
        IF(ISNUMBER(tblHorasFev[Jornada Diária]),
              IF(HOUR(tblHorasFev[Horas Trabalhadas Além Jornada])&gt;=VLOOKUP(LIMITE,tblLimiteHora[],Tabelas!$I$1,FALSE),
                    VLOOKUP(LIMITE,tblLimiteHora[],Tabelas!$J$1,FALSE),
                    tblHorasFev[Horas Trabalhadas Além Jornada]),
              tblHorasFev[Horas Trabalhadas Além Jornada]),
        tblHorasFev[Horas Trabalhadas Além Jornada])+O26</f>
        <v>0</v>
      </c>
      <c r="P27" s="14" t="str">
        <f>IF(tblHorasFev[Horas Trabalhadas Além Jornada]&lt;0,IF(OR(tblHorasFev[Evento 
(1º Período)]="",tblHorasFev[Evento 
(2º Período)]=""),tblHorasFev[Horas Trabalhadas Além Jornada],""),"")</f>
        <v/>
      </c>
      <c r="Q27" s="14" t="str">
        <f>IF(tblHorasFev[Jornada Diária]&lt;&gt;"",IF((N(tblHorasFev[Jornada Diária])-ABS(N(tblHorasFev[Horas Trabalhadas Além Jornada])))=0,1,""),"")</f>
        <v/>
      </c>
      <c r="R27" s="14" t="str">
        <f>IF(tblHorasFev[Horas Trabalhadas Além Jornada]&gt;0,
IF(AND(VLOOKUP(TEXT(tblHorasFev[Data],"dddd"),tblDiaUtil[],3,FALSE)="Sim",IF(tblHorasFev[Evento 
(1º Período)]&lt;&gt;"",IF(VLOOKUP(tblHorasFev[Evento 
(1º Período)],tblEvento[],Tabelas!$E$1,FALSE)="Sim",FALSE,TRUE),TRUE),IF(tblHorasFev[Evento 
(2º Período)]&lt;&gt;"",IF(VLOOKUP(tblHorasFev[Evento 
(2º Período)],tblEvento[],Tabelas!$E$1,FALSE)="Sim",FALSE,TRUE),TRUE)),
tblHorasFev[Horas Trabalhadas Além Jornada],""),"")</f>
        <v/>
      </c>
      <c r="S27" s="14" t="str">
        <f>IF(tblHorasFev[Horas Trabalhadas Além Jornada]&gt;0,
IF(OR(VLOOKUP(TEXT(tblHorasFev[Data],"dddd"),tblDiaUtil[],3,FALSE)="Não",IF(tblHorasFev[Evento 
(1º Período)]&lt;&gt;"",IF(VLOOKUP(tblHorasFev[Evento 
(1º Período)],tblEvento[],Tabelas!$E$1,FALSE)="Sim",TRUE,FALSE),FALSE),IF(tblHorasFev[Evento 
(2º Período)]&lt;&gt;"",IF(VLOOKUP(tblHorasFev[Evento 
(2º Período)],tblEvento[],Tabelas!$E$1,FALSE)="Sim",TRUE,FALSE),FALSE)),
tblHorasFev[Horas Trabalhadas Além Jornada],""),"")</f>
        <v/>
      </c>
      <c r="T27" s="15" t="str">
        <f>IF(tblHorasFev[Evento 
(1º Período)]&lt;&gt;""," - " &amp;VLOOKUP(tblHorasFev[Evento 
(1º Período)],tblEvento[],Tabelas!$F$1,FALSE),"")&amp;IF(AND(tblHorasFev[Evento 
(2º Período)]&lt;&gt;"",tblHorasFev[Evento 
(2º Período)]&lt;&gt;tblHorasFev[Evento 
(1º Período)])," - " &amp; VLOOKUP(tblHorasFev[Evento 
(2º Período)],tblEvento[],Tabelas!$F$1,FALSE),"")</f>
        <v/>
      </c>
    </row>
    <row r="28" spans="2:20" x14ac:dyDescent="0.25">
      <c r="B28" s="11" t="str">
        <f t="shared" si="0"/>
        <v/>
      </c>
      <c r="C28" s="12" t="str">
        <f>TEXT(tblHorasFev[Data],"ddd")</f>
        <v/>
      </c>
      <c r="D28" s="25"/>
      <c r="E28" s="1"/>
      <c r="F28" s="1"/>
      <c r="G28" s="1"/>
      <c r="H28" s="1"/>
      <c r="I28" s="53"/>
      <c r="J28" s="4">
        <f>IF($B$6&lt;&gt;"",
IF(AND(tblHorasFev[Evento 
(1º Período)]&lt;&gt;"",IF(ISERROR(VLOOKUP(tblHorasFev[Evento 
(1º Período)],tblEvento[],Tabelas!$D$1,FALSE)),FALSE,VLOOKUP(tblHorasFev[Evento 
(1º Período)],tblEvento[],Tabelas!$D$1,FALSE)="Sim")),
        IF(JORNADA_PERIODO_1&lt;&gt;"",
IF(VLOOKUP(tblHorasFev[Dia],tblDiaUtil[[Abreviatura]:[1º Período]],3,FALSE)&gt;0,VLOOKUP(tblHorasFev[Dia],tblDiaUtil[[Abreviatura]:[1º Período]],3,FALSE),JORNADA_PERIODO_1),
IF(VLOOKUP(tblHorasFev[Dia],tblDiaUtil[[Abreviatura]:[1º Período]],3,FALSE)&gt;0,VLOOKUP(tblHorasFev[Dia],tblDiaUtil[[Abreviatura]:[1º Período]],3,FALSE),JORNADA/2)),
        IF(AND(ISNUMBER(tblHorasFev[Saída - 1 (Almoço)]),ISNUMBER(tblHorasFev[Entrada - 1])),
              IF(OR(AND(tblHorasFev[Evento 
(1º Período)]&lt;&gt;"",IF(ISERROR(VLOOKUP(tblHorasFev[Evento 
(1º Período)],tblEvento[],Tabelas!$E$1,FALSE)),FALSE,VLOOKUP(tblHorasFev[Evento 
(1º Período)],tblEvento[],Tabelas!$E$1,FALSE)="Sim")),IF(VLOOKUP(TEXT(tblHorasFev[Data],"dddd"),tblDiaUtil[],2,FALSE)="Não",TRUE,FALSE)),
                   tblHorasFev[Saída - 1 (Almoço)]-tblHorasFev[Entrada - 1],
                   IF(OR(HOUR(tblHorasFev[Saída - 1 (Almoço)]-tblHorasFev[Entrada - 1])&gt;0,ROUND(tblHorasFev[Saída - 1 (Almoço)]-tblHorasFev[Entrada - 1],6)&gt;ROUND(CARENCIA,6)),
                          tblHorasFev[Saída - 1 (Almoço)]-tblHorasFev[Entrada - 1],
                          0)),
                    0)),0)</f>
        <v>0</v>
      </c>
      <c r="K28" s="4">
        <f>IF($B$6&lt;&gt;"",
IF(AND(tblHorasFev[Evento 
(2º Período)]&lt;&gt;"",IF(ISERROR(VLOOKUP(tblHorasFev[Evento 
(2º Período)],tblEvento[],Tabelas!$D$1,FALSE)),FALSE,VLOOKUP(tblHorasFev[Evento 
(2º Período)],tblEvento[],Tabelas!$D$1,FALSE)="Sim")),
        IF(JORNADA_PERIODO_2&lt;&gt;"",
IF(VLOOKUP(tblHorasFev[Dia],tblDiaUtil[[Abreviatura]:[2º Período]],4,FALSE)&gt;0,VLOOKUP(tblHorasFev[Dia],tblDiaUtil[[Abreviatura]:[2º Período]],4,FALSE),JORNADA_PERIODO_2),
IF(VLOOKUP(tblHorasFev[Dia],tblDiaUtil[[Abreviatura]:[2º Período]],4,FALSE)&gt;0,VLOOKUP(tblHorasFev[Dia],tblDiaUtil[[Abreviatura]:[2º Período]],4,FALSE),JORNADA/2)),
        IF(AND(ISNUMBER(tblHorasFev[Saída - 2]),ISNUMBER(tblHorasFev[Entrada - 2 (Almoço)])),
              IF(OR(AND(tblHorasFev[Evento 
(2º Período)]&lt;&gt;"",IF(ISERROR(VLOOKUP(tblHorasFev[Evento 
(2º Período)],tblEvento[],Tabelas!$E$1,FALSE)),FALSE,VLOOKUP(tblHorasFev[Evento 
(2º Período)],tblEvento[],Tabelas!$E$1,FALSE)="Sim")),IF(VLOOKUP(TEXT(tblHorasFev[Data],"dddd"),tblDiaUtil[],2,FALSE)="Não",TRUE,FALSE)),
                   tblHorasFev[Saída - 2]-tblHorasFev[Entrada - 2 (Almoço)],
                   IF(OR(HOUR(tblHorasFev[Saída - 2]-tblHorasFev[Entrada - 2 (Almoço)])&gt;0,MINUTE(tblHorasFev[Saída - 2]-tblHorasFev[Entrada - 2 (Almoço)])&gt;CARENCIA),
                         tblHorasFev[Saída - 2]-tblHorasFev[Entrada - 2 (Almoço)],
                         0)),
       0)),0)</f>
        <v>0</v>
      </c>
      <c r="L28" s="4">
        <f>tblHorasFev[Horas Trabalhadas (1º Período)]+tblHorasFev[Horas Trabalhadas (2º Período)]</f>
        <v>0</v>
      </c>
      <c r="M28" s="4" t="str">
        <f>IF(tblHorasFev[Data]&lt;&gt;"",
        IF(
AND(VLOOKUP(TEXT(tblHorasFev[Data],"dddd"),tblDiaUtil[],3,FALSE)="Sim",IF(tblHorasFev[Evento 
(1º Período)]&lt;&gt;"",IF(VLOOKUP(tblHorasFev[Evento 
(1º Período)],tblEvento[],Tabelas!$E$1,FALSE)="Sim",FALSE,TRUE),TRUE),IF(tblHorasFev[Evento 
(2º Período)]&lt;&gt;"",IF(VLOOKUP(tblHorasFev[Evento 
(2º Período)],tblEvento[],Tabelas!$E$1,FALSE)="Sim",FALSE,TRUE),TRUE)),
              IF(VLOOKUP(tblHorasFev[Dia],tblDiaUtil[[Abreviatura]:[1º Período]],3,FALSE)&gt;0,VLOOKUP(tblHorasFev[Dia],tblDiaUtil[[Abreviatura]:[1º Período]],3,FALSE),JORNADA),
              ""),
         "")</f>
        <v/>
      </c>
      <c r="N28" s="14">
        <f>IF(OR(tblHorasFev[Horas Trabalhadas (1º Período)]&lt;&gt;0,tblHorasFev[Horas Trabalhadas (2º Período)]&lt;&gt;0),
        IF(ISNUMBER(tblHorasFev[Jornada Diária]),
              IF(tblHorasFev[Jornada Diária]&gt;(tblHorasFev[Horas Trabalhadas (2º Período)]+tblHorasFev[Horas Trabalhadas (1º Período)]),
                     IF(ROUND((tblHorasFev[Jornada Diária]-(tblHorasFev[Horas Trabalhadas (2º Período)]+tblHorasFev[Horas Trabalhadas (1º Período)])),6)&gt;ROUND(CARENCIA,6),
                           -tblHorasFev[Jornada Diária]+(tblHorasFev[Horas Trabalhadas (2º Período)]+tblHorasFev[Horas Trabalhadas (1º Período)]),
                           0),
                      IF(ROUND((tblHorasFev[Jornada Diária]-(tblHorasFev[Horas Trabalhadas (2º Período)]+tblHorasFev[Horas Trabalhadas (1º Período)])),6)&lt;ROUND(-CARENCIA,6),
                           -tblHorasFev[Jornada Diária]+(tblHorasFev[Horas Trabalhadas (2º Período)]+tblHorasFev[Horas Trabalhadas (1º Período)]),
                           0)),
              tblHorasFev[Horas Trabalhadas (2º Período)]+tblHorasFev[Horas Trabalhadas (1º Período)]),
         IF(AND(IF(ISERROR(VLOOKUP(tblHorasFev[Evento 
(1º Período)],tblEvento[[Evento]:[Libera o Período]],4,FALSE)),FALSE,IF(VLOOKUP(tblHorasFev[Evento 
(1º Período)],tblEvento[[Evento]:[Libera o Período]],4,FALSE)="Não",TRUE,FALSE)),IF(ISERROR(VLOOKUP(tblHorasFev[Evento 
(2º Período)],tblEvento[[Evento]:[Libera o Período]],4,FALSE)),FALSE,IF(VLOOKUP(tblHorasFev[Evento 
(2º Período)],tblEvento[[Evento]:[Libera o Período]],4,FALSE)="Não",TRUE,FALSE))),
-IF(VLOOKUP(tblHorasFev[Dia],tblDiaUtil[[Abreviatura]:[Total Jornada]],5,FALSE)&lt;&gt;"",VLOOKUP(tblHorasFev[Dia],tblDiaUtil[[Abreviatura]:[Total Jornada]],5,FALSE),JORNADA),
IF(IF(ISERROR(VLOOKUP(tblHorasFev[Evento 
(1º Período)],tblEvento[[Evento]:[Libera o Período]],4,FALSE)),FALSE,
IF(VLOOKUP(tblHorasFev[Evento 
(1º Período)],tblEvento[[Evento]:[Libera o Período]],4,FALSE)="Não",TRUE,FALSE)
),
-IF(VLOOKUP(tblHorasFev[Dia],tblDiaUtil[[Abreviatura]:[1º Período]],3,FALSE)&lt;&gt;"",VLOOKUP(tblHorasFev[Dia],tblDiaUtil[[Abreviatura]:[1º Período]],3,FALSE),JORNADA_PERIODO_1),
IF(IF(ISERROR(VLOOKUP(tblHorasFev[Evento 
(2º Período)],tblEvento[[Evento]:[Libera o Período]],4,FALSE)),FALSE,IF(VLOOKUP(tblHorasFev[Evento 
(2º Período)],tblEvento[[Evento]:[Libera o Período]],4,FALSE)="Não",TRUE,FALSE)),
-IF(VLOOKUP(tblHorasFev[Dia],tblDiaUtil[[Abreviatura]:[2º Período]],4,FALSE)&lt;&gt;"",VLOOKUP(tblHorasFev[Dia],tblDiaUtil[[Abreviatura]:[2º Período]],4,FALSE),JORNADA_PERIODO_2),0))))</f>
        <v>0</v>
      </c>
      <c r="O28" s="14">
        <f>IF(tblHorasFev[Horas Trabalhadas Além Jornada]&gt;0,
        IF(ISNUMBER(tblHorasFev[Jornada Diária]),
              IF(HOUR(tblHorasFev[Horas Trabalhadas Além Jornada])&gt;=VLOOKUP(LIMITE,tblLimiteHora[],Tabelas!$I$1,FALSE),
                    VLOOKUP(LIMITE,tblLimiteHora[],Tabelas!$J$1,FALSE),
                    tblHorasFev[Horas Trabalhadas Além Jornada]),
              tblHorasFev[Horas Trabalhadas Além Jornada]),
        tblHorasFev[Horas Trabalhadas Além Jornada])+O27</f>
        <v>0</v>
      </c>
      <c r="P28" s="14" t="str">
        <f>IF(tblHorasFev[Horas Trabalhadas Além Jornada]&lt;0,IF(OR(tblHorasFev[Evento 
(1º Período)]="",tblHorasFev[Evento 
(2º Período)]=""),tblHorasFev[Horas Trabalhadas Além Jornada],""),"")</f>
        <v/>
      </c>
      <c r="Q28" s="14" t="str">
        <f>IF(tblHorasFev[Jornada Diária]&lt;&gt;"",IF((N(tblHorasFev[Jornada Diária])-ABS(N(tblHorasFev[Horas Trabalhadas Além Jornada])))=0,1,""),"")</f>
        <v/>
      </c>
      <c r="R28" s="14" t="str">
        <f>IF(tblHorasFev[Horas Trabalhadas Além Jornada]&gt;0,
IF(AND(VLOOKUP(TEXT(tblHorasFev[Data],"dddd"),tblDiaUtil[],3,FALSE)="Sim",IF(tblHorasFev[Evento 
(1º Período)]&lt;&gt;"",IF(VLOOKUP(tblHorasFev[Evento 
(1º Período)],tblEvento[],Tabelas!$E$1,FALSE)="Sim",FALSE,TRUE),TRUE),IF(tblHorasFev[Evento 
(2º Período)]&lt;&gt;"",IF(VLOOKUP(tblHorasFev[Evento 
(2º Período)],tblEvento[],Tabelas!$E$1,FALSE)="Sim",FALSE,TRUE),TRUE)),
tblHorasFev[Horas Trabalhadas Além Jornada],""),"")</f>
        <v/>
      </c>
      <c r="S28" s="14" t="str">
        <f>IF(tblHorasFev[Horas Trabalhadas Além Jornada]&gt;0,
IF(OR(VLOOKUP(TEXT(tblHorasFev[Data],"dddd"),tblDiaUtil[],3,FALSE)="Não",IF(tblHorasFev[Evento 
(1º Período)]&lt;&gt;"",IF(VLOOKUP(tblHorasFev[Evento 
(1º Período)],tblEvento[],Tabelas!$E$1,FALSE)="Sim",TRUE,FALSE),FALSE),IF(tblHorasFev[Evento 
(2º Período)]&lt;&gt;"",IF(VLOOKUP(tblHorasFev[Evento 
(2º Período)],tblEvento[],Tabelas!$E$1,FALSE)="Sim",TRUE,FALSE),FALSE)),
tblHorasFev[Horas Trabalhadas Além Jornada],""),"")</f>
        <v/>
      </c>
      <c r="T28" s="15" t="str">
        <f>IF(tblHorasFev[Evento 
(1º Período)]&lt;&gt;""," - " &amp;VLOOKUP(tblHorasFev[Evento 
(1º Período)],tblEvento[],Tabelas!$F$1,FALSE),"")&amp;IF(AND(tblHorasFev[Evento 
(2º Período)]&lt;&gt;"",tblHorasFev[Evento 
(2º Período)]&lt;&gt;tblHorasFev[Evento 
(1º Período)])," - " &amp; VLOOKUP(tblHorasFev[Evento 
(2º Período)],tblEvento[],Tabelas!$F$1,FALSE),"")</f>
        <v/>
      </c>
    </row>
    <row r="29" spans="2:20" x14ac:dyDescent="0.25">
      <c r="B29" s="11" t="str">
        <f t="shared" si="0"/>
        <v/>
      </c>
      <c r="C29" s="12" t="str">
        <f>TEXT(tblHorasFev[Data],"ddd")</f>
        <v/>
      </c>
      <c r="D29" s="25"/>
      <c r="E29" s="1"/>
      <c r="F29" s="1"/>
      <c r="G29" s="1"/>
      <c r="H29" s="1"/>
      <c r="I29" s="53"/>
      <c r="J29" s="4">
        <f>IF($B$6&lt;&gt;"",
IF(AND(tblHorasFev[Evento 
(1º Período)]&lt;&gt;"",IF(ISERROR(VLOOKUP(tblHorasFev[Evento 
(1º Período)],tblEvento[],Tabelas!$D$1,FALSE)),FALSE,VLOOKUP(tblHorasFev[Evento 
(1º Período)],tblEvento[],Tabelas!$D$1,FALSE)="Sim")),
        IF(JORNADA_PERIODO_1&lt;&gt;"",
IF(VLOOKUP(tblHorasFev[Dia],tblDiaUtil[[Abreviatura]:[1º Período]],3,FALSE)&gt;0,VLOOKUP(tblHorasFev[Dia],tblDiaUtil[[Abreviatura]:[1º Período]],3,FALSE),JORNADA_PERIODO_1),
IF(VLOOKUP(tblHorasFev[Dia],tblDiaUtil[[Abreviatura]:[1º Período]],3,FALSE)&gt;0,VLOOKUP(tblHorasFev[Dia],tblDiaUtil[[Abreviatura]:[1º Período]],3,FALSE),JORNADA/2)),
        IF(AND(ISNUMBER(tblHorasFev[Saída - 1 (Almoço)]),ISNUMBER(tblHorasFev[Entrada - 1])),
              IF(OR(AND(tblHorasFev[Evento 
(1º Período)]&lt;&gt;"",IF(ISERROR(VLOOKUP(tblHorasFev[Evento 
(1º Período)],tblEvento[],Tabelas!$E$1,FALSE)),FALSE,VLOOKUP(tblHorasFev[Evento 
(1º Período)],tblEvento[],Tabelas!$E$1,FALSE)="Sim")),IF(VLOOKUP(TEXT(tblHorasFev[Data],"dddd"),tblDiaUtil[],2,FALSE)="Não",TRUE,FALSE)),
                   tblHorasFev[Saída - 1 (Almoço)]-tblHorasFev[Entrada - 1],
                   IF(OR(HOUR(tblHorasFev[Saída - 1 (Almoço)]-tblHorasFev[Entrada - 1])&gt;0,ROUND(tblHorasFev[Saída - 1 (Almoço)]-tblHorasFev[Entrada - 1],6)&gt;ROUND(CARENCIA,6)),
                          tblHorasFev[Saída - 1 (Almoço)]-tblHorasFev[Entrada - 1],
                          0)),
                    0)),0)</f>
        <v>0</v>
      </c>
      <c r="K29" s="4">
        <f>IF($B$6&lt;&gt;"",
IF(AND(tblHorasFev[Evento 
(2º Período)]&lt;&gt;"",IF(ISERROR(VLOOKUP(tblHorasFev[Evento 
(2º Período)],tblEvento[],Tabelas!$D$1,FALSE)),FALSE,VLOOKUP(tblHorasFev[Evento 
(2º Período)],tblEvento[],Tabelas!$D$1,FALSE)="Sim")),
        IF(JORNADA_PERIODO_2&lt;&gt;"",
IF(VLOOKUP(tblHorasFev[Dia],tblDiaUtil[[Abreviatura]:[2º Período]],4,FALSE)&gt;0,VLOOKUP(tblHorasFev[Dia],tblDiaUtil[[Abreviatura]:[2º Período]],4,FALSE),JORNADA_PERIODO_2),
IF(VLOOKUP(tblHorasFev[Dia],tblDiaUtil[[Abreviatura]:[2º Período]],4,FALSE)&gt;0,VLOOKUP(tblHorasFev[Dia],tblDiaUtil[[Abreviatura]:[2º Período]],4,FALSE),JORNADA/2)),
        IF(AND(ISNUMBER(tblHorasFev[Saída - 2]),ISNUMBER(tblHorasFev[Entrada - 2 (Almoço)])),
              IF(OR(AND(tblHorasFev[Evento 
(2º Período)]&lt;&gt;"",IF(ISERROR(VLOOKUP(tblHorasFev[Evento 
(2º Período)],tblEvento[],Tabelas!$E$1,FALSE)),FALSE,VLOOKUP(tblHorasFev[Evento 
(2º Período)],tblEvento[],Tabelas!$E$1,FALSE)="Sim")),IF(VLOOKUP(TEXT(tblHorasFev[Data],"dddd"),tblDiaUtil[],2,FALSE)="Não",TRUE,FALSE)),
                   tblHorasFev[Saída - 2]-tblHorasFev[Entrada - 2 (Almoço)],
                   IF(OR(HOUR(tblHorasFev[Saída - 2]-tblHorasFev[Entrada - 2 (Almoço)])&gt;0,MINUTE(tblHorasFev[Saída - 2]-tblHorasFev[Entrada - 2 (Almoço)])&gt;CARENCIA),
                         tblHorasFev[Saída - 2]-tblHorasFev[Entrada - 2 (Almoço)],
                         0)),
       0)),0)</f>
        <v>0</v>
      </c>
      <c r="L29" s="4">
        <f>tblHorasFev[Horas Trabalhadas (1º Período)]+tblHorasFev[Horas Trabalhadas (2º Período)]</f>
        <v>0</v>
      </c>
      <c r="M29" s="4" t="str">
        <f>IF(tblHorasFev[Data]&lt;&gt;"",
        IF(
AND(VLOOKUP(TEXT(tblHorasFev[Data],"dddd"),tblDiaUtil[],3,FALSE)="Sim",IF(tblHorasFev[Evento 
(1º Período)]&lt;&gt;"",IF(VLOOKUP(tblHorasFev[Evento 
(1º Período)],tblEvento[],Tabelas!$E$1,FALSE)="Sim",FALSE,TRUE),TRUE),IF(tblHorasFev[Evento 
(2º Período)]&lt;&gt;"",IF(VLOOKUP(tblHorasFev[Evento 
(2º Período)],tblEvento[],Tabelas!$E$1,FALSE)="Sim",FALSE,TRUE),TRUE)),
              IF(VLOOKUP(tblHorasFev[Dia],tblDiaUtil[[Abreviatura]:[1º Período]],3,FALSE)&gt;0,VLOOKUP(tblHorasFev[Dia],tblDiaUtil[[Abreviatura]:[1º Período]],3,FALSE),JORNADA),
              ""),
         "")</f>
        <v/>
      </c>
      <c r="N29" s="14">
        <f>IF(OR(tblHorasFev[Horas Trabalhadas (1º Período)]&lt;&gt;0,tblHorasFev[Horas Trabalhadas (2º Período)]&lt;&gt;0),
        IF(ISNUMBER(tblHorasFev[Jornada Diária]),
              IF(tblHorasFev[Jornada Diária]&gt;(tblHorasFev[Horas Trabalhadas (2º Período)]+tblHorasFev[Horas Trabalhadas (1º Período)]),
                     IF(ROUND((tblHorasFev[Jornada Diária]-(tblHorasFev[Horas Trabalhadas (2º Período)]+tblHorasFev[Horas Trabalhadas (1º Período)])),6)&gt;ROUND(CARENCIA,6),
                           -tblHorasFev[Jornada Diária]+(tblHorasFev[Horas Trabalhadas (2º Período)]+tblHorasFev[Horas Trabalhadas (1º Período)]),
                           0),
                      IF(ROUND((tblHorasFev[Jornada Diária]-(tblHorasFev[Horas Trabalhadas (2º Período)]+tblHorasFev[Horas Trabalhadas (1º Período)])),6)&lt;ROUND(-CARENCIA,6),
                           -tblHorasFev[Jornada Diária]+(tblHorasFev[Horas Trabalhadas (2º Período)]+tblHorasFev[Horas Trabalhadas (1º Período)]),
                           0)),
              tblHorasFev[Horas Trabalhadas (2º Período)]+tblHorasFev[Horas Trabalhadas (1º Período)]),
         IF(AND(IF(ISERROR(VLOOKUP(tblHorasFev[Evento 
(1º Período)],tblEvento[[Evento]:[Libera o Período]],4,FALSE)),FALSE,IF(VLOOKUP(tblHorasFev[Evento 
(1º Período)],tblEvento[[Evento]:[Libera o Período]],4,FALSE)="Não",TRUE,FALSE)),IF(ISERROR(VLOOKUP(tblHorasFev[Evento 
(2º Período)],tblEvento[[Evento]:[Libera o Período]],4,FALSE)),FALSE,IF(VLOOKUP(tblHorasFev[Evento 
(2º Período)],tblEvento[[Evento]:[Libera o Período]],4,FALSE)="Não",TRUE,FALSE))),
-IF(VLOOKUP(tblHorasFev[Dia],tblDiaUtil[[Abreviatura]:[Total Jornada]],5,FALSE)&lt;&gt;"",VLOOKUP(tblHorasFev[Dia],tblDiaUtil[[Abreviatura]:[Total Jornada]],5,FALSE),JORNADA),
IF(IF(ISERROR(VLOOKUP(tblHorasFev[Evento 
(1º Período)],tblEvento[[Evento]:[Libera o Período]],4,FALSE)),FALSE,
IF(VLOOKUP(tblHorasFev[Evento 
(1º Período)],tblEvento[[Evento]:[Libera o Período]],4,FALSE)="Não",TRUE,FALSE)
),
-IF(VLOOKUP(tblHorasFev[Dia],tblDiaUtil[[Abreviatura]:[1º Período]],3,FALSE)&lt;&gt;"",VLOOKUP(tblHorasFev[Dia],tblDiaUtil[[Abreviatura]:[1º Período]],3,FALSE),JORNADA_PERIODO_1),
IF(IF(ISERROR(VLOOKUP(tblHorasFev[Evento 
(2º Período)],tblEvento[[Evento]:[Libera o Período]],4,FALSE)),FALSE,IF(VLOOKUP(tblHorasFev[Evento 
(2º Período)],tblEvento[[Evento]:[Libera o Período]],4,FALSE)="Não",TRUE,FALSE)),
-IF(VLOOKUP(tblHorasFev[Dia],tblDiaUtil[[Abreviatura]:[2º Período]],4,FALSE)&lt;&gt;"",VLOOKUP(tblHorasFev[Dia],tblDiaUtil[[Abreviatura]:[2º Período]],4,FALSE),JORNADA_PERIODO_2),0))))</f>
        <v>0</v>
      </c>
      <c r="O29" s="14">
        <f>IF(tblHorasFev[Horas Trabalhadas Além Jornada]&gt;0,
        IF(ISNUMBER(tblHorasFev[Jornada Diária]),
              IF(HOUR(tblHorasFev[Horas Trabalhadas Além Jornada])&gt;=VLOOKUP(LIMITE,tblLimiteHora[],Tabelas!$I$1,FALSE),
                    VLOOKUP(LIMITE,tblLimiteHora[],Tabelas!$J$1,FALSE),
                    tblHorasFev[Horas Trabalhadas Além Jornada]),
              tblHorasFev[Horas Trabalhadas Além Jornada]),
        tblHorasFev[Horas Trabalhadas Além Jornada])+O28</f>
        <v>0</v>
      </c>
      <c r="P29" s="14" t="str">
        <f>IF(tblHorasFev[Horas Trabalhadas Além Jornada]&lt;0,IF(OR(tblHorasFev[Evento 
(1º Período)]="",tblHorasFev[Evento 
(2º Período)]=""),tblHorasFev[Horas Trabalhadas Além Jornada],""),"")</f>
        <v/>
      </c>
      <c r="Q29" s="14" t="str">
        <f>IF(tblHorasFev[Jornada Diária]&lt;&gt;"",IF((N(tblHorasFev[Jornada Diária])-ABS(N(tblHorasFev[Horas Trabalhadas Além Jornada])))=0,1,""),"")</f>
        <v/>
      </c>
      <c r="R29" s="14" t="str">
        <f>IF(tblHorasFev[Horas Trabalhadas Além Jornada]&gt;0,
IF(AND(VLOOKUP(TEXT(tblHorasFev[Data],"dddd"),tblDiaUtil[],3,FALSE)="Sim",IF(tblHorasFev[Evento 
(1º Período)]&lt;&gt;"",IF(VLOOKUP(tblHorasFev[Evento 
(1º Período)],tblEvento[],Tabelas!$E$1,FALSE)="Sim",FALSE,TRUE),TRUE),IF(tblHorasFev[Evento 
(2º Período)]&lt;&gt;"",IF(VLOOKUP(tblHorasFev[Evento 
(2º Período)],tblEvento[],Tabelas!$E$1,FALSE)="Sim",FALSE,TRUE),TRUE)),
tblHorasFev[Horas Trabalhadas Além Jornada],""),"")</f>
        <v/>
      </c>
      <c r="S29" s="14" t="str">
        <f>IF(tblHorasFev[Horas Trabalhadas Além Jornada]&gt;0,
IF(OR(VLOOKUP(TEXT(tblHorasFev[Data],"dddd"),tblDiaUtil[],3,FALSE)="Não",IF(tblHorasFev[Evento 
(1º Período)]&lt;&gt;"",IF(VLOOKUP(tblHorasFev[Evento 
(1º Período)],tblEvento[],Tabelas!$E$1,FALSE)="Sim",TRUE,FALSE),FALSE),IF(tblHorasFev[Evento 
(2º Período)]&lt;&gt;"",IF(VLOOKUP(tblHorasFev[Evento 
(2º Período)],tblEvento[],Tabelas!$E$1,FALSE)="Sim",TRUE,FALSE),FALSE)),
tblHorasFev[Horas Trabalhadas Além Jornada],""),"")</f>
        <v/>
      </c>
      <c r="T29" s="15" t="str">
        <f>IF(tblHorasFev[Evento 
(1º Período)]&lt;&gt;""," - " &amp;VLOOKUP(tblHorasFev[Evento 
(1º Período)],tblEvento[],Tabelas!$F$1,FALSE),"")&amp;IF(AND(tblHorasFev[Evento 
(2º Período)]&lt;&gt;"",tblHorasFev[Evento 
(2º Período)]&lt;&gt;tblHorasFev[Evento 
(1º Período)])," - " &amp; VLOOKUP(tblHorasFev[Evento 
(2º Período)],tblEvento[],Tabelas!$F$1,FALSE),"")</f>
        <v/>
      </c>
    </row>
    <row r="30" spans="2:20" x14ac:dyDescent="0.25">
      <c r="B30" s="11" t="str">
        <f t="shared" si="0"/>
        <v/>
      </c>
      <c r="C30" s="12" t="str">
        <f>TEXT(tblHorasFev[Data],"ddd")</f>
        <v/>
      </c>
      <c r="D30" s="25"/>
      <c r="E30" s="1"/>
      <c r="F30" s="1"/>
      <c r="G30" s="1"/>
      <c r="H30" s="1"/>
      <c r="I30" s="53"/>
      <c r="J30" s="4">
        <f>IF($B$6&lt;&gt;"",
IF(AND(tblHorasFev[Evento 
(1º Período)]&lt;&gt;"",IF(ISERROR(VLOOKUP(tblHorasFev[Evento 
(1º Período)],tblEvento[],Tabelas!$D$1,FALSE)),FALSE,VLOOKUP(tblHorasFev[Evento 
(1º Período)],tblEvento[],Tabelas!$D$1,FALSE)="Sim")),
        IF(JORNADA_PERIODO_1&lt;&gt;"",
IF(VLOOKUP(tblHorasFev[Dia],tblDiaUtil[[Abreviatura]:[1º Período]],3,FALSE)&gt;0,VLOOKUP(tblHorasFev[Dia],tblDiaUtil[[Abreviatura]:[1º Período]],3,FALSE),JORNADA_PERIODO_1),
IF(VLOOKUP(tblHorasFev[Dia],tblDiaUtil[[Abreviatura]:[1º Período]],3,FALSE)&gt;0,VLOOKUP(tblHorasFev[Dia],tblDiaUtil[[Abreviatura]:[1º Período]],3,FALSE),JORNADA/2)),
        IF(AND(ISNUMBER(tblHorasFev[Saída - 1 (Almoço)]),ISNUMBER(tblHorasFev[Entrada - 1])),
              IF(OR(AND(tblHorasFev[Evento 
(1º Período)]&lt;&gt;"",IF(ISERROR(VLOOKUP(tblHorasFev[Evento 
(1º Período)],tblEvento[],Tabelas!$E$1,FALSE)),FALSE,VLOOKUP(tblHorasFev[Evento 
(1º Período)],tblEvento[],Tabelas!$E$1,FALSE)="Sim")),IF(VLOOKUP(TEXT(tblHorasFev[Data],"dddd"),tblDiaUtil[],2,FALSE)="Não",TRUE,FALSE)),
                   tblHorasFev[Saída - 1 (Almoço)]-tblHorasFev[Entrada - 1],
                   IF(OR(HOUR(tblHorasFev[Saída - 1 (Almoço)]-tblHorasFev[Entrada - 1])&gt;0,ROUND(tblHorasFev[Saída - 1 (Almoço)]-tblHorasFev[Entrada - 1],6)&gt;ROUND(CARENCIA,6)),
                          tblHorasFev[Saída - 1 (Almoço)]-tblHorasFev[Entrada - 1],
                          0)),
                    0)),0)</f>
        <v>0</v>
      </c>
      <c r="K30" s="4">
        <f>IF($B$6&lt;&gt;"",
IF(AND(tblHorasFev[Evento 
(2º Período)]&lt;&gt;"",IF(ISERROR(VLOOKUP(tblHorasFev[Evento 
(2º Período)],tblEvento[],Tabelas!$D$1,FALSE)),FALSE,VLOOKUP(tblHorasFev[Evento 
(2º Período)],tblEvento[],Tabelas!$D$1,FALSE)="Sim")),
        IF(JORNADA_PERIODO_2&lt;&gt;"",
IF(VLOOKUP(tblHorasFev[Dia],tblDiaUtil[[Abreviatura]:[2º Período]],4,FALSE)&gt;0,VLOOKUP(tblHorasFev[Dia],tblDiaUtil[[Abreviatura]:[2º Período]],4,FALSE),JORNADA_PERIODO_2),
IF(VLOOKUP(tblHorasFev[Dia],tblDiaUtil[[Abreviatura]:[2º Período]],4,FALSE)&gt;0,VLOOKUP(tblHorasFev[Dia],tblDiaUtil[[Abreviatura]:[2º Período]],4,FALSE),JORNADA/2)),
        IF(AND(ISNUMBER(tblHorasFev[Saída - 2]),ISNUMBER(tblHorasFev[Entrada - 2 (Almoço)])),
              IF(OR(AND(tblHorasFev[Evento 
(2º Período)]&lt;&gt;"",IF(ISERROR(VLOOKUP(tblHorasFev[Evento 
(2º Período)],tblEvento[],Tabelas!$E$1,FALSE)),FALSE,VLOOKUP(tblHorasFev[Evento 
(2º Período)],tblEvento[],Tabelas!$E$1,FALSE)="Sim")),IF(VLOOKUP(TEXT(tblHorasFev[Data],"dddd"),tblDiaUtil[],2,FALSE)="Não",TRUE,FALSE)),
                   tblHorasFev[Saída - 2]-tblHorasFev[Entrada - 2 (Almoço)],
                   IF(OR(HOUR(tblHorasFev[Saída - 2]-tblHorasFev[Entrada - 2 (Almoço)])&gt;0,MINUTE(tblHorasFev[Saída - 2]-tblHorasFev[Entrada - 2 (Almoço)])&gt;CARENCIA),
                         tblHorasFev[Saída - 2]-tblHorasFev[Entrada - 2 (Almoço)],
                         0)),
       0)),0)</f>
        <v>0</v>
      </c>
      <c r="L30" s="4">
        <f>tblHorasFev[Horas Trabalhadas (1º Período)]+tblHorasFev[Horas Trabalhadas (2º Período)]</f>
        <v>0</v>
      </c>
      <c r="M30" s="4" t="str">
        <f>IF(tblHorasFev[Data]&lt;&gt;"",
        IF(
AND(VLOOKUP(TEXT(tblHorasFev[Data],"dddd"),tblDiaUtil[],3,FALSE)="Sim",IF(tblHorasFev[Evento 
(1º Período)]&lt;&gt;"",IF(VLOOKUP(tblHorasFev[Evento 
(1º Período)],tblEvento[],Tabelas!$E$1,FALSE)="Sim",FALSE,TRUE),TRUE),IF(tblHorasFev[Evento 
(2º Período)]&lt;&gt;"",IF(VLOOKUP(tblHorasFev[Evento 
(2º Período)],tblEvento[],Tabelas!$E$1,FALSE)="Sim",FALSE,TRUE),TRUE)),
              IF(VLOOKUP(tblHorasFev[Dia],tblDiaUtil[[Abreviatura]:[1º Período]],3,FALSE)&gt;0,VLOOKUP(tblHorasFev[Dia],tblDiaUtil[[Abreviatura]:[1º Período]],3,FALSE),JORNADA),
              ""),
         "")</f>
        <v/>
      </c>
      <c r="N30" s="14">
        <f>IF(OR(tblHorasFev[Horas Trabalhadas (1º Período)]&lt;&gt;0,tblHorasFev[Horas Trabalhadas (2º Período)]&lt;&gt;0),
        IF(ISNUMBER(tblHorasFev[Jornada Diária]),
              IF(tblHorasFev[Jornada Diária]&gt;(tblHorasFev[Horas Trabalhadas (2º Período)]+tblHorasFev[Horas Trabalhadas (1º Período)]),
                     IF(ROUND((tblHorasFev[Jornada Diária]-(tblHorasFev[Horas Trabalhadas (2º Período)]+tblHorasFev[Horas Trabalhadas (1º Período)])),6)&gt;ROUND(CARENCIA,6),
                           -tblHorasFev[Jornada Diária]+(tblHorasFev[Horas Trabalhadas (2º Período)]+tblHorasFev[Horas Trabalhadas (1º Período)]),
                           0),
                      IF(ROUND((tblHorasFev[Jornada Diária]-(tblHorasFev[Horas Trabalhadas (2º Período)]+tblHorasFev[Horas Trabalhadas (1º Período)])),6)&lt;ROUND(-CARENCIA,6),
                           -tblHorasFev[Jornada Diária]+(tblHorasFev[Horas Trabalhadas (2º Período)]+tblHorasFev[Horas Trabalhadas (1º Período)]),
                           0)),
              tblHorasFev[Horas Trabalhadas (2º Período)]+tblHorasFev[Horas Trabalhadas (1º Período)]),
         IF(AND(IF(ISERROR(VLOOKUP(tblHorasFev[Evento 
(1º Período)],tblEvento[[Evento]:[Libera o Período]],4,FALSE)),FALSE,IF(VLOOKUP(tblHorasFev[Evento 
(1º Período)],tblEvento[[Evento]:[Libera o Período]],4,FALSE)="Não",TRUE,FALSE)),IF(ISERROR(VLOOKUP(tblHorasFev[Evento 
(2º Período)],tblEvento[[Evento]:[Libera o Período]],4,FALSE)),FALSE,IF(VLOOKUP(tblHorasFev[Evento 
(2º Período)],tblEvento[[Evento]:[Libera o Período]],4,FALSE)="Não",TRUE,FALSE))),
-IF(VLOOKUP(tblHorasFev[Dia],tblDiaUtil[[Abreviatura]:[Total Jornada]],5,FALSE)&lt;&gt;"",VLOOKUP(tblHorasFev[Dia],tblDiaUtil[[Abreviatura]:[Total Jornada]],5,FALSE),JORNADA),
IF(IF(ISERROR(VLOOKUP(tblHorasFev[Evento 
(1º Período)],tblEvento[[Evento]:[Libera o Período]],4,FALSE)),FALSE,
IF(VLOOKUP(tblHorasFev[Evento 
(1º Período)],tblEvento[[Evento]:[Libera o Período]],4,FALSE)="Não",TRUE,FALSE)
),
-IF(VLOOKUP(tblHorasFev[Dia],tblDiaUtil[[Abreviatura]:[1º Período]],3,FALSE)&lt;&gt;"",VLOOKUP(tblHorasFev[Dia],tblDiaUtil[[Abreviatura]:[1º Período]],3,FALSE),JORNADA_PERIODO_1),
IF(IF(ISERROR(VLOOKUP(tblHorasFev[Evento 
(2º Período)],tblEvento[[Evento]:[Libera o Período]],4,FALSE)),FALSE,IF(VLOOKUP(tblHorasFev[Evento 
(2º Período)],tblEvento[[Evento]:[Libera o Período]],4,FALSE)="Não",TRUE,FALSE)),
-IF(VLOOKUP(tblHorasFev[Dia],tblDiaUtil[[Abreviatura]:[2º Período]],4,FALSE)&lt;&gt;"",VLOOKUP(tblHorasFev[Dia],tblDiaUtil[[Abreviatura]:[2º Período]],4,FALSE),JORNADA_PERIODO_2),0))))</f>
        <v>0</v>
      </c>
      <c r="O30" s="14">
        <f>IF(tblHorasFev[Horas Trabalhadas Além Jornada]&gt;0,
        IF(ISNUMBER(tblHorasFev[Jornada Diária]),
              IF(HOUR(tblHorasFev[Horas Trabalhadas Além Jornada])&gt;=VLOOKUP(LIMITE,tblLimiteHora[],Tabelas!$I$1,FALSE),
                    VLOOKUP(LIMITE,tblLimiteHora[],Tabelas!$J$1,FALSE),
                    tblHorasFev[Horas Trabalhadas Além Jornada]),
              tblHorasFev[Horas Trabalhadas Além Jornada]),
        tblHorasFev[Horas Trabalhadas Além Jornada])+O29</f>
        <v>0</v>
      </c>
      <c r="P30" s="14" t="str">
        <f>IF(tblHorasFev[Horas Trabalhadas Além Jornada]&lt;0,IF(OR(tblHorasFev[Evento 
(1º Período)]="",tblHorasFev[Evento 
(2º Período)]=""),tblHorasFev[Horas Trabalhadas Além Jornada],""),"")</f>
        <v/>
      </c>
      <c r="Q30" s="14" t="str">
        <f>IF(tblHorasFev[Jornada Diária]&lt;&gt;"",IF((N(tblHorasFev[Jornada Diária])-ABS(N(tblHorasFev[Horas Trabalhadas Além Jornada])))=0,1,""),"")</f>
        <v/>
      </c>
      <c r="R30" s="14" t="str">
        <f>IF(tblHorasFev[Horas Trabalhadas Além Jornada]&gt;0,
IF(AND(VLOOKUP(TEXT(tblHorasFev[Data],"dddd"),tblDiaUtil[],3,FALSE)="Sim",IF(tblHorasFev[Evento 
(1º Período)]&lt;&gt;"",IF(VLOOKUP(tblHorasFev[Evento 
(1º Período)],tblEvento[],Tabelas!$E$1,FALSE)="Sim",FALSE,TRUE),TRUE),IF(tblHorasFev[Evento 
(2º Período)]&lt;&gt;"",IF(VLOOKUP(tblHorasFev[Evento 
(2º Período)],tblEvento[],Tabelas!$E$1,FALSE)="Sim",FALSE,TRUE),TRUE)),
tblHorasFev[Horas Trabalhadas Além Jornada],""),"")</f>
        <v/>
      </c>
      <c r="S30" s="14" t="str">
        <f>IF(tblHorasFev[Horas Trabalhadas Além Jornada]&gt;0,
IF(OR(VLOOKUP(TEXT(tblHorasFev[Data],"dddd"),tblDiaUtil[],3,FALSE)="Não",IF(tblHorasFev[Evento 
(1º Período)]&lt;&gt;"",IF(VLOOKUP(tblHorasFev[Evento 
(1º Período)],tblEvento[],Tabelas!$E$1,FALSE)="Sim",TRUE,FALSE),FALSE),IF(tblHorasFev[Evento 
(2º Período)]&lt;&gt;"",IF(VLOOKUP(tblHorasFev[Evento 
(2º Período)],tblEvento[],Tabelas!$E$1,FALSE)="Sim",TRUE,FALSE),FALSE)),
tblHorasFev[Horas Trabalhadas Além Jornada],""),"")</f>
        <v/>
      </c>
      <c r="T30" s="15" t="str">
        <f>IF(tblHorasFev[Evento 
(1º Período)]&lt;&gt;""," - " &amp;VLOOKUP(tblHorasFev[Evento 
(1º Período)],tblEvento[],Tabelas!$F$1,FALSE),"")&amp;IF(AND(tblHorasFev[Evento 
(2º Período)]&lt;&gt;"",tblHorasFev[Evento 
(2º Período)]&lt;&gt;tblHorasFev[Evento 
(1º Período)])," - " &amp; VLOOKUP(tblHorasFev[Evento 
(2º Período)],tblEvento[],Tabelas!$F$1,FALSE),"")</f>
        <v/>
      </c>
    </row>
    <row r="31" spans="2:20" x14ac:dyDescent="0.25">
      <c r="B31" s="11" t="str">
        <f t="shared" si="0"/>
        <v/>
      </c>
      <c r="C31" s="12" t="str">
        <f>TEXT(tblHorasFev[Data],"ddd")</f>
        <v/>
      </c>
      <c r="D31" s="25"/>
      <c r="E31" s="1"/>
      <c r="F31" s="1"/>
      <c r="G31" s="1"/>
      <c r="H31" s="1"/>
      <c r="I31" s="53"/>
      <c r="J31" s="4">
        <f>IF($B$6&lt;&gt;"",
IF(AND(tblHorasFev[Evento 
(1º Período)]&lt;&gt;"",IF(ISERROR(VLOOKUP(tblHorasFev[Evento 
(1º Período)],tblEvento[],Tabelas!$D$1,FALSE)),FALSE,VLOOKUP(tblHorasFev[Evento 
(1º Período)],tblEvento[],Tabelas!$D$1,FALSE)="Sim")),
        IF(JORNADA_PERIODO_1&lt;&gt;"",
IF(VLOOKUP(tblHorasFev[Dia],tblDiaUtil[[Abreviatura]:[1º Período]],3,FALSE)&gt;0,VLOOKUP(tblHorasFev[Dia],tblDiaUtil[[Abreviatura]:[1º Período]],3,FALSE),JORNADA_PERIODO_1),
IF(VLOOKUP(tblHorasFev[Dia],tblDiaUtil[[Abreviatura]:[1º Período]],3,FALSE)&gt;0,VLOOKUP(tblHorasFev[Dia],tblDiaUtil[[Abreviatura]:[1º Período]],3,FALSE),JORNADA/2)),
        IF(AND(ISNUMBER(tblHorasFev[Saída - 1 (Almoço)]),ISNUMBER(tblHorasFev[Entrada - 1])),
              IF(OR(AND(tblHorasFev[Evento 
(1º Período)]&lt;&gt;"",IF(ISERROR(VLOOKUP(tblHorasFev[Evento 
(1º Período)],tblEvento[],Tabelas!$E$1,FALSE)),FALSE,VLOOKUP(tblHorasFev[Evento 
(1º Período)],tblEvento[],Tabelas!$E$1,FALSE)="Sim")),IF(VLOOKUP(TEXT(tblHorasFev[Data],"dddd"),tblDiaUtil[],2,FALSE)="Não",TRUE,FALSE)),
                   tblHorasFev[Saída - 1 (Almoço)]-tblHorasFev[Entrada - 1],
                   IF(OR(HOUR(tblHorasFev[Saída - 1 (Almoço)]-tblHorasFev[Entrada - 1])&gt;0,ROUND(tblHorasFev[Saída - 1 (Almoço)]-tblHorasFev[Entrada - 1],6)&gt;ROUND(CARENCIA,6)),
                          tblHorasFev[Saída - 1 (Almoço)]-tblHorasFev[Entrada - 1],
                          0)),
                    0)),0)</f>
        <v>0</v>
      </c>
      <c r="K31" s="4">
        <f>IF($B$6&lt;&gt;"",
IF(AND(tblHorasFev[Evento 
(2º Período)]&lt;&gt;"",IF(ISERROR(VLOOKUP(tblHorasFev[Evento 
(2º Período)],tblEvento[],Tabelas!$D$1,FALSE)),FALSE,VLOOKUP(tblHorasFev[Evento 
(2º Período)],tblEvento[],Tabelas!$D$1,FALSE)="Sim")),
        IF(JORNADA_PERIODO_2&lt;&gt;"",
IF(VLOOKUP(tblHorasFev[Dia],tblDiaUtil[[Abreviatura]:[2º Período]],4,FALSE)&gt;0,VLOOKUP(tblHorasFev[Dia],tblDiaUtil[[Abreviatura]:[2º Período]],4,FALSE),JORNADA_PERIODO_2),
IF(VLOOKUP(tblHorasFev[Dia],tblDiaUtil[[Abreviatura]:[2º Período]],4,FALSE)&gt;0,VLOOKUP(tblHorasFev[Dia],tblDiaUtil[[Abreviatura]:[2º Período]],4,FALSE),JORNADA/2)),
        IF(AND(ISNUMBER(tblHorasFev[Saída - 2]),ISNUMBER(tblHorasFev[Entrada - 2 (Almoço)])),
              IF(OR(AND(tblHorasFev[Evento 
(2º Período)]&lt;&gt;"",IF(ISERROR(VLOOKUP(tblHorasFev[Evento 
(2º Período)],tblEvento[],Tabelas!$E$1,FALSE)),FALSE,VLOOKUP(tblHorasFev[Evento 
(2º Período)],tblEvento[],Tabelas!$E$1,FALSE)="Sim")),IF(VLOOKUP(TEXT(tblHorasFev[Data],"dddd"),tblDiaUtil[],2,FALSE)="Não",TRUE,FALSE)),
                   tblHorasFev[Saída - 2]-tblHorasFev[Entrada - 2 (Almoço)],
                   IF(OR(HOUR(tblHorasFev[Saída - 2]-tblHorasFev[Entrada - 2 (Almoço)])&gt;0,MINUTE(tblHorasFev[Saída - 2]-tblHorasFev[Entrada - 2 (Almoço)])&gt;CARENCIA),
                         tblHorasFev[Saída - 2]-tblHorasFev[Entrada - 2 (Almoço)],
                         0)),
       0)),0)</f>
        <v>0</v>
      </c>
      <c r="L31" s="4">
        <f>tblHorasFev[Horas Trabalhadas (1º Período)]+tblHorasFev[Horas Trabalhadas (2º Período)]</f>
        <v>0</v>
      </c>
      <c r="M31" s="4" t="str">
        <f>IF(tblHorasFev[Data]&lt;&gt;"",
        IF(
AND(VLOOKUP(TEXT(tblHorasFev[Data],"dddd"),tblDiaUtil[],3,FALSE)="Sim",IF(tblHorasFev[Evento 
(1º Período)]&lt;&gt;"",IF(VLOOKUP(tblHorasFev[Evento 
(1º Período)],tblEvento[],Tabelas!$E$1,FALSE)="Sim",FALSE,TRUE),TRUE),IF(tblHorasFev[Evento 
(2º Período)]&lt;&gt;"",IF(VLOOKUP(tblHorasFev[Evento 
(2º Período)],tblEvento[],Tabelas!$E$1,FALSE)="Sim",FALSE,TRUE),TRUE)),
              IF(VLOOKUP(tblHorasFev[Dia],tblDiaUtil[[Abreviatura]:[1º Período]],3,FALSE)&gt;0,VLOOKUP(tblHorasFev[Dia],tblDiaUtil[[Abreviatura]:[1º Período]],3,FALSE),JORNADA),
              ""),
         "")</f>
        <v/>
      </c>
      <c r="N31" s="14">
        <f>IF(OR(tblHorasFev[Horas Trabalhadas (1º Período)]&lt;&gt;0,tblHorasFev[Horas Trabalhadas (2º Período)]&lt;&gt;0),
        IF(ISNUMBER(tblHorasFev[Jornada Diária]),
              IF(tblHorasFev[Jornada Diária]&gt;(tblHorasFev[Horas Trabalhadas (2º Período)]+tblHorasFev[Horas Trabalhadas (1º Período)]),
                     IF(ROUND((tblHorasFev[Jornada Diária]-(tblHorasFev[Horas Trabalhadas (2º Período)]+tblHorasFev[Horas Trabalhadas (1º Período)])),6)&gt;ROUND(CARENCIA,6),
                           -tblHorasFev[Jornada Diária]+(tblHorasFev[Horas Trabalhadas (2º Período)]+tblHorasFev[Horas Trabalhadas (1º Período)]),
                           0),
                      IF(ROUND((tblHorasFev[Jornada Diária]-(tblHorasFev[Horas Trabalhadas (2º Período)]+tblHorasFev[Horas Trabalhadas (1º Período)])),6)&lt;ROUND(-CARENCIA,6),
                           -tblHorasFev[Jornada Diária]+(tblHorasFev[Horas Trabalhadas (2º Período)]+tblHorasFev[Horas Trabalhadas (1º Período)]),
                           0)),
              tblHorasFev[Horas Trabalhadas (2º Período)]+tblHorasFev[Horas Trabalhadas (1º Período)]),
         IF(AND(IF(ISERROR(VLOOKUP(tblHorasFev[Evento 
(1º Período)],tblEvento[[Evento]:[Libera o Período]],4,FALSE)),FALSE,IF(VLOOKUP(tblHorasFev[Evento 
(1º Período)],tblEvento[[Evento]:[Libera o Período]],4,FALSE)="Não",TRUE,FALSE)),IF(ISERROR(VLOOKUP(tblHorasFev[Evento 
(2º Período)],tblEvento[[Evento]:[Libera o Período]],4,FALSE)),FALSE,IF(VLOOKUP(tblHorasFev[Evento 
(2º Período)],tblEvento[[Evento]:[Libera o Período]],4,FALSE)="Não",TRUE,FALSE))),
-IF(VLOOKUP(tblHorasFev[Dia],tblDiaUtil[[Abreviatura]:[Total Jornada]],5,FALSE)&lt;&gt;"",VLOOKUP(tblHorasFev[Dia],tblDiaUtil[[Abreviatura]:[Total Jornada]],5,FALSE),JORNADA),
IF(IF(ISERROR(VLOOKUP(tblHorasFev[Evento 
(1º Período)],tblEvento[[Evento]:[Libera o Período]],4,FALSE)),FALSE,
IF(VLOOKUP(tblHorasFev[Evento 
(1º Período)],tblEvento[[Evento]:[Libera o Período]],4,FALSE)="Não",TRUE,FALSE)
),
-IF(VLOOKUP(tblHorasFev[Dia],tblDiaUtil[[Abreviatura]:[1º Período]],3,FALSE)&lt;&gt;"",VLOOKUP(tblHorasFev[Dia],tblDiaUtil[[Abreviatura]:[1º Período]],3,FALSE),JORNADA_PERIODO_1),
IF(IF(ISERROR(VLOOKUP(tblHorasFev[Evento 
(2º Período)],tblEvento[[Evento]:[Libera o Período]],4,FALSE)),FALSE,IF(VLOOKUP(tblHorasFev[Evento 
(2º Período)],tblEvento[[Evento]:[Libera o Período]],4,FALSE)="Não",TRUE,FALSE)),
-IF(VLOOKUP(tblHorasFev[Dia],tblDiaUtil[[Abreviatura]:[2º Período]],4,FALSE)&lt;&gt;"",VLOOKUP(tblHorasFev[Dia],tblDiaUtil[[Abreviatura]:[2º Período]],4,FALSE),JORNADA_PERIODO_2),0))))</f>
        <v>0</v>
      </c>
      <c r="O31" s="14">
        <f>IF(tblHorasFev[Horas Trabalhadas Além Jornada]&gt;0,
        IF(ISNUMBER(tblHorasFev[Jornada Diária]),
              IF(HOUR(tblHorasFev[Horas Trabalhadas Além Jornada])&gt;=VLOOKUP(LIMITE,tblLimiteHora[],Tabelas!$I$1,FALSE),
                    VLOOKUP(LIMITE,tblLimiteHora[],Tabelas!$J$1,FALSE),
                    tblHorasFev[Horas Trabalhadas Além Jornada]),
              tblHorasFev[Horas Trabalhadas Além Jornada]),
        tblHorasFev[Horas Trabalhadas Além Jornada])+O30</f>
        <v>0</v>
      </c>
      <c r="P31" s="14" t="str">
        <f>IF(tblHorasFev[Horas Trabalhadas Além Jornada]&lt;0,IF(OR(tblHorasFev[Evento 
(1º Período)]="",tblHorasFev[Evento 
(2º Período)]=""),tblHorasFev[Horas Trabalhadas Além Jornada],""),"")</f>
        <v/>
      </c>
      <c r="Q31" s="14" t="str">
        <f>IF(tblHorasFev[Jornada Diária]&lt;&gt;"",IF((N(tblHorasFev[Jornada Diária])-ABS(N(tblHorasFev[Horas Trabalhadas Além Jornada])))=0,1,""),"")</f>
        <v/>
      </c>
      <c r="R31" s="14" t="str">
        <f>IF(tblHorasFev[Horas Trabalhadas Além Jornada]&gt;0,
IF(AND(VLOOKUP(TEXT(tblHorasFev[Data],"dddd"),tblDiaUtil[],3,FALSE)="Sim",IF(tblHorasFev[Evento 
(1º Período)]&lt;&gt;"",IF(VLOOKUP(tblHorasFev[Evento 
(1º Período)],tblEvento[],Tabelas!$E$1,FALSE)="Sim",FALSE,TRUE),TRUE),IF(tblHorasFev[Evento 
(2º Período)]&lt;&gt;"",IF(VLOOKUP(tblHorasFev[Evento 
(2º Período)],tblEvento[],Tabelas!$E$1,FALSE)="Sim",FALSE,TRUE),TRUE)),
tblHorasFev[Horas Trabalhadas Além Jornada],""),"")</f>
        <v/>
      </c>
      <c r="S31" s="14" t="str">
        <f>IF(tblHorasFev[Horas Trabalhadas Além Jornada]&gt;0,
IF(OR(VLOOKUP(TEXT(tblHorasFev[Data],"dddd"),tblDiaUtil[],3,FALSE)="Não",IF(tblHorasFev[Evento 
(1º Período)]&lt;&gt;"",IF(VLOOKUP(tblHorasFev[Evento 
(1º Período)],tblEvento[],Tabelas!$E$1,FALSE)="Sim",TRUE,FALSE),FALSE),IF(tblHorasFev[Evento 
(2º Período)]&lt;&gt;"",IF(VLOOKUP(tblHorasFev[Evento 
(2º Período)],tblEvento[],Tabelas!$E$1,FALSE)="Sim",TRUE,FALSE),FALSE)),
tblHorasFev[Horas Trabalhadas Além Jornada],""),"")</f>
        <v/>
      </c>
      <c r="T31" s="15" t="str">
        <f>IF(tblHorasFev[Evento 
(1º Período)]&lt;&gt;""," - " &amp;VLOOKUP(tblHorasFev[Evento 
(1º Período)],tblEvento[],Tabelas!$F$1,FALSE),"")&amp;IF(AND(tblHorasFev[Evento 
(2º Período)]&lt;&gt;"",tblHorasFev[Evento 
(2º Período)]&lt;&gt;tblHorasFev[Evento 
(1º Período)])," - " &amp; VLOOKUP(tblHorasFev[Evento 
(2º Período)],tblEvento[],Tabelas!$F$1,FALSE),"")</f>
        <v/>
      </c>
    </row>
    <row r="32" spans="2:20" x14ac:dyDescent="0.25">
      <c r="B32" s="11" t="str">
        <f t="shared" si="0"/>
        <v/>
      </c>
      <c r="C32" s="12" t="str">
        <f>TEXT(tblHorasFev[Data],"ddd")</f>
        <v/>
      </c>
      <c r="D32" s="25"/>
      <c r="E32" s="1"/>
      <c r="F32" s="1"/>
      <c r="G32" s="1"/>
      <c r="H32" s="1"/>
      <c r="I32" s="53"/>
      <c r="J32" s="4">
        <f>IF($B$6&lt;&gt;"",
IF(AND(tblHorasFev[Evento 
(1º Período)]&lt;&gt;"",IF(ISERROR(VLOOKUP(tblHorasFev[Evento 
(1º Período)],tblEvento[],Tabelas!$D$1,FALSE)),FALSE,VLOOKUP(tblHorasFev[Evento 
(1º Período)],tblEvento[],Tabelas!$D$1,FALSE)="Sim")),
        IF(JORNADA_PERIODO_1&lt;&gt;"",
IF(VLOOKUP(tblHorasFev[Dia],tblDiaUtil[[Abreviatura]:[1º Período]],3,FALSE)&gt;0,VLOOKUP(tblHorasFev[Dia],tblDiaUtil[[Abreviatura]:[1º Período]],3,FALSE),JORNADA_PERIODO_1),
IF(VLOOKUP(tblHorasFev[Dia],tblDiaUtil[[Abreviatura]:[1º Período]],3,FALSE)&gt;0,VLOOKUP(tblHorasFev[Dia],tblDiaUtil[[Abreviatura]:[1º Período]],3,FALSE),JORNADA/2)),
        IF(AND(ISNUMBER(tblHorasFev[Saída - 1 (Almoço)]),ISNUMBER(tblHorasFev[Entrada - 1])),
              IF(OR(AND(tblHorasFev[Evento 
(1º Período)]&lt;&gt;"",IF(ISERROR(VLOOKUP(tblHorasFev[Evento 
(1º Período)],tblEvento[],Tabelas!$E$1,FALSE)),FALSE,VLOOKUP(tblHorasFev[Evento 
(1º Período)],tblEvento[],Tabelas!$E$1,FALSE)="Sim")),IF(VLOOKUP(TEXT(tblHorasFev[Data],"dddd"),tblDiaUtil[],2,FALSE)="Não",TRUE,FALSE)),
                   tblHorasFev[Saída - 1 (Almoço)]-tblHorasFev[Entrada - 1],
                   IF(OR(HOUR(tblHorasFev[Saída - 1 (Almoço)]-tblHorasFev[Entrada - 1])&gt;0,ROUND(tblHorasFev[Saída - 1 (Almoço)]-tblHorasFev[Entrada - 1],6)&gt;ROUND(CARENCIA,6)),
                          tblHorasFev[Saída - 1 (Almoço)]-tblHorasFev[Entrada - 1],
                          0)),
                    0)),0)</f>
        <v>0</v>
      </c>
      <c r="K32" s="4">
        <f>IF($B$6&lt;&gt;"",
IF(AND(tblHorasFev[Evento 
(2º Período)]&lt;&gt;"",IF(ISERROR(VLOOKUP(tblHorasFev[Evento 
(2º Período)],tblEvento[],Tabelas!$D$1,FALSE)),FALSE,VLOOKUP(tblHorasFev[Evento 
(2º Período)],tblEvento[],Tabelas!$D$1,FALSE)="Sim")),
        IF(JORNADA_PERIODO_2&lt;&gt;"",
IF(VLOOKUP(tblHorasFev[Dia],tblDiaUtil[[Abreviatura]:[2º Período]],4,FALSE)&gt;0,VLOOKUP(tblHorasFev[Dia],tblDiaUtil[[Abreviatura]:[2º Período]],4,FALSE),JORNADA_PERIODO_2),
IF(VLOOKUP(tblHorasFev[Dia],tblDiaUtil[[Abreviatura]:[2º Período]],4,FALSE)&gt;0,VLOOKUP(tblHorasFev[Dia],tblDiaUtil[[Abreviatura]:[2º Período]],4,FALSE),JORNADA/2)),
        IF(AND(ISNUMBER(tblHorasFev[Saída - 2]),ISNUMBER(tblHorasFev[Entrada - 2 (Almoço)])),
              IF(OR(AND(tblHorasFev[Evento 
(2º Período)]&lt;&gt;"",IF(ISERROR(VLOOKUP(tblHorasFev[Evento 
(2º Período)],tblEvento[],Tabelas!$E$1,FALSE)),FALSE,VLOOKUP(tblHorasFev[Evento 
(2º Período)],tblEvento[],Tabelas!$E$1,FALSE)="Sim")),IF(VLOOKUP(TEXT(tblHorasFev[Data],"dddd"),tblDiaUtil[],2,FALSE)="Não",TRUE,FALSE)),
                   tblHorasFev[Saída - 2]-tblHorasFev[Entrada - 2 (Almoço)],
                   IF(OR(HOUR(tblHorasFev[Saída - 2]-tblHorasFev[Entrada - 2 (Almoço)])&gt;0,MINUTE(tblHorasFev[Saída - 2]-tblHorasFev[Entrada - 2 (Almoço)])&gt;CARENCIA),
                         tblHorasFev[Saída - 2]-tblHorasFev[Entrada - 2 (Almoço)],
                         0)),
       0)),0)</f>
        <v>0</v>
      </c>
      <c r="L32" s="4">
        <f>tblHorasFev[Horas Trabalhadas (1º Período)]+tblHorasFev[Horas Trabalhadas (2º Período)]</f>
        <v>0</v>
      </c>
      <c r="M32" s="4" t="str">
        <f>IF(tblHorasFev[Data]&lt;&gt;"",
        IF(
AND(VLOOKUP(TEXT(tblHorasFev[Data],"dddd"),tblDiaUtil[],3,FALSE)="Sim",IF(tblHorasFev[Evento 
(1º Período)]&lt;&gt;"",IF(VLOOKUP(tblHorasFev[Evento 
(1º Período)],tblEvento[],Tabelas!$E$1,FALSE)="Sim",FALSE,TRUE),TRUE),IF(tblHorasFev[Evento 
(2º Período)]&lt;&gt;"",IF(VLOOKUP(tblHorasFev[Evento 
(2º Período)],tblEvento[],Tabelas!$E$1,FALSE)="Sim",FALSE,TRUE),TRUE)),
              IF(VLOOKUP(tblHorasFev[Dia],tblDiaUtil[[Abreviatura]:[1º Período]],3,FALSE)&gt;0,VLOOKUP(tblHorasFev[Dia],tblDiaUtil[[Abreviatura]:[1º Período]],3,FALSE),JORNADA),
              ""),
         "")</f>
        <v/>
      </c>
      <c r="N32" s="14">
        <f>IF(OR(tblHorasFev[Horas Trabalhadas (1º Período)]&lt;&gt;0,tblHorasFev[Horas Trabalhadas (2º Período)]&lt;&gt;0),
        IF(ISNUMBER(tblHorasFev[Jornada Diária]),
              IF(tblHorasFev[Jornada Diária]&gt;(tblHorasFev[Horas Trabalhadas (2º Período)]+tblHorasFev[Horas Trabalhadas (1º Período)]),
                     IF(ROUND((tblHorasFev[Jornada Diária]-(tblHorasFev[Horas Trabalhadas (2º Período)]+tblHorasFev[Horas Trabalhadas (1º Período)])),6)&gt;ROUND(CARENCIA,6),
                           -tblHorasFev[Jornada Diária]+(tblHorasFev[Horas Trabalhadas (2º Período)]+tblHorasFev[Horas Trabalhadas (1º Período)]),
                           0),
                      IF(ROUND((tblHorasFev[Jornada Diária]-(tblHorasFev[Horas Trabalhadas (2º Período)]+tblHorasFev[Horas Trabalhadas (1º Período)])),6)&lt;ROUND(-CARENCIA,6),
                           -tblHorasFev[Jornada Diária]+(tblHorasFev[Horas Trabalhadas (2º Período)]+tblHorasFev[Horas Trabalhadas (1º Período)]),
                           0)),
              tblHorasFev[Horas Trabalhadas (2º Período)]+tblHorasFev[Horas Trabalhadas (1º Período)]),
         IF(AND(IF(ISERROR(VLOOKUP(tblHorasFev[Evento 
(1º Período)],tblEvento[[Evento]:[Libera o Período]],4,FALSE)),FALSE,IF(VLOOKUP(tblHorasFev[Evento 
(1º Período)],tblEvento[[Evento]:[Libera o Período]],4,FALSE)="Não",TRUE,FALSE)),IF(ISERROR(VLOOKUP(tblHorasFev[Evento 
(2º Período)],tblEvento[[Evento]:[Libera o Período]],4,FALSE)),FALSE,IF(VLOOKUP(tblHorasFev[Evento 
(2º Período)],tblEvento[[Evento]:[Libera o Período]],4,FALSE)="Não",TRUE,FALSE))),
-IF(VLOOKUP(tblHorasFev[Dia],tblDiaUtil[[Abreviatura]:[Total Jornada]],5,FALSE)&lt;&gt;"",VLOOKUP(tblHorasFev[Dia],tblDiaUtil[[Abreviatura]:[Total Jornada]],5,FALSE),JORNADA),
IF(IF(ISERROR(VLOOKUP(tblHorasFev[Evento 
(1º Período)],tblEvento[[Evento]:[Libera o Período]],4,FALSE)),FALSE,
IF(VLOOKUP(tblHorasFev[Evento 
(1º Período)],tblEvento[[Evento]:[Libera o Período]],4,FALSE)="Não",TRUE,FALSE)
),
-IF(VLOOKUP(tblHorasFev[Dia],tblDiaUtil[[Abreviatura]:[1º Período]],3,FALSE)&lt;&gt;"",VLOOKUP(tblHorasFev[Dia],tblDiaUtil[[Abreviatura]:[1º Período]],3,FALSE),JORNADA_PERIODO_1),
IF(IF(ISERROR(VLOOKUP(tblHorasFev[Evento 
(2º Período)],tblEvento[[Evento]:[Libera o Período]],4,FALSE)),FALSE,IF(VLOOKUP(tblHorasFev[Evento 
(2º Período)],tblEvento[[Evento]:[Libera o Período]],4,FALSE)="Não",TRUE,FALSE)),
-IF(VLOOKUP(tblHorasFev[Dia],tblDiaUtil[[Abreviatura]:[2º Período]],4,FALSE)&lt;&gt;"",VLOOKUP(tblHorasFev[Dia],tblDiaUtil[[Abreviatura]:[2º Período]],4,FALSE),JORNADA_PERIODO_2),0))))</f>
        <v>0</v>
      </c>
      <c r="O32" s="14">
        <f>IF(tblHorasFev[Horas Trabalhadas Além Jornada]&gt;0,
        IF(ISNUMBER(tblHorasFev[Jornada Diária]),
              IF(HOUR(tblHorasFev[Horas Trabalhadas Além Jornada])&gt;=VLOOKUP(LIMITE,tblLimiteHora[],Tabelas!$I$1,FALSE),
                    VLOOKUP(LIMITE,tblLimiteHora[],Tabelas!$J$1,FALSE),
                    tblHorasFev[Horas Trabalhadas Além Jornada]),
              tblHorasFev[Horas Trabalhadas Além Jornada]),
        tblHorasFev[Horas Trabalhadas Além Jornada])+O31</f>
        <v>0</v>
      </c>
      <c r="P32" s="14" t="str">
        <f>IF(tblHorasFev[Horas Trabalhadas Além Jornada]&lt;0,IF(OR(tblHorasFev[Evento 
(1º Período)]="",tblHorasFev[Evento 
(2º Período)]=""),tblHorasFev[Horas Trabalhadas Além Jornada],""),"")</f>
        <v/>
      </c>
      <c r="Q32" s="14" t="str">
        <f>IF(tblHorasFev[Jornada Diária]&lt;&gt;"",IF((N(tblHorasFev[Jornada Diária])-ABS(N(tblHorasFev[Horas Trabalhadas Além Jornada])))=0,1,""),"")</f>
        <v/>
      </c>
      <c r="R32" s="14" t="str">
        <f>IF(tblHorasFev[Horas Trabalhadas Além Jornada]&gt;0,
IF(AND(VLOOKUP(TEXT(tblHorasFev[Data],"dddd"),tblDiaUtil[],3,FALSE)="Sim",IF(tblHorasFev[Evento 
(1º Período)]&lt;&gt;"",IF(VLOOKUP(tblHorasFev[Evento 
(1º Período)],tblEvento[],Tabelas!$E$1,FALSE)="Sim",FALSE,TRUE),TRUE),IF(tblHorasFev[Evento 
(2º Período)]&lt;&gt;"",IF(VLOOKUP(tblHorasFev[Evento 
(2º Período)],tblEvento[],Tabelas!$E$1,FALSE)="Sim",FALSE,TRUE),TRUE)),
tblHorasFev[Horas Trabalhadas Além Jornada],""),"")</f>
        <v/>
      </c>
      <c r="S32" s="14" t="str">
        <f>IF(tblHorasFev[Horas Trabalhadas Além Jornada]&gt;0,
IF(OR(VLOOKUP(TEXT(tblHorasFev[Data],"dddd"),tblDiaUtil[],3,FALSE)="Não",IF(tblHorasFev[Evento 
(1º Período)]&lt;&gt;"",IF(VLOOKUP(tblHorasFev[Evento 
(1º Período)],tblEvento[],Tabelas!$E$1,FALSE)="Sim",TRUE,FALSE),FALSE),IF(tblHorasFev[Evento 
(2º Período)]&lt;&gt;"",IF(VLOOKUP(tblHorasFev[Evento 
(2º Período)],tblEvento[],Tabelas!$E$1,FALSE)="Sim",TRUE,FALSE),FALSE)),
tblHorasFev[Horas Trabalhadas Além Jornada],""),"")</f>
        <v/>
      </c>
      <c r="T32" s="15" t="str">
        <f>IF(tblHorasFev[Evento 
(1º Período)]&lt;&gt;""," - " &amp;VLOOKUP(tblHorasFev[Evento 
(1º Período)],tblEvento[],Tabelas!$F$1,FALSE),"")&amp;IF(AND(tblHorasFev[Evento 
(2º Período)]&lt;&gt;"",tblHorasFev[Evento 
(2º Período)]&lt;&gt;tblHorasFev[Evento 
(1º Período)])," - " &amp; VLOOKUP(tblHorasFev[Evento 
(2º Período)],tblEvento[],Tabelas!$F$1,FALSE),"")</f>
        <v/>
      </c>
    </row>
    <row r="33" spans="2:21" x14ac:dyDescent="0.25">
      <c r="B33" s="11" t="str">
        <f t="shared" si="0"/>
        <v/>
      </c>
      <c r="C33" s="12" t="str">
        <f>TEXT(tblHorasFev[Data],"ddd")</f>
        <v/>
      </c>
      <c r="D33" s="25"/>
      <c r="E33" s="1"/>
      <c r="F33" s="1"/>
      <c r="G33" s="1"/>
      <c r="H33" s="1"/>
      <c r="I33" s="53"/>
      <c r="J33" s="4">
        <f>IF($B$6&lt;&gt;"",
IF(AND(tblHorasFev[Evento 
(1º Período)]&lt;&gt;"",IF(ISERROR(VLOOKUP(tblHorasFev[Evento 
(1º Período)],tblEvento[],Tabelas!$D$1,FALSE)),FALSE,VLOOKUP(tblHorasFev[Evento 
(1º Período)],tblEvento[],Tabelas!$D$1,FALSE)="Sim")),
        IF(JORNADA_PERIODO_1&lt;&gt;"",
IF(VLOOKUP(tblHorasFev[Dia],tblDiaUtil[[Abreviatura]:[1º Período]],3,FALSE)&gt;0,VLOOKUP(tblHorasFev[Dia],tblDiaUtil[[Abreviatura]:[1º Período]],3,FALSE),JORNADA_PERIODO_1),
IF(VLOOKUP(tblHorasFev[Dia],tblDiaUtil[[Abreviatura]:[1º Período]],3,FALSE)&gt;0,VLOOKUP(tblHorasFev[Dia],tblDiaUtil[[Abreviatura]:[1º Período]],3,FALSE),JORNADA/2)),
        IF(AND(ISNUMBER(tblHorasFev[Saída - 1 (Almoço)]),ISNUMBER(tblHorasFev[Entrada - 1])),
              IF(OR(AND(tblHorasFev[Evento 
(1º Período)]&lt;&gt;"",IF(ISERROR(VLOOKUP(tblHorasFev[Evento 
(1º Período)],tblEvento[],Tabelas!$E$1,FALSE)),FALSE,VLOOKUP(tblHorasFev[Evento 
(1º Período)],tblEvento[],Tabelas!$E$1,FALSE)="Sim")),IF(VLOOKUP(TEXT(tblHorasFev[Data],"dddd"),tblDiaUtil[],2,FALSE)="Não",TRUE,FALSE)),
                   tblHorasFev[Saída - 1 (Almoço)]-tblHorasFev[Entrada - 1],
                   IF(OR(HOUR(tblHorasFev[Saída - 1 (Almoço)]-tblHorasFev[Entrada - 1])&gt;0,ROUND(tblHorasFev[Saída - 1 (Almoço)]-tblHorasFev[Entrada - 1],6)&gt;ROUND(CARENCIA,6)),
                          tblHorasFev[Saída - 1 (Almoço)]-tblHorasFev[Entrada - 1],
                          0)),
                    0)),0)</f>
        <v>0</v>
      </c>
      <c r="K33" s="4">
        <f>IF($B$6&lt;&gt;"",
IF(AND(tblHorasFev[Evento 
(2º Período)]&lt;&gt;"",IF(ISERROR(VLOOKUP(tblHorasFev[Evento 
(2º Período)],tblEvento[],Tabelas!$D$1,FALSE)),FALSE,VLOOKUP(tblHorasFev[Evento 
(2º Período)],tblEvento[],Tabelas!$D$1,FALSE)="Sim")),
        IF(JORNADA_PERIODO_2&lt;&gt;"",
IF(VLOOKUP(tblHorasFev[Dia],tblDiaUtil[[Abreviatura]:[2º Período]],4,FALSE)&gt;0,VLOOKUP(tblHorasFev[Dia],tblDiaUtil[[Abreviatura]:[2º Período]],4,FALSE),JORNADA_PERIODO_2),
IF(VLOOKUP(tblHorasFev[Dia],tblDiaUtil[[Abreviatura]:[2º Período]],4,FALSE)&gt;0,VLOOKUP(tblHorasFev[Dia],tblDiaUtil[[Abreviatura]:[2º Período]],4,FALSE),JORNADA/2)),
        IF(AND(ISNUMBER(tblHorasFev[Saída - 2]),ISNUMBER(tblHorasFev[Entrada - 2 (Almoço)])),
              IF(OR(AND(tblHorasFev[Evento 
(2º Período)]&lt;&gt;"",IF(ISERROR(VLOOKUP(tblHorasFev[Evento 
(2º Período)],tblEvento[],Tabelas!$E$1,FALSE)),FALSE,VLOOKUP(tblHorasFev[Evento 
(2º Período)],tblEvento[],Tabelas!$E$1,FALSE)="Sim")),IF(VLOOKUP(TEXT(tblHorasFev[Data],"dddd"),tblDiaUtil[],2,FALSE)="Não",TRUE,FALSE)),
                   tblHorasFev[Saída - 2]-tblHorasFev[Entrada - 2 (Almoço)],
                   IF(OR(HOUR(tblHorasFev[Saída - 2]-tblHorasFev[Entrada - 2 (Almoço)])&gt;0,MINUTE(tblHorasFev[Saída - 2]-tblHorasFev[Entrada - 2 (Almoço)])&gt;CARENCIA),
                         tblHorasFev[Saída - 2]-tblHorasFev[Entrada - 2 (Almoço)],
                         0)),
       0)),0)</f>
        <v>0</v>
      </c>
      <c r="L33" s="4">
        <f>tblHorasFev[Horas Trabalhadas (1º Período)]+tblHorasFev[Horas Trabalhadas (2º Período)]</f>
        <v>0</v>
      </c>
      <c r="M33" s="4" t="str">
        <f>IF(tblHorasFev[Data]&lt;&gt;"",
        IF(
AND(VLOOKUP(TEXT(tblHorasFev[Data],"dddd"),tblDiaUtil[],3,FALSE)="Sim",IF(tblHorasFev[Evento 
(1º Período)]&lt;&gt;"",IF(VLOOKUP(tblHorasFev[Evento 
(1º Período)],tblEvento[],Tabelas!$E$1,FALSE)="Sim",FALSE,TRUE),TRUE),IF(tblHorasFev[Evento 
(2º Período)]&lt;&gt;"",IF(VLOOKUP(tblHorasFev[Evento 
(2º Período)],tblEvento[],Tabelas!$E$1,FALSE)="Sim",FALSE,TRUE),TRUE)),
              IF(VLOOKUP(tblHorasFev[Dia],tblDiaUtil[[Abreviatura]:[1º Período]],3,FALSE)&gt;0,VLOOKUP(tblHorasFev[Dia],tblDiaUtil[[Abreviatura]:[1º Período]],3,FALSE),JORNADA),
              ""),
         "")</f>
        <v/>
      </c>
      <c r="N33" s="14">
        <f>IF(OR(tblHorasFev[Horas Trabalhadas (1º Período)]&lt;&gt;0,tblHorasFev[Horas Trabalhadas (2º Período)]&lt;&gt;0),
        IF(ISNUMBER(tblHorasFev[Jornada Diária]),
              IF(tblHorasFev[Jornada Diária]&gt;(tblHorasFev[Horas Trabalhadas (2º Período)]+tblHorasFev[Horas Trabalhadas (1º Período)]),
                     IF(ROUND((tblHorasFev[Jornada Diária]-(tblHorasFev[Horas Trabalhadas (2º Período)]+tblHorasFev[Horas Trabalhadas (1º Período)])),6)&gt;ROUND(CARENCIA,6),
                           -tblHorasFev[Jornada Diária]+(tblHorasFev[Horas Trabalhadas (2º Período)]+tblHorasFev[Horas Trabalhadas (1º Período)]),
                           0),
                      IF(ROUND((tblHorasFev[Jornada Diária]-(tblHorasFev[Horas Trabalhadas (2º Período)]+tblHorasFev[Horas Trabalhadas (1º Período)])),6)&lt;ROUND(-CARENCIA,6),
                           -tblHorasFev[Jornada Diária]+(tblHorasFev[Horas Trabalhadas (2º Período)]+tblHorasFev[Horas Trabalhadas (1º Período)]),
                           0)),
              tblHorasFev[Horas Trabalhadas (2º Período)]+tblHorasFev[Horas Trabalhadas (1º Período)]),
         IF(AND(IF(ISERROR(VLOOKUP(tblHorasFev[Evento 
(1º Período)],tblEvento[[Evento]:[Libera o Período]],4,FALSE)),FALSE,IF(VLOOKUP(tblHorasFev[Evento 
(1º Período)],tblEvento[[Evento]:[Libera o Período]],4,FALSE)="Não",TRUE,FALSE)),IF(ISERROR(VLOOKUP(tblHorasFev[Evento 
(2º Período)],tblEvento[[Evento]:[Libera o Período]],4,FALSE)),FALSE,IF(VLOOKUP(tblHorasFev[Evento 
(2º Período)],tblEvento[[Evento]:[Libera o Período]],4,FALSE)="Não",TRUE,FALSE))),
-IF(VLOOKUP(tblHorasFev[Dia],tblDiaUtil[[Abreviatura]:[Total Jornada]],5,FALSE)&lt;&gt;"",VLOOKUP(tblHorasFev[Dia],tblDiaUtil[[Abreviatura]:[Total Jornada]],5,FALSE),JORNADA),
IF(IF(ISERROR(VLOOKUP(tblHorasFev[Evento 
(1º Período)],tblEvento[[Evento]:[Libera o Período]],4,FALSE)),FALSE,
IF(VLOOKUP(tblHorasFev[Evento 
(1º Período)],tblEvento[[Evento]:[Libera o Período]],4,FALSE)="Não",TRUE,FALSE)
),
-IF(VLOOKUP(tblHorasFev[Dia],tblDiaUtil[[Abreviatura]:[1º Período]],3,FALSE)&lt;&gt;"",VLOOKUP(tblHorasFev[Dia],tblDiaUtil[[Abreviatura]:[1º Período]],3,FALSE),JORNADA_PERIODO_1),
IF(IF(ISERROR(VLOOKUP(tblHorasFev[Evento 
(2º Período)],tblEvento[[Evento]:[Libera o Período]],4,FALSE)),FALSE,IF(VLOOKUP(tblHorasFev[Evento 
(2º Período)],tblEvento[[Evento]:[Libera o Período]],4,FALSE)="Não",TRUE,FALSE)),
-IF(VLOOKUP(tblHorasFev[Dia],tblDiaUtil[[Abreviatura]:[2º Período]],4,FALSE)&lt;&gt;"",VLOOKUP(tblHorasFev[Dia],tblDiaUtil[[Abreviatura]:[2º Período]],4,FALSE),JORNADA_PERIODO_2),0))))</f>
        <v>0</v>
      </c>
      <c r="O33" s="14">
        <f>IF(tblHorasFev[Horas Trabalhadas Além Jornada]&gt;0,
        IF(ISNUMBER(tblHorasFev[Jornada Diária]),
              IF(HOUR(tblHorasFev[Horas Trabalhadas Além Jornada])&gt;=VLOOKUP(LIMITE,tblLimiteHora[],Tabelas!$I$1,FALSE),
                    VLOOKUP(LIMITE,tblLimiteHora[],Tabelas!$J$1,FALSE),
                    tblHorasFev[Horas Trabalhadas Além Jornada]),
              tblHorasFev[Horas Trabalhadas Além Jornada]),
        tblHorasFev[Horas Trabalhadas Além Jornada])+O32</f>
        <v>0</v>
      </c>
      <c r="P33" s="14" t="str">
        <f>IF(tblHorasFev[Horas Trabalhadas Além Jornada]&lt;0,IF(OR(tblHorasFev[Evento 
(1º Período)]="",tblHorasFev[Evento 
(2º Período)]=""),tblHorasFev[Horas Trabalhadas Além Jornada],""),"")</f>
        <v/>
      </c>
      <c r="Q33" s="14" t="str">
        <f>IF(tblHorasFev[Jornada Diária]&lt;&gt;"",IF((N(tblHorasFev[Jornada Diária])-ABS(N(tblHorasFev[Horas Trabalhadas Além Jornada])))=0,1,""),"")</f>
        <v/>
      </c>
      <c r="R33" s="14" t="str">
        <f>IF(tblHorasFev[Horas Trabalhadas Além Jornada]&gt;0,
IF(AND(VLOOKUP(TEXT(tblHorasFev[Data],"dddd"),tblDiaUtil[],3,FALSE)="Sim",IF(tblHorasFev[Evento 
(1º Período)]&lt;&gt;"",IF(VLOOKUP(tblHorasFev[Evento 
(1º Período)],tblEvento[],Tabelas!$E$1,FALSE)="Sim",FALSE,TRUE),TRUE),IF(tblHorasFev[Evento 
(2º Período)]&lt;&gt;"",IF(VLOOKUP(tblHorasFev[Evento 
(2º Período)],tblEvento[],Tabelas!$E$1,FALSE)="Sim",FALSE,TRUE),TRUE)),
tblHorasFev[Horas Trabalhadas Além Jornada],""),"")</f>
        <v/>
      </c>
      <c r="S33" s="14" t="str">
        <f>IF(tblHorasFev[Horas Trabalhadas Além Jornada]&gt;0,
IF(OR(VLOOKUP(TEXT(tblHorasFev[Data],"dddd"),tblDiaUtil[],3,FALSE)="Não",IF(tblHorasFev[Evento 
(1º Período)]&lt;&gt;"",IF(VLOOKUP(tblHorasFev[Evento 
(1º Período)],tblEvento[],Tabelas!$E$1,FALSE)="Sim",TRUE,FALSE),FALSE),IF(tblHorasFev[Evento 
(2º Período)]&lt;&gt;"",IF(VLOOKUP(tblHorasFev[Evento 
(2º Período)],tblEvento[],Tabelas!$E$1,FALSE)="Sim",TRUE,FALSE),FALSE)),
tblHorasFev[Horas Trabalhadas Além Jornada],""),"")</f>
        <v/>
      </c>
      <c r="T33" s="15" t="str">
        <f>IF(tblHorasFev[Evento 
(1º Período)]&lt;&gt;""," - " &amp;VLOOKUP(tblHorasFev[Evento 
(1º Período)],tblEvento[],Tabelas!$F$1,FALSE),"")&amp;IF(AND(tblHorasFev[Evento 
(2º Período)]&lt;&gt;"",tblHorasFev[Evento 
(2º Período)]&lt;&gt;tblHorasFev[Evento 
(1º Período)])," - " &amp; VLOOKUP(tblHorasFev[Evento 
(2º Período)],tblEvento[],Tabelas!$F$1,FALSE),"")</f>
        <v/>
      </c>
    </row>
    <row r="34" spans="2:21" x14ac:dyDescent="0.25">
      <c r="B34" s="11" t="str">
        <f t="shared" si="0"/>
        <v/>
      </c>
      <c r="C34" s="12" t="str">
        <f>TEXT(tblHorasFev[Data],"ddd")</f>
        <v/>
      </c>
      <c r="D34" s="25"/>
      <c r="E34" s="1"/>
      <c r="F34" s="1"/>
      <c r="G34" s="1"/>
      <c r="H34" s="1"/>
      <c r="I34" s="53"/>
      <c r="J34" s="4">
        <f>IF($B$6&lt;&gt;"",
IF(AND(tblHorasFev[Evento 
(1º Período)]&lt;&gt;"",IF(ISERROR(VLOOKUP(tblHorasFev[Evento 
(1º Período)],tblEvento[],Tabelas!$D$1,FALSE)),FALSE,VLOOKUP(tblHorasFev[Evento 
(1º Período)],tblEvento[],Tabelas!$D$1,FALSE)="Sim")),
        IF(JORNADA_PERIODO_1&lt;&gt;"",
IF(VLOOKUP(tblHorasFev[Dia],tblDiaUtil[[Abreviatura]:[1º Período]],3,FALSE)&gt;0,VLOOKUP(tblHorasFev[Dia],tblDiaUtil[[Abreviatura]:[1º Período]],3,FALSE),JORNADA_PERIODO_1),
IF(VLOOKUP(tblHorasFev[Dia],tblDiaUtil[[Abreviatura]:[1º Período]],3,FALSE)&gt;0,VLOOKUP(tblHorasFev[Dia],tblDiaUtil[[Abreviatura]:[1º Período]],3,FALSE),JORNADA/2)),
        IF(AND(ISNUMBER(tblHorasFev[Saída - 1 (Almoço)]),ISNUMBER(tblHorasFev[Entrada - 1])),
              IF(OR(AND(tblHorasFev[Evento 
(1º Período)]&lt;&gt;"",IF(ISERROR(VLOOKUP(tblHorasFev[Evento 
(1º Período)],tblEvento[],Tabelas!$E$1,FALSE)),FALSE,VLOOKUP(tblHorasFev[Evento 
(1º Período)],tblEvento[],Tabelas!$E$1,FALSE)="Sim")),IF(VLOOKUP(TEXT(tblHorasFev[Data],"dddd"),tblDiaUtil[],2,FALSE)="Não",TRUE,FALSE)),
                   tblHorasFev[Saída - 1 (Almoço)]-tblHorasFev[Entrada - 1],
                   IF(OR(HOUR(tblHorasFev[Saída - 1 (Almoço)]-tblHorasFev[Entrada - 1])&gt;0,ROUND(tblHorasFev[Saída - 1 (Almoço)]-tblHorasFev[Entrada - 1],6)&gt;ROUND(CARENCIA,6)),
                          tblHorasFev[Saída - 1 (Almoço)]-tblHorasFev[Entrada - 1],
                          0)),
                    0)),0)</f>
        <v>0</v>
      </c>
      <c r="K34" s="4">
        <f>IF($B$6&lt;&gt;"",
IF(AND(tblHorasFev[Evento 
(2º Período)]&lt;&gt;"",IF(ISERROR(VLOOKUP(tblHorasFev[Evento 
(2º Período)],tblEvento[],Tabelas!$D$1,FALSE)),FALSE,VLOOKUP(tblHorasFev[Evento 
(2º Período)],tblEvento[],Tabelas!$D$1,FALSE)="Sim")),
        IF(JORNADA_PERIODO_2&lt;&gt;"",
IF(VLOOKUP(tblHorasFev[Dia],tblDiaUtil[[Abreviatura]:[2º Período]],4,FALSE)&gt;0,VLOOKUP(tblHorasFev[Dia],tblDiaUtil[[Abreviatura]:[2º Período]],4,FALSE),JORNADA_PERIODO_2),
IF(VLOOKUP(tblHorasFev[Dia],tblDiaUtil[[Abreviatura]:[2º Período]],4,FALSE)&gt;0,VLOOKUP(tblHorasFev[Dia],tblDiaUtil[[Abreviatura]:[2º Período]],4,FALSE),JORNADA/2)),
        IF(AND(ISNUMBER(tblHorasFev[Saída - 2]),ISNUMBER(tblHorasFev[Entrada - 2 (Almoço)])),
              IF(OR(AND(tblHorasFev[Evento 
(2º Período)]&lt;&gt;"",IF(ISERROR(VLOOKUP(tblHorasFev[Evento 
(2º Período)],tblEvento[],Tabelas!$E$1,FALSE)),FALSE,VLOOKUP(tblHorasFev[Evento 
(2º Período)],tblEvento[],Tabelas!$E$1,FALSE)="Sim")),IF(VLOOKUP(TEXT(tblHorasFev[Data],"dddd"),tblDiaUtil[],2,FALSE)="Não",TRUE,FALSE)),
                   tblHorasFev[Saída - 2]-tblHorasFev[Entrada - 2 (Almoço)],
                   IF(OR(HOUR(tblHorasFev[Saída - 2]-tblHorasFev[Entrada - 2 (Almoço)])&gt;0,MINUTE(tblHorasFev[Saída - 2]-tblHorasFev[Entrada - 2 (Almoço)])&gt;CARENCIA),
                         tblHorasFev[Saída - 2]-tblHorasFev[Entrada - 2 (Almoço)],
                         0)),
       0)),0)</f>
        <v>0</v>
      </c>
      <c r="L34" s="4">
        <f>tblHorasFev[Horas Trabalhadas (1º Período)]+tblHorasFev[Horas Trabalhadas (2º Período)]</f>
        <v>0</v>
      </c>
      <c r="M34" s="4" t="str">
        <f>IF(tblHorasFev[Data]&lt;&gt;"",
        IF(
AND(VLOOKUP(TEXT(tblHorasFev[Data],"dddd"),tblDiaUtil[],3,FALSE)="Sim",IF(tblHorasFev[Evento 
(1º Período)]&lt;&gt;"",IF(VLOOKUP(tblHorasFev[Evento 
(1º Período)],tblEvento[],Tabelas!$E$1,FALSE)="Sim",FALSE,TRUE),TRUE),IF(tblHorasFev[Evento 
(2º Período)]&lt;&gt;"",IF(VLOOKUP(tblHorasFev[Evento 
(2º Período)],tblEvento[],Tabelas!$E$1,FALSE)="Sim",FALSE,TRUE),TRUE)),
              IF(VLOOKUP(tblHorasFev[Dia],tblDiaUtil[[Abreviatura]:[1º Período]],3,FALSE)&gt;0,VLOOKUP(tblHorasFev[Dia],tblDiaUtil[[Abreviatura]:[1º Período]],3,FALSE),JORNADA),
              ""),
         "")</f>
        <v/>
      </c>
      <c r="N34" s="14">
        <f>IF(OR(tblHorasFev[Horas Trabalhadas (1º Período)]&lt;&gt;0,tblHorasFev[Horas Trabalhadas (2º Período)]&lt;&gt;0),
        IF(ISNUMBER(tblHorasFev[Jornada Diária]),
              IF(tblHorasFev[Jornada Diária]&gt;(tblHorasFev[Horas Trabalhadas (2º Período)]+tblHorasFev[Horas Trabalhadas (1º Período)]),
                     IF(ROUND((tblHorasFev[Jornada Diária]-(tblHorasFev[Horas Trabalhadas (2º Período)]+tblHorasFev[Horas Trabalhadas (1º Período)])),6)&gt;ROUND(CARENCIA,6),
                           -tblHorasFev[Jornada Diária]+(tblHorasFev[Horas Trabalhadas (2º Período)]+tblHorasFev[Horas Trabalhadas (1º Período)]),
                           0),
                      IF(ROUND((tblHorasFev[Jornada Diária]-(tblHorasFev[Horas Trabalhadas (2º Período)]+tblHorasFev[Horas Trabalhadas (1º Período)])),6)&lt;ROUND(-CARENCIA,6),
                           -tblHorasFev[Jornada Diária]+(tblHorasFev[Horas Trabalhadas (2º Período)]+tblHorasFev[Horas Trabalhadas (1º Período)]),
                           0)),
              tblHorasFev[Horas Trabalhadas (2º Período)]+tblHorasFev[Horas Trabalhadas (1º Período)]),
         IF(AND(IF(ISERROR(VLOOKUP(tblHorasFev[Evento 
(1º Período)],tblEvento[[Evento]:[Libera o Período]],4,FALSE)),FALSE,IF(VLOOKUP(tblHorasFev[Evento 
(1º Período)],tblEvento[[Evento]:[Libera o Período]],4,FALSE)="Não",TRUE,FALSE)),IF(ISERROR(VLOOKUP(tblHorasFev[Evento 
(2º Período)],tblEvento[[Evento]:[Libera o Período]],4,FALSE)),FALSE,IF(VLOOKUP(tblHorasFev[Evento 
(2º Período)],tblEvento[[Evento]:[Libera o Período]],4,FALSE)="Não",TRUE,FALSE))),
-IF(VLOOKUP(tblHorasFev[Dia],tblDiaUtil[[Abreviatura]:[Total Jornada]],5,FALSE)&lt;&gt;"",VLOOKUP(tblHorasFev[Dia],tblDiaUtil[[Abreviatura]:[Total Jornada]],5,FALSE),JORNADA),
IF(IF(ISERROR(VLOOKUP(tblHorasFev[Evento 
(1º Período)],tblEvento[[Evento]:[Libera o Período]],4,FALSE)),FALSE,
IF(VLOOKUP(tblHorasFev[Evento 
(1º Período)],tblEvento[[Evento]:[Libera o Período]],4,FALSE)="Não",TRUE,FALSE)
),
-IF(VLOOKUP(tblHorasFev[Dia],tblDiaUtil[[Abreviatura]:[1º Período]],3,FALSE)&lt;&gt;"",VLOOKUP(tblHorasFev[Dia],tblDiaUtil[[Abreviatura]:[1º Período]],3,FALSE),JORNADA_PERIODO_1),
IF(IF(ISERROR(VLOOKUP(tblHorasFev[Evento 
(2º Período)],tblEvento[[Evento]:[Libera o Período]],4,FALSE)),FALSE,IF(VLOOKUP(tblHorasFev[Evento 
(2º Período)],tblEvento[[Evento]:[Libera o Período]],4,FALSE)="Não",TRUE,FALSE)),
-IF(VLOOKUP(tblHorasFev[Dia],tblDiaUtil[[Abreviatura]:[2º Período]],4,FALSE)&lt;&gt;"",VLOOKUP(tblHorasFev[Dia],tblDiaUtil[[Abreviatura]:[2º Período]],4,FALSE),JORNADA_PERIODO_2),0))))</f>
        <v>0</v>
      </c>
      <c r="O34" s="14">
        <f>IF(tblHorasFev[Horas Trabalhadas Além Jornada]&gt;0,
        IF(ISNUMBER(tblHorasFev[Jornada Diária]),
              IF(HOUR(tblHorasFev[Horas Trabalhadas Além Jornada])&gt;=VLOOKUP(LIMITE,tblLimiteHora[],Tabelas!$I$1,FALSE),
                    VLOOKUP(LIMITE,tblLimiteHora[],Tabelas!$J$1,FALSE),
                    tblHorasFev[Horas Trabalhadas Além Jornada]),
              tblHorasFev[Horas Trabalhadas Além Jornada]),
        tblHorasFev[Horas Trabalhadas Além Jornada])+O33</f>
        <v>0</v>
      </c>
      <c r="P34" s="14" t="str">
        <f>IF(tblHorasFev[Horas Trabalhadas Além Jornada]&lt;0,IF(OR(tblHorasFev[Evento 
(1º Período)]="",tblHorasFev[Evento 
(2º Período)]=""),tblHorasFev[Horas Trabalhadas Além Jornada],""),"")</f>
        <v/>
      </c>
      <c r="Q34" s="14" t="str">
        <f>IF(tblHorasFev[Jornada Diária]&lt;&gt;"",IF((N(tblHorasFev[Jornada Diária])-ABS(N(tblHorasFev[Horas Trabalhadas Além Jornada])))=0,1,""),"")</f>
        <v/>
      </c>
      <c r="R34" s="14" t="str">
        <f>IF(tblHorasFev[Horas Trabalhadas Além Jornada]&gt;0,
IF(AND(VLOOKUP(TEXT(tblHorasFev[Data],"dddd"),tblDiaUtil[],3,FALSE)="Sim",IF(tblHorasFev[Evento 
(1º Período)]&lt;&gt;"",IF(VLOOKUP(tblHorasFev[Evento 
(1º Período)],tblEvento[],Tabelas!$E$1,FALSE)="Sim",FALSE,TRUE),TRUE),IF(tblHorasFev[Evento 
(2º Período)]&lt;&gt;"",IF(VLOOKUP(tblHorasFev[Evento 
(2º Período)],tblEvento[],Tabelas!$E$1,FALSE)="Sim",FALSE,TRUE),TRUE)),
tblHorasFev[Horas Trabalhadas Além Jornada],""),"")</f>
        <v/>
      </c>
      <c r="S34" s="14" t="str">
        <f>IF(tblHorasFev[Horas Trabalhadas Além Jornada]&gt;0,
IF(OR(VLOOKUP(TEXT(tblHorasFev[Data],"dddd"),tblDiaUtil[],3,FALSE)="Não",IF(tblHorasFev[Evento 
(1º Período)]&lt;&gt;"",IF(VLOOKUP(tblHorasFev[Evento 
(1º Período)],tblEvento[],Tabelas!$E$1,FALSE)="Sim",TRUE,FALSE),FALSE),IF(tblHorasFev[Evento 
(2º Período)]&lt;&gt;"",IF(VLOOKUP(tblHorasFev[Evento 
(2º Período)],tblEvento[],Tabelas!$E$1,FALSE)="Sim",TRUE,FALSE),FALSE)),
tblHorasFev[Horas Trabalhadas Além Jornada],""),"")</f>
        <v/>
      </c>
      <c r="T34" s="15" t="str">
        <f>IF(tblHorasFev[Evento 
(1º Período)]&lt;&gt;""," - " &amp;VLOOKUP(tblHorasFev[Evento 
(1º Período)],tblEvento[],Tabelas!$F$1,FALSE),"")&amp;IF(AND(tblHorasFev[Evento 
(2º Período)]&lt;&gt;"",tblHorasFev[Evento 
(2º Período)]&lt;&gt;tblHorasFev[Evento 
(1º Período)])," - " &amp; VLOOKUP(tblHorasFev[Evento 
(2º Período)],tblEvento[],Tabelas!$F$1,FALSE),"")</f>
        <v/>
      </c>
    </row>
    <row r="35" spans="2:21" x14ac:dyDescent="0.25">
      <c r="B35" s="11" t="str">
        <f t="shared" si="0"/>
        <v/>
      </c>
      <c r="C35" s="12" t="str">
        <f>TEXT(tblHorasFev[Data],"ddd")</f>
        <v/>
      </c>
      <c r="D35" s="25"/>
      <c r="E35" s="1"/>
      <c r="F35" s="1"/>
      <c r="G35" s="1"/>
      <c r="H35" s="1"/>
      <c r="I35" s="53"/>
      <c r="J35" s="4">
        <f>IF($B$6&lt;&gt;"",
IF(AND(tblHorasFev[Evento 
(1º Período)]&lt;&gt;"",IF(ISERROR(VLOOKUP(tblHorasFev[Evento 
(1º Período)],tblEvento[],Tabelas!$D$1,FALSE)),FALSE,VLOOKUP(tblHorasFev[Evento 
(1º Período)],tblEvento[],Tabelas!$D$1,FALSE)="Sim")),
        IF(JORNADA_PERIODO_1&lt;&gt;"",
IF(VLOOKUP(tblHorasFev[Dia],tblDiaUtil[[Abreviatura]:[1º Período]],3,FALSE)&gt;0,VLOOKUP(tblHorasFev[Dia],tblDiaUtil[[Abreviatura]:[1º Período]],3,FALSE),JORNADA_PERIODO_1),
IF(VLOOKUP(tblHorasFev[Dia],tblDiaUtil[[Abreviatura]:[1º Período]],3,FALSE)&gt;0,VLOOKUP(tblHorasFev[Dia],tblDiaUtil[[Abreviatura]:[1º Período]],3,FALSE),JORNADA/2)),
        IF(AND(ISNUMBER(tblHorasFev[Saída - 1 (Almoço)]),ISNUMBER(tblHorasFev[Entrada - 1])),
              IF(OR(AND(tblHorasFev[Evento 
(1º Período)]&lt;&gt;"",IF(ISERROR(VLOOKUP(tblHorasFev[Evento 
(1º Período)],tblEvento[],Tabelas!$E$1,FALSE)),FALSE,VLOOKUP(tblHorasFev[Evento 
(1º Período)],tblEvento[],Tabelas!$E$1,FALSE)="Sim")),IF(VLOOKUP(TEXT(tblHorasFev[Data],"dddd"),tblDiaUtil[],2,FALSE)="Não",TRUE,FALSE)),
                   tblHorasFev[Saída - 1 (Almoço)]-tblHorasFev[Entrada - 1],
                   IF(OR(HOUR(tblHorasFev[Saída - 1 (Almoço)]-tblHorasFev[Entrada - 1])&gt;0,ROUND(tblHorasFev[Saída - 1 (Almoço)]-tblHorasFev[Entrada - 1],6)&gt;ROUND(CARENCIA,6)),
                          tblHorasFev[Saída - 1 (Almoço)]-tblHorasFev[Entrada - 1],
                          0)),
                    0)),0)</f>
        <v>0</v>
      </c>
      <c r="K35" s="4">
        <f>IF($B$6&lt;&gt;"",
IF(AND(tblHorasFev[Evento 
(2º Período)]&lt;&gt;"",IF(ISERROR(VLOOKUP(tblHorasFev[Evento 
(2º Período)],tblEvento[],Tabelas!$D$1,FALSE)),FALSE,VLOOKUP(tblHorasFev[Evento 
(2º Período)],tblEvento[],Tabelas!$D$1,FALSE)="Sim")),
        IF(JORNADA_PERIODO_2&lt;&gt;"",
IF(VLOOKUP(tblHorasFev[Dia],tblDiaUtil[[Abreviatura]:[2º Período]],4,FALSE)&gt;0,VLOOKUP(tblHorasFev[Dia],tblDiaUtil[[Abreviatura]:[2º Período]],4,FALSE),JORNADA_PERIODO_2),
IF(VLOOKUP(tblHorasFev[Dia],tblDiaUtil[[Abreviatura]:[2º Período]],4,FALSE)&gt;0,VLOOKUP(tblHorasFev[Dia],tblDiaUtil[[Abreviatura]:[2º Período]],4,FALSE),JORNADA/2)),
        IF(AND(ISNUMBER(tblHorasFev[Saída - 2]),ISNUMBER(tblHorasFev[Entrada - 2 (Almoço)])),
              IF(OR(AND(tblHorasFev[Evento 
(2º Período)]&lt;&gt;"",IF(ISERROR(VLOOKUP(tblHorasFev[Evento 
(2º Período)],tblEvento[],Tabelas!$E$1,FALSE)),FALSE,VLOOKUP(tblHorasFev[Evento 
(2º Período)],tblEvento[],Tabelas!$E$1,FALSE)="Sim")),IF(VLOOKUP(TEXT(tblHorasFev[Data],"dddd"),tblDiaUtil[],2,FALSE)="Não",TRUE,FALSE)),
                   tblHorasFev[Saída - 2]-tblHorasFev[Entrada - 2 (Almoço)],
                   IF(OR(HOUR(tblHorasFev[Saída - 2]-tblHorasFev[Entrada - 2 (Almoço)])&gt;0,MINUTE(tblHorasFev[Saída - 2]-tblHorasFev[Entrada - 2 (Almoço)])&gt;CARENCIA),
                         tblHorasFev[Saída - 2]-tblHorasFev[Entrada - 2 (Almoço)],
                         0)),
       0)),0)</f>
        <v>0</v>
      </c>
      <c r="L35" s="4">
        <f>tblHorasFev[Horas Trabalhadas (1º Período)]+tblHorasFev[Horas Trabalhadas (2º Período)]</f>
        <v>0</v>
      </c>
      <c r="M35" s="4" t="str">
        <f>IF(tblHorasFev[Data]&lt;&gt;"",
        IF(
AND(VLOOKUP(TEXT(tblHorasFev[Data],"dddd"),tblDiaUtil[],3,FALSE)="Sim",IF(tblHorasFev[Evento 
(1º Período)]&lt;&gt;"",IF(VLOOKUP(tblHorasFev[Evento 
(1º Período)],tblEvento[],Tabelas!$E$1,FALSE)="Sim",FALSE,TRUE),TRUE),IF(tblHorasFev[Evento 
(2º Período)]&lt;&gt;"",IF(VLOOKUP(tblHorasFev[Evento 
(2º Período)],tblEvento[],Tabelas!$E$1,FALSE)="Sim",FALSE,TRUE),TRUE)),
              IF(VLOOKUP(tblHorasFev[Dia],tblDiaUtil[[Abreviatura]:[1º Período]],3,FALSE)&gt;0,VLOOKUP(tblHorasFev[Dia],tblDiaUtil[[Abreviatura]:[1º Período]],3,FALSE),JORNADA),
              ""),
         "")</f>
        <v/>
      </c>
      <c r="N35" s="14">
        <f>IF(OR(tblHorasFev[Horas Trabalhadas (1º Período)]&lt;&gt;0,tblHorasFev[Horas Trabalhadas (2º Período)]&lt;&gt;0),
        IF(ISNUMBER(tblHorasFev[Jornada Diária]),
              IF(tblHorasFev[Jornada Diária]&gt;(tblHorasFev[Horas Trabalhadas (2º Período)]+tblHorasFev[Horas Trabalhadas (1º Período)]),
                     IF(ROUND((tblHorasFev[Jornada Diária]-(tblHorasFev[Horas Trabalhadas (2º Período)]+tblHorasFev[Horas Trabalhadas (1º Período)])),6)&gt;ROUND(CARENCIA,6),
                           -tblHorasFev[Jornada Diária]+(tblHorasFev[Horas Trabalhadas (2º Período)]+tblHorasFev[Horas Trabalhadas (1º Período)]),
                           0),
                      IF(ROUND((tblHorasFev[Jornada Diária]-(tblHorasFev[Horas Trabalhadas (2º Período)]+tblHorasFev[Horas Trabalhadas (1º Período)])),6)&lt;ROUND(-CARENCIA,6),
                           -tblHorasFev[Jornada Diária]+(tblHorasFev[Horas Trabalhadas (2º Período)]+tblHorasFev[Horas Trabalhadas (1º Período)]),
                           0)),
              tblHorasFev[Horas Trabalhadas (2º Período)]+tblHorasFev[Horas Trabalhadas (1º Período)]),
         IF(AND(IF(ISERROR(VLOOKUP(tblHorasFev[Evento 
(1º Período)],tblEvento[[Evento]:[Libera o Período]],4,FALSE)),FALSE,IF(VLOOKUP(tblHorasFev[Evento 
(1º Período)],tblEvento[[Evento]:[Libera o Período]],4,FALSE)="Não",TRUE,FALSE)),IF(ISERROR(VLOOKUP(tblHorasFev[Evento 
(2º Período)],tblEvento[[Evento]:[Libera o Período]],4,FALSE)),FALSE,IF(VLOOKUP(tblHorasFev[Evento 
(2º Período)],tblEvento[[Evento]:[Libera o Período]],4,FALSE)="Não",TRUE,FALSE))),
-IF(VLOOKUP(tblHorasFev[Dia],tblDiaUtil[[Abreviatura]:[Total Jornada]],5,FALSE)&lt;&gt;"",VLOOKUP(tblHorasFev[Dia],tblDiaUtil[[Abreviatura]:[Total Jornada]],5,FALSE),JORNADA),
IF(IF(ISERROR(VLOOKUP(tblHorasFev[Evento 
(1º Período)],tblEvento[[Evento]:[Libera o Período]],4,FALSE)),FALSE,
IF(VLOOKUP(tblHorasFev[Evento 
(1º Período)],tblEvento[[Evento]:[Libera o Período]],4,FALSE)="Não",TRUE,FALSE)
),
-IF(VLOOKUP(tblHorasFev[Dia],tblDiaUtil[[Abreviatura]:[1º Período]],3,FALSE)&lt;&gt;"",VLOOKUP(tblHorasFev[Dia],tblDiaUtil[[Abreviatura]:[1º Período]],3,FALSE),JORNADA_PERIODO_1),
IF(IF(ISERROR(VLOOKUP(tblHorasFev[Evento 
(2º Período)],tblEvento[[Evento]:[Libera o Período]],4,FALSE)),FALSE,IF(VLOOKUP(tblHorasFev[Evento 
(2º Período)],tblEvento[[Evento]:[Libera o Período]],4,FALSE)="Não",TRUE,FALSE)),
-IF(VLOOKUP(tblHorasFev[Dia],tblDiaUtil[[Abreviatura]:[2º Período]],4,FALSE)&lt;&gt;"",VLOOKUP(tblHorasFev[Dia],tblDiaUtil[[Abreviatura]:[2º Período]],4,FALSE),JORNADA_PERIODO_2),0))))</f>
        <v>0</v>
      </c>
      <c r="O35" s="14">
        <f>IF(tblHorasFev[Horas Trabalhadas Além Jornada]&gt;0,
        IF(ISNUMBER(tblHorasFev[Jornada Diária]),
              IF(HOUR(tblHorasFev[Horas Trabalhadas Além Jornada])&gt;=VLOOKUP(LIMITE,tblLimiteHora[],Tabelas!$I$1,FALSE),
                    VLOOKUP(LIMITE,tblLimiteHora[],Tabelas!$J$1,FALSE),
                    tblHorasFev[Horas Trabalhadas Além Jornada]),
              tblHorasFev[Horas Trabalhadas Além Jornada]),
        tblHorasFev[Horas Trabalhadas Além Jornada])+O34</f>
        <v>0</v>
      </c>
      <c r="P35" s="14" t="str">
        <f>IF(tblHorasFev[Horas Trabalhadas Além Jornada]&lt;0,IF(OR(tblHorasFev[Evento 
(1º Período)]="",tblHorasFev[Evento 
(2º Período)]=""),tblHorasFev[Horas Trabalhadas Além Jornada],""),"")</f>
        <v/>
      </c>
      <c r="Q35" s="14" t="str">
        <f>IF(tblHorasFev[Jornada Diária]&lt;&gt;"",IF((N(tblHorasFev[Jornada Diária])-ABS(N(tblHorasFev[Horas Trabalhadas Além Jornada])))=0,1,""),"")</f>
        <v/>
      </c>
      <c r="R35" s="14" t="str">
        <f>IF(tblHorasFev[Horas Trabalhadas Além Jornada]&gt;0,
IF(AND(VLOOKUP(TEXT(tblHorasFev[Data],"dddd"),tblDiaUtil[],3,FALSE)="Sim",IF(tblHorasFev[Evento 
(1º Período)]&lt;&gt;"",IF(VLOOKUP(tblHorasFev[Evento 
(1º Período)],tblEvento[],Tabelas!$E$1,FALSE)="Sim",FALSE,TRUE),TRUE),IF(tblHorasFev[Evento 
(2º Período)]&lt;&gt;"",IF(VLOOKUP(tblHorasFev[Evento 
(2º Período)],tblEvento[],Tabelas!$E$1,FALSE)="Sim",FALSE,TRUE),TRUE)),
tblHorasFev[Horas Trabalhadas Além Jornada],""),"")</f>
        <v/>
      </c>
      <c r="S35" s="14" t="str">
        <f>IF(tblHorasFev[Horas Trabalhadas Além Jornada]&gt;0,
IF(OR(VLOOKUP(TEXT(tblHorasFev[Data],"dddd"),tblDiaUtil[],3,FALSE)="Não",IF(tblHorasFev[Evento 
(1º Período)]&lt;&gt;"",IF(VLOOKUP(tblHorasFev[Evento 
(1º Período)],tblEvento[],Tabelas!$E$1,FALSE)="Sim",TRUE,FALSE),FALSE),IF(tblHorasFev[Evento 
(2º Período)]&lt;&gt;"",IF(VLOOKUP(tblHorasFev[Evento 
(2º Período)],tblEvento[],Tabelas!$E$1,FALSE)="Sim",TRUE,FALSE),FALSE)),
tblHorasFev[Horas Trabalhadas Além Jornada],""),"")</f>
        <v/>
      </c>
      <c r="T35" s="15" t="str">
        <f>IF(tblHorasFev[Evento 
(1º Período)]&lt;&gt;""," - " &amp;VLOOKUP(tblHorasFev[Evento 
(1º Período)],tblEvento[],Tabelas!$F$1,FALSE),"")&amp;IF(AND(tblHorasFev[Evento 
(2º Período)]&lt;&gt;"",tblHorasFev[Evento 
(2º Período)]&lt;&gt;tblHorasFev[Evento 
(1º Período)])," - " &amp; VLOOKUP(tblHorasFev[Evento 
(2º Período)],tblEvento[],Tabelas!$F$1,FALSE),"")</f>
        <v/>
      </c>
    </row>
    <row r="36" spans="2:21" x14ac:dyDescent="0.25">
      <c r="B36" s="11" t="str">
        <f t="shared" si="0"/>
        <v/>
      </c>
      <c r="C36" s="12" t="str">
        <f>TEXT(tblHorasFev[Data],"ddd")</f>
        <v/>
      </c>
      <c r="D36" s="25"/>
      <c r="E36" s="1"/>
      <c r="F36" s="1"/>
      <c r="G36" s="1"/>
      <c r="H36" s="1"/>
      <c r="I36" s="53"/>
      <c r="J36" s="4">
        <f>IF($B$6&lt;&gt;"",
IF(AND(tblHorasFev[Evento 
(1º Período)]&lt;&gt;"",IF(ISERROR(VLOOKUP(tblHorasFev[Evento 
(1º Período)],tblEvento[],Tabelas!$D$1,FALSE)),FALSE,VLOOKUP(tblHorasFev[Evento 
(1º Período)],tblEvento[],Tabelas!$D$1,FALSE)="Sim")),
        IF(JORNADA_PERIODO_1&lt;&gt;"",
IF(VLOOKUP(tblHorasFev[Dia],tblDiaUtil[[Abreviatura]:[1º Período]],3,FALSE)&gt;0,VLOOKUP(tblHorasFev[Dia],tblDiaUtil[[Abreviatura]:[1º Período]],3,FALSE),JORNADA_PERIODO_1),
IF(VLOOKUP(tblHorasFev[Dia],tblDiaUtil[[Abreviatura]:[1º Período]],3,FALSE)&gt;0,VLOOKUP(tblHorasFev[Dia],tblDiaUtil[[Abreviatura]:[1º Período]],3,FALSE),JORNADA/2)),
        IF(AND(ISNUMBER(tblHorasFev[Saída - 1 (Almoço)]),ISNUMBER(tblHorasFev[Entrada - 1])),
              IF(OR(AND(tblHorasFev[Evento 
(1º Período)]&lt;&gt;"",IF(ISERROR(VLOOKUP(tblHorasFev[Evento 
(1º Período)],tblEvento[],Tabelas!$E$1,FALSE)),FALSE,VLOOKUP(tblHorasFev[Evento 
(1º Período)],tblEvento[],Tabelas!$E$1,FALSE)="Sim")),IF(VLOOKUP(TEXT(tblHorasFev[Data],"dddd"),tblDiaUtil[],2,FALSE)="Não",TRUE,FALSE)),
                   tblHorasFev[Saída - 1 (Almoço)]-tblHorasFev[Entrada - 1],
                   IF(OR(HOUR(tblHorasFev[Saída - 1 (Almoço)]-tblHorasFev[Entrada - 1])&gt;0,ROUND(tblHorasFev[Saída - 1 (Almoço)]-tblHorasFev[Entrada - 1],6)&gt;ROUND(CARENCIA,6)),
                          tblHorasFev[Saída - 1 (Almoço)]-tblHorasFev[Entrada - 1],
                          0)),
                    0)),0)</f>
        <v>0</v>
      </c>
      <c r="K36" s="4">
        <f>IF($B$6&lt;&gt;"",
IF(AND(tblHorasFev[Evento 
(2º Período)]&lt;&gt;"",IF(ISERROR(VLOOKUP(tblHorasFev[Evento 
(2º Período)],tblEvento[],Tabelas!$D$1,FALSE)),FALSE,VLOOKUP(tblHorasFev[Evento 
(2º Período)],tblEvento[],Tabelas!$D$1,FALSE)="Sim")),
        IF(JORNADA_PERIODO_2&lt;&gt;"",
IF(VLOOKUP(tblHorasFev[Dia],tblDiaUtil[[Abreviatura]:[2º Período]],4,FALSE)&gt;0,VLOOKUP(tblHorasFev[Dia],tblDiaUtil[[Abreviatura]:[2º Período]],4,FALSE),JORNADA_PERIODO_2),
IF(VLOOKUP(tblHorasFev[Dia],tblDiaUtil[[Abreviatura]:[2º Período]],4,FALSE)&gt;0,VLOOKUP(tblHorasFev[Dia],tblDiaUtil[[Abreviatura]:[2º Período]],4,FALSE),JORNADA/2)),
        IF(AND(ISNUMBER(tblHorasFev[Saída - 2]),ISNUMBER(tblHorasFev[Entrada - 2 (Almoço)])),
              IF(OR(AND(tblHorasFev[Evento 
(2º Período)]&lt;&gt;"",IF(ISERROR(VLOOKUP(tblHorasFev[Evento 
(2º Período)],tblEvento[],Tabelas!$E$1,FALSE)),FALSE,VLOOKUP(tblHorasFev[Evento 
(2º Período)],tblEvento[],Tabelas!$E$1,FALSE)="Sim")),IF(VLOOKUP(TEXT(tblHorasFev[Data],"dddd"),tblDiaUtil[],2,FALSE)="Não",TRUE,FALSE)),
                   tblHorasFev[Saída - 2]-tblHorasFev[Entrada - 2 (Almoço)],
                   IF(OR(HOUR(tblHorasFev[Saída - 2]-tblHorasFev[Entrada - 2 (Almoço)])&gt;0,MINUTE(tblHorasFev[Saída - 2]-tblHorasFev[Entrada - 2 (Almoço)])&gt;CARENCIA),
                         tblHorasFev[Saída - 2]-tblHorasFev[Entrada - 2 (Almoço)],
                         0)),
       0)),0)</f>
        <v>0</v>
      </c>
      <c r="L36" s="4">
        <f>tblHorasFev[Horas Trabalhadas (1º Período)]+tblHorasFev[Horas Trabalhadas (2º Período)]</f>
        <v>0</v>
      </c>
      <c r="M36" s="4" t="str">
        <f>IF(tblHorasFev[Data]&lt;&gt;"",
        IF(
AND(VLOOKUP(TEXT(tblHorasFev[Data],"dddd"),tblDiaUtil[],3,FALSE)="Sim",IF(tblHorasFev[Evento 
(1º Período)]&lt;&gt;"",IF(VLOOKUP(tblHorasFev[Evento 
(1º Período)],tblEvento[],Tabelas!$E$1,FALSE)="Sim",FALSE,TRUE),TRUE),IF(tblHorasFev[Evento 
(2º Período)]&lt;&gt;"",IF(VLOOKUP(tblHorasFev[Evento 
(2º Período)],tblEvento[],Tabelas!$E$1,FALSE)="Sim",FALSE,TRUE),TRUE)),
              IF(VLOOKUP(tblHorasFev[Dia],tblDiaUtil[[Abreviatura]:[1º Período]],3,FALSE)&gt;0,VLOOKUP(tblHorasFev[Dia],tblDiaUtil[[Abreviatura]:[1º Período]],3,FALSE),JORNADA),
              ""),
         "")</f>
        <v/>
      </c>
      <c r="N36" s="14">
        <f>IF(OR(tblHorasFev[Horas Trabalhadas (1º Período)]&lt;&gt;0,tblHorasFev[Horas Trabalhadas (2º Período)]&lt;&gt;0),
        IF(ISNUMBER(tblHorasFev[Jornada Diária]),
              IF(tblHorasFev[Jornada Diária]&gt;(tblHorasFev[Horas Trabalhadas (2º Período)]+tblHorasFev[Horas Trabalhadas (1º Período)]),
                     IF(ROUND((tblHorasFev[Jornada Diária]-(tblHorasFev[Horas Trabalhadas (2º Período)]+tblHorasFev[Horas Trabalhadas (1º Período)])),6)&gt;ROUND(CARENCIA,6),
                           -tblHorasFev[Jornada Diária]+(tblHorasFev[Horas Trabalhadas (2º Período)]+tblHorasFev[Horas Trabalhadas (1º Período)]),
                           0),
                      IF(ROUND((tblHorasFev[Jornada Diária]-(tblHorasFev[Horas Trabalhadas (2º Período)]+tblHorasFev[Horas Trabalhadas (1º Período)])),6)&lt;ROUND(-CARENCIA,6),
                           -tblHorasFev[Jornada Diária]+(tblHorasFev[Horas Trabalhadas (2º Período)]+tblHorasFev[Horas Trabalhadas (1º Período)]),
                           0)),
              tblHorasFev[Horas Trabalhadas (2º Período)]+tblHorasFev[Horas Trabalhadas (1º Período)]),
         IF(AND(IF(ISERROR(VLOOKUP(tblHorasFev[Evento 
(1º Período)],tblEvento[[Evento]:[Libera o Período]],4,FALSE)),FALSE,IF(VLOOKUP(tblHorasFev[Evento 
(1º Período)],tblEvento[[Evento]:[Libera o Período]],4,FALSE)="Não",TRUE,FALSE)),IF(ISERROR(VLOOKUP(tblHorasFev[Evento 
(2º Período)],tblEvento[[Evento]:[Libera o Período]],4,FALSE)),FALSE,IF(VLOOKUP(tblHorasFev[Evento 
(2º Período)],tblEvento[[Evento]:[Libera o Período]],4,FALSE)="Não",TRUE,FALSE))),
-IF(VLOOKUP(tblHorasFev[Dia],tblDiaUtil[[Abreviatura]:[Total Jornada]],5,FALSE)&lt;&gt;"",VLOOKUP(tblHorasFev[Dia],tblDiaUtil[[Abreviatura]:[Total Jornada]],5,FALSE),JORNADA),
IF(IF(ISERROR(VLOOKUP(tblHorasFev[Evento 
(1º Período)],tblEvento[[Evento]:[Libera o Período]],4,FALSE)),FALSE,
IF(VLOOKUP(tblHorasFev[Evento 
(1º Período)],tblEvento[[Evento]:[Libera o Período]],4,FALSE)="Não",TRUE,FALSE)
),
-IF(VLOOKUP(tblHorasFev[Dia],tblDiaUtil[[Abreviatura]:[1º Período]],3,FALSE)&lt;&gt;"",VLOOKUP(tblHorasFev[Dia],tblDiaUtil[[Abreviatura]:[1º Período]],3,FALSE),JORNADA_PERIODO_1),
IF(IF(ISERROR(VLOOKUP(tblHorasFev[Evento 
(2º Período)],tblEvento[[Evento]:[Libera o Período]],4,FALSE)),FALSE,IF(VLOOKUP(tblHorasFev[Evento 
(2º Período)],tblEvento[[Evento]:[Libera o Período]],4,FALSE)="Não",TRUE,FALSE)),
-IF(VLOOKUP(tblHorasFev[Dia],tblDiaUtil[[Abreviatura]:[2º Período]],4,FALSE)&lt;&gt;"",VLOOKUP(tblHorasFev[Dia],tblDiaUtil[[Abreviatura]:[2º Período]],4,FALSE),JORNADA_PERIODO_2),0))))</f>
        <v>0</v>
      </c>
      <c r="O36" s="14">
        <f>IF(tblHorasFev[Horas Trabalhadas Além Jornada]&gt;0,
        IF(ISNUMBER(tblHorasFev[Jornada Diária]),
              IF(HOUR(tblHorasFev[Horas Trabalhadas Além Jornada])&gt;=VLOOKUP(LIMITE,tblLimiteHora[],Tabelas!$I$1,FALSE),
                    VLOOKUP(LIMITE,tblLimiteHora[],Tabelas!$J$1,FALSE),
                    tblHorasFev[Horas Trabalhadas Além Jornada]),
              tblHorasFev[Horas Trabalhadas Além Jornada]),
        tblHorasFev[Horas Trabalhadas Além Jornada])+O35</f>
        <v>0</v>
      </c>
      <c r="P36" s="14" t="str">
        <f>IF(tblHorasFev[Horas Trabalhadas Além Jornada]&lt;0,IF(OR(tblHorasFev[Evento 
(1º Período)]="",tblHorasFev[Evento 
(2º Período)]=""),tblHorasFev[Horas Trabalhadas Além Jornada],""),"")</f>
        <v/>
      </c>
      <c r="Q36" s="14" t="str">
        <f>IF(tblHorasFev[Jornada Diária]&lt;&gt;"",IF((N(tblHorasFev[Jornada Diária])-ABS(N(tblHorasFev[Horas Trabalhadas Além Jornada])))=0,1,""),"")</f>
        <v/>
      </c>
      <c r="R36" s="14" t="str">
        <f>IF(tblHorasFev[Horas Trabalhadas Além Jornada]&gt;0,
IF(AND(VLOOKUP(TEXT(tblHorasFev[Data],"dddd"),tblDiaUtil[],3,FALSE)="Sim",IF(tblHorasFev[Evento 
(1º Período)]&lt;&gt;"",IF(VLOOKUP(tblHorasFev[Evento 
(1º Período)],tblEvento[],Tabelas!$E$1,FALSE)="Sim",FALSE,TRUE),TRUE),IF(tblHorasFev[Evento 
(2º Período)]&lt;&gt;"",IF(VLOOKUP(tblHorasFev[Evento 
(2º Período)],tblEvento[],Tabelas!$E$1,FALSE)="Sim",FALSE,TRUE),TRUE)),
tblHorasFev[Horas Trabalhadas Além Jornada],""),"")</f>
        <v/>
      </c>
      <c r="S36" s="14" t="str">
        <f>IF(tblHorasFev[Horas Trabalhadas Além Jornada]&gt;0,
IF(OR(VLOOKUP(TEXT(tblHorasFev[Data],"dddd"),tblDiaUtil[],3,FALSE)="Não",IF(tblHorasFev[Evento 
(1º Período)]&lt;&gt;"",IF(VLOOKUP(tblHorasFev[Evento 
(1º Período)],tblEvento[],Tabelas!$E$1,FALSE)="Sim",TRUE,FALSE),FALSE),IF(tblHorasFev[Evento 
(2º Período)]&lt;&gt;"",IF(VLOOKUP(tblHorasFev[Evento 
(2º Período)],tblEvento[],Tabelas!$E$1,FALSE)="Sim",TRUE,FALSE),FALSE)),
tblHorasFev[Horas Trabalhadas Além Jornada],""),"")</f>
        <v/>
      </c>
      <c r="T36" s="15" t="str">
        <f>IF(tblHorasFev[Evento 
(1º Período)]&lt;&gt;""," - " &amp;VLOOKUP(tblHorasFev[Evento 
(1º Período)],tblEvento[],Tabelas!$F$1,FALSE),"")&amp;IF(AND(tblHorasFev[Evento 
(2º Período)]&lt;&gt;"",tblHorasFev[Evento 
(2º Período)]&lt;&gt;tblHorasFev[Evento 
(1º Período)])," - " &amp; VLOOKUP(tblHorasFev[Evento 
(2º Período)],tblEvento[],Tabelas!$F$1,FALSE),"")</f>
        <v/>
      </c>
    </row>
    <row r="37" spans="2:21" x14ac:dyDescent="0.25">
      <c r="B37" s="11" t="str">
        <f t="shared" si="0"/>
        <v/>
      </c>
      <c r="C37" s="12" t="str">
        <f>TEXT(tblHorasFev[Data],"ddd")</f>
        <v/>
      </c>
      <c r="D37" s="25"/>
      <c r="E37" s="1"/>
      <c r="F37" s="1"/>
      <c r="G37" s="1"/>
      <c r="H37" s="1"/>
      <c r="I37" s="53"/>
      <c r="J37" s="4">
        <f>IF($B$6&lt;&gt;"",
IF(AND(tblHorasFev[Evento 
(1º Período)]&lt;&gt;"",IF(ISERROR(VLOOKUP(tblHorasFev[Evento 
(1º Período)],tblEvento[],Tabelas!$D$1,FALSE)),FALSE,VLOOKUP(tblHorasFev[Evento 
(1º Período)],tblEvento[],Tabelas!$D$1,FALSE)="Sim")),
        IF(JORNADA_PERIODO_1&lt;&gt;"",
IF(VLOOKUP(tblHorasFev[Dia],tblDiaUtil[[Abreviatura]:[1º Período]],3,FALSE)&gt;0,VLOOKUP(tblHorasFev[Dia],tblDiaUtil[[Abreviatura]:[1º Período]],3,FALSE),JORNADA_PERIODO_1),
IF(VLOOKUP(tblHorasFev[Dia],tblDiaUtil[[Abreviatura]:[1º Período]],3,FALSE)&gt;0,VLOOKUP(tblHorasFev[Dia],tblDiaUtil[[Abreviatura]:[1º Período]],3,FALSE),JORNADA/2)),
        IF(AND(ISNUMBER(tblHorasFev[Saída - 1 (Almoço)]),ISNUMBER(tblHorasFev[Entrada - 1])),
              IF(OR(AND(tblHorasFev[Evento 
(1º Período)]&lt;&gt;"",IF(ISERROR(VLOOKUP(tblHorasFev[Evento 
(1º Período)],tblEvento[],Tabelas!$E$1,FALSE)),FALSE,VLOOKUP(tblHorasFev[Evento 
(1º Período)],tblEvento[],Tabelas!$E$1,FALSE)="Sim")),IF(VLOOKUP(TEXT(tblHorasFev[Data],"dddd"),tblDiaUtil[],2,FALSE)="Não",TRUE,FALSE)),
                   tblHorasFev[Saída - 1 (Almoço)]-tblHorasFev[Entrada - 1],
                   IF(OR(HOUR(tblHorasFev[Saída - 1 (Almoço)]-tblHorasFev[Entrada - 1])&gt;0,ROUND(tblHorasFev[Saída - 1 (Almoço)]-tblHorasFev[Entrada - 1],6)&gt;ROUND(CARENCIA,6)),
                          tblHorasFev[Saída - 1 (Almoço)]-tblHorasFev[Entrada - 1],
                          0)),
                    0)),0)</f>
        <v>0</v>
      </c>
      <c r="K37" s="4">
        <f>IF($B$6&lt;&gt;"",
IF(AND(tblHorasFev[Evento 
(2º Período)]&lt;&gt;"",IF(ISERROR(VLOOKUP(tblHorasFev[Evento 
(2º Período)],tblEvento[],Tabelas!$D$1,FALSE)),FALSE,VLOOKUP(tblHorasFev[Evento 
(2º Período)],tblEvento[],Tabelas!$D$1,FALSE)="Sim")),
        IF(JORNADA_PERIODO_2&lt;&gt;"",
IF(VLOOKUP(tblHorasFev[Dia],tblDiaUtil[[Abreviatura]:[2º Período]],4,FALSE)&gt;0,VLOOKUP(tblHorasFev[Dia],tblDiaUtil[[Abreviatura]:[2º Período]],4,FALSE),JORNADA_PERIODO_2),
IF(VLOOKUP(tblHorasFev[Dia],tblDiaUtil[[Abreviatura]:[2º Período]],4,FALSE)&gt;0,VLOOKUP(tblHorasFev[Dia],tblDiaUtil[[Abreviatura]:[2º Período]],4,FALSE),JORNADA/2)),
        IF(AND(ISNUMBER(tblHorasFev[Saída - 2]),ISNUMBER(tblHorasFev[Entrada - 2 (Almoço)])),
              IF(OR(AND(tblHorasFev[Evento 
(2º Período)]&lt;&gt;"",IF(ISERROR(VLOOKUP(tblHorasFev[Evento 
(2º Período)],tblEvento[],Tabelas!$E$1,FALSE)),FALSE,VLOOKUP(tblHorasFev[Evento 
(2º Período)],tblEvento[],Tabelas!$E$1,FALSE)="Sim")),IF(VLOOKUP(TEXT(tblHorasFev[Data],"dddd"),tblDiaUtil[],2,FALSE)="Não",TRUE,FALSE)),
                   tblHorasFev[Saída - 2]-tblHorasFev[Entrada - 2 (Almoço)],
                   IF(OR(HOUR(tblHorasFev[Saída - 2]-tblHorasFev[Entrada - 2 (Almoço)])&gt;0,MINUTE(tblHorasFev[Saída - 2]-tblHorasFev[Entrada - 2 (Almoço)])&gt;CARENCIA),
                         tblHorasFev[Saída - 2]-tblHorasFev[Entrada - 2 (Almoço)],
                         0)),
       0)),0)</f>
        <v>0</v>
      </c>
      <c r="L37" s="4">
        <f>tblHorasFev[Horas Trabalhadas (1º Período)]+tblHorasFev[Horas Trabalhadas (2º Período)]</f>
        <v>0</v>
      </c>
      <c r="M37" s="4" t="str">
        <f>IF(tblHorasFev[Data]&lt;&gt;"",
        IF(
AND(VLOOKUP(TEXT(tblHorasFev[Data],"dddd"),tblDiaUtil[],3,FALSE)="Sim",IF(tblHorasFev[Evento 
(1º Período)]&lt;&gt;"",IF(VLOOKUP(tblHorasFev[Evento 
(1º Período)],tblEvento[],Tabelas!$E$1,FALSE)="Sim",FALSE,TRUE),TRUE),IF(tblHorasFev[Evento 
(2º Período)]&lt;&gt;"",IF(VLOOKUP(tblHorasFev[Evento 
(2º Período)],tblEvento[],Tabelas!$E$1,FALSE)="Sim",FALSE,TRUE),TRUE)),
              IF(VLOOKUP(tblHorasFev[Dia],tblDiaUtil[[Abreviatura]:[1º Período]],3,FALSE)&gt;0,VLOOKUP(tblHorasFev[Dia],tblDiaUtil[[Abreviatura]:[1º Período]],3,FALSE),JORNADA),
              ""),
         "")</f>
        <v/>
      </c>
      <c r="N37" s="14">
        <f>IF(OR(tblHorasFev[Horas Trabalhadas (1º Período)]&lt;&gt;0,tblHorasFev[Horas Trabalhadas (2º Período)]&lt;&gt;0),
        IF(ISNUMBER(tblHorasFev[Jornada Diária]),
              IF(tblHorasFev[Jornada Diária]&gt;(tblHorasFev[Horas Trabalhadas (2º Período)]+tblHorasFev[Horas Trabalhadas (1º Período)]),
                     IF(ROUND((tblHorasFev[Jornada Diária]-(tblHorasFev[Horas Trabalhadas (2º Período)]+tblHorasFev[Horas Trabalhadas (1º Período)])),6)&gt;ROUND(CARENCIA,6),
                           -tblHorasFev[Jornada Diária]+(tblHorasFev[Horas Trabalhadas (2º Período)]+tblHorasFev[Horas Trabalhadas (1º Período)]),
                           0),
                      IF(ROUND((tblHorasFev[Jornada Diária]-(tblHorasFev[Horas Trabalhadas (2º Período)]+tblHorasFev[Horas Trabalhadas (1º Período)])),6)&lt;ROUND(-CARENCIA,6),
                           -tblHorasFev[Jornada Diária]+(tblHorasFev[Horas Trabalhadas (2º Período)]+tblHorasFev[Horas Trabalhadas (1º Período)]),
                           0)),
              tblHorasFev[Horas Trabalhadas (2º Período)]+tblHorasFev[Horas Trabalhadas (1º Período)]),
         IF(AND(IF(ISERROR(VLOOKUP(tblHorasFev[Evento 
(1º Período)],tblEvento[[Evento]:[Libera o Período]],4,FALSE)),FALSE,IF(VLOOKUP(tblHorasFev[Evento 
(1º Período)],tblEvento[[Evento]:[Libera o Período]],4,FALSE)="Não",TRUE,FALSE)),IF(ISERROR(VLOOKUP(tblHorasFev[Evento 
(2º Período)],tblEvento[[Evento]:[Libera o Período]],4,FALSE)),FALSE,IF(VLOOKUP(tblHorasFev[Evento 
(2º Período)],tblEvento[[Evento]:[Libera o Período]],4,FALSE)="Não",TRUE,FALSE))),
-IF(VLOOKUP(tblHorasFev[Dia],tblDiaUtil[[Abreviatura]:[Total Jornada]],5,FALSE)&lt;&gt;"",VLOOKUP(tblHorasFev[Dia],tblDiaUtil[[Abreviatura]:[Total Jornada]],5,FALSE),JORNADA),
IF(IF(ISERROR(VLOOKUP(tblHorasFev[Evento 
(1º Período)],tblEvento[[Evento]:[Libera o Período]],4,FALSE)),FALSE,
IF(VLOOKUP(tblHorasFev[Evento 
(1º Período)],tblEvento[[Evento]:[Libera o Período]],4,FALSE)="Não",TRUE,FALSE)
),
-IF(VLOOKUP(tblHorasFev[Dia],tblDiaUtil[[Abreviatura]:[1º Período]],3,FALSE)&lt;&gt;"",VLOOKUP(tblHorasFev[Dia],tblDiaUtil[[Abreviatura]:[1º Período]],3,FALSE),JORNADA_PERIODO_1),
IF(IF(ISERROR(VLOOKUP(tblHorasFev[Evento 
(2º Período)],tblEvento[[Evento]:[Libera o Período]],4,FALSE)),FALSE,IF(VLOOKUP(tblHorasFev[Evento 
(2º Período)],tblEvento[[Evento]:[Libera o Período]],4,FALSE)="Não",TRUE,FALSE)),
-IF(VLOOKUP(tblHorasFev[Dia],tblDiaUtil[[Abreviatura]:[2º Período]],4,FALSE)&lt;&gt;"",VLOOKUP(tblHorasFev[Dia],tblDiaUtil[[Abreviatura]:[2º Período]],4,FALSE),JORNADA_PERIODO_2),0))))</f>
        <v>0</v>
      </c>
      <c r="O37" s="14">
        <f>IF(tblHorasFev[Horas Trabalhadas Além Jornada]&gt;0,
        IF(ISNUMBER(tblHorasFev[Jornada Diária]),
              IF(HOUR(tblHorasFev[Horas Trabalhadas Além Jornada])&gt;=VLOOKUP(LIMITE,tblLimiteHora[],Tabelas!$I$1,FALSE),
                    VLOOKUP(LIMITE,tblLimiteHora[],Tabelas!$J$1,FALSE),
                    tblHorasFev[Horas Trabalhadas Além Jornada]),
              tblHorasFev[Horas Trabalhadas Além Jornada]),
        tblHorasFev[Horas Trabalhadas Além Jornada])+O36</f>
        <v>0</v>
      </c>
      <c r="P37" s="14" t="str">
        <f>IF(tblHorasFev[Horas Trabalhadas Além Jornada]&lt;0,IF(OR(tblHorasFev[Evento 
(1º Período)]="",tblHorasFev[Evento 
(2º Período)]=""),tblHorasFev[Horas Trabalhadas Além Jornada],""),"")</f>
        <v/>
      </c>
      <c r="Q37" s="14" t="str">
        <f>IF(tblHorasFev[Jornada Diária]&lt;&gt;"",IF((N(tblHorasFev[Jornada Diária])-ABS(N(tblHorasFev[Horas Trabalhadas Além Jornada])))=0,1,""),"")</f>
        <v/>
      </c>
      <c r="R37" s="14" t="str">
        <f>IF(tblHorasFev[Horas Trabalhadas Além Jornada]&gt;0,
IF(AND(VLOOKUP(TEXT(tblHorasFev[Data],"dddd"),tblDiaUtil[],3,FALSE)="Sim",IF(tblHorasFev[Evento 
(1º Período)]&lt;&gt;"",IF(VLOOKUP(tblHorasFev[Evento 
(1º Período)],tblEvento[],Tabelas!$E$1,FALSE)="Sim",FALSE,TRUE),TRUE),IF(tblHorasFev[Evento 
(2º Período)]&lt;&gt;"",IF(VLOOKUP(tblHorasFev[Evento 
(2º Período)],tblEvento[],Tabelas!$E$1,FALSE)="Sim",FALSE,TRUE),TRUE)),
tblHorasFev[Horas Trabalhadas Além Jornada],""),"")</f>
        <v/>
      </c>
      <c r="S37" s="14" t="str">
        <f>IF(tblHorasFev[Horas Trabalhadas Além Jornada]&gt;0,
IF(OR(VLOOKUP(TEXT(tblHorasFev[Data],"dddd"),tblDiaUtil[],3,FALSE)="Não",IF(tblHorasFev[Evento 
(1º Período)]&lt;&gt;"",IF(VLOOKUP(tblHorasFev[Evento 
(1º Período)],tblEvento[],Tabelas!$E$1,FALSE)="Sim",TRUE,FALSE),FALSE),IF(tblHorasFev[Evento 
(2º Período)]&lt;&gt;"",IF(VLOOKUP(tblHorasFev[Evento 
(2º Período)],tblEvento[],Tabelas!$E$1,FALSE)="Sim",TRUE,FALSE),FALSE)),
tblHorasFev[Horas Trabalhadas Além Jornada],""),"")</f>
        <v/>
      </c>
      <c r="T37" s="15" t="str">
        <f>IF(tblHorasFev[Evento 
(1º Período)]&lt;&gt;""," - " &amp;VLOOKUP(tblHorasFev[Evento 
(1º Período)],tblEvento[],Tabelas!$F$1,FALSE),"")&amp;IF(AND(tblHorasFev[Evento 
(2º Período)]&lt;&gt;"",tblHorasFev[Evento 
(2º Período)]&lt;&gt;tblHorasFev[Evento 
(1º Período)])," - " &amp; VLOOKUP(tblHorasFev[Evento 
(2º Período)],tblEvento[],Tabelas!$F$1,FALSE),"")</f>
        <v/>
      </c>
    </row>
    <row r="38" spans="2:21" x14ac:dyDescent="0.25">
      <c r="B38" s="11" t="str">
        <f t="shared" si="0"/>
        <v/>
      </c>
      <c r="C38" s="12" t="str">
        <f>TEXT(tblHorasFev[Data],"ddd")</f>
        <v/>
      </c>
      <c r="D38" s="25"/>
      <c r="E38" s="1"/>
      <c r="F38" s="1"/>
      <c r="G38" s="1"/>
      <c r="H38" s="1"/>
      <c r="I38" s="53"/>
      <c r="J38" s="4">
        <f>IF($B$6&lt;&gt;"",
IF(AND(tblHorasFev[Evento 
(1º Período)]&lt;&gt;"",IF(ISERROR(VLOOKUP(tblHorasFev[Evento 
(1º Período)],tblEvento[],Tabelas!$D$1,FALSE)),FALSE,VLOOKUP(tblHorasFev[Evento 
(1º Período)],tblEvento[],Tabelas!$D$1,FALSE)="Sim")),
        IF(JORNADA_PERIODO_1&lt;&gt;"",
IF(VLOOKUP(tblHorasFev[Dia],tblDiaUtil[[Abreviatura]:[1º Período]],3,FALSE)&gt;0,VLOOKUP(tblHorasFev[Dia],tblDiaUtil[[Abreviatura]:[1º Período]],3,FALSE),JORNADA_PERIODO_1),
IF(VLOOKUP(tblHorasFev[Dia],tblDiaUtil[[Abreviatura]:[1º Período]],3,FALSE)&gt;0,VLOOKUP(tblHorasFev[Dia],tblDiaUtil[[Abreviatura]:[1º Período]],3,FALSE),JORNADA/2)),
        IF(AND(ISNUMBER(tblHorasFev[Saída - 1 (Almoço)]),ISNUMBER(tblHorasFev[Entrada - 1])),
              IF(OR(AND(tblHorasFev[Evento 
(1º Período)]&lt;&gt;"",IF(ISERROR(VLOOKUP(tblHorasFev[Evento 
(1º Período)],tblEvento[],Tabelas!$E$1,FALSE)),FALSE,VLOOKUP(tblHorasFev[Evento 
(1º Período)],tblEvento[],Tabelas!$E$1,FALSE)="Sim")),IF(VLOOKUP(TEXT(tblHorasFev[Data],"dddd"),tblDiaUtil[],2,FALSE)="Não",TRUE,FALSE)),
                   tblHorasFev[Saída - 1 (Almoço)]-tblHorasFev[Entrada - 1],
                   IF(OR(HOUR(tblHorasFev[Saída - 1 (Almoço)]-tblHorasFev[Entrada - 1])&gt;0,ROUND(tblHorasFev[Saída - 1 (Almoço)]-tblHorasFev[Entrada - 1],6)&gt;ROUND(CARENCIA,6)),
                          tblHorasFev[Saída - 1 (Almoço)]-tblHorasFev[Entrada - 1],
                          0)),
                    0)),0)</f>
        <v>0</v>
      </c>
      <c r="K38" s="4">
        <f>IF($B$6&lt;&gt;"",
IF(AND(tblHorasFev[Evento 
(2º Período)]&lt;&gt;"",IF(ISERROR(VLOOKUP(tblHorasFev[Evento 
(2º Período)],tblEvento[],Tabelas!$D$1,FALSE)),FALSE,VLOOKUP(tblHorasFev[Evento 
(2º Período)],tblEvento[],Tabelas!$D$1,FALSE)="Sim")),
        IF(JORNADA_PERIODO_2&lt;&gt;"",
IF(VLOOKUP(tblHorasFev[Dia],tblDiaUtil[[Abreviatura]:[2º Período]],4,FALSE)&gt;0,VLOOKUP(tblHorasFev[Dia],tblDiaUtil[[Abreviatura]:[2º Período]],4,FALSE),JORNADA_PERIODO_2),
IF(VLOOKUP(tblHorasFev[Dia],tblDiaUtil[[Abreviatura]:[2º Período]],4,FALSE)&gt;0,VLOOKUP(tblHorasFev[Dia],tblDiaUtil[[Abreviatura]:[2º Período]],4,FALSE),JORNADA/2)),
        IF(AND(ISNUMBER(tblHorasFev[Saída - 2]),ISNUMBER(tblHorasFev[Entrada - 2 (Almoço)])),
              IF(OR(AND(tblHorasFev[Evento 
(2º Período)]&lt;&gt;"",IF(ISERROR(VLOOKUP(tblHorasFev[Evento 
(2º Período)],tblEvento[],Tabelas!$E$1,FALSE)),FALSE,VLOOKUP(tblHorasFev[Evento 
(2º Período)],tblEvento[],Tabelas!$E$1,FALSE)="Sim")),IF(VLOOKUP(TEXT(tblHorasFev[Data],"dddd"),tblDiaUtil[],2,FALSE)="Não",TRUE,FALSE)),
                   tblHorasFev[Saída - 2]-tblHorasFev[Entrada - 2 (Almoço)],
                   IF(OR(HOUR(tblHorasFev[Saída - 2]-tblHorasFev[Entrada - 2 (Almoço)])&gt;0,MINUTE(tblHorasFev[Saída - 2]-tblHorasFev[Entrada - 2 (Almoço)])&gt;CARENCIA),
                         tblHorasFev[Saída - 2]-tblHorasFev[Entrada - 2 (Almoço)],
                         0)),
       0)),0)</f>
        <v>0</v>
      </c>
      <c r="L38" s="4">
        <f>tblHorasFev[Horas Trabalhadas (1º Período)]+tblHorasFev[Horas Trabalhadas (2º Período)]</f>
        <v>0</v>
      </c>
      <c r="M38" s="4" t="str">
        <f>IF(tblHorasFev[Data]&lt;&gt;"",
        IF(
AND(VLOOKUP(TEXT(tblHorasFev[Data],"dddd"),tblDiaUtil[],3,FALSE)="Sim",IF(tblHorasFev[Evento 
(1º Período)]&lt;&gt;"",IF(VLOOKUP(tblHorasFev[Evento 
(1º Período)],tblEvento[],Tabelas!$E$1,FALSE)="Sim",FALSE,TRUE),TRUE),IF(tblHorasFev[Evento 
(2º Período)]&lt;&gt;"",IF(VLOOKUP(tblHorasFev[Evento 
(2º Período)],tblEvento[],Tabelas!$E$1,FALSE)="Sim",FALSE,TRUE),TRUE)),
              IF(VLOOKUP(tblHorasFev[Dia],tblDiaUtil[[Abreviatura]:[1º Período]],3,FALSE)&gt;0,VLOOKUP(tblHorasFev[Dia],tblDiaUtil[[Abreviatura]:[1º Período]],3,FALSE),JORNADA),
              ""),
         "")</f>
        <v/>
      </c>
      <c r="N38" s="14">
        <f>IF(OR(tblHorasFev[Horas Trabalhadas (1º Período)]&lt;&gt;0,tblHorasFev[Horas Trabalhadas (2º Período)]&lt;&gt;0),
        IF(ISNUMBER(tblHorasFev[Jornada Diária]),
              IF(tblHorasFev[Jornada Diária]&gt;(tblHorasFev[Horas Trabalhadas (2º Período)]+tblHorasFev[Horas Trabalhadas (1º Período)]),
                     IF(ROUND((tblHorasFev[Jornada Diária]-(tblHorasFev[Horas Trabalhadas (2º Período)]+tblHorasFev[Horas Trabalhadas (1º Período)])),6)&gt;ROUND(CARENCIA,6),
                           -tblHorasFev[Jornada Diária]+(tblHorasFev[Horas Trabalhadas (2º Período)]+tblHorasFev[Horas Trabalhadas (1º Período)]),
                           0),
                      IF(ROUND((tblHorasFev[Jornada Diária]-(tblHorasFev[Horas Trabalhadas (2º Período)]+tblHorasFev[Horas Trabalhadas (1º Período)])),6)&lt;ROUND(-CARENCIA,6),
                           -tblHorasFev[Jornada Diária]+(tblHorasFev[Horas Trabalhadas (2º Período)]+tblHorasFev[Horas Trabalhadas (1º Período)]),
                           0)),
              tblHorasFev[Horas Trabalhadas (2º Período)]+tblHorasFev[Horas Trabalhadas (1º Período)]),
         IF(AND(IF(ISERROR(VLOOKUP(tblHorasFev[Evento 
(1º Período)],tblEvento[[Evento]:[Libera o Período]],4,FALSE)),FALSE,IF(VLOOKUP(tblHorasFev[Evento 
(1º Período)],tblEvento[[Evento]:[Libera o Período]],4,FALSE)="Não",TRUE,FALSE)),IF(ISERROR(VLOOKUP(tblHorasFev[Evento 
(2º Período)],tblEvento[[Evento]:[Libera o Período]],4,FALSE)),FALSE,IF(VLOOKUP(tblHorasFev[Evento 
(2º Período)],tblEvento[[Evento]:[Libera o Período]],4,FALSE)="Não",TRUE,FALSE))),
-IF(VLOOKUP(tblHorasFev[Dia],tblDiaUtil[[Abreviatura]:[Total Jornada]],5,FALSE)&lt;&gt;"",VLOOKUP(tblHorasFev[Dia],tblDiaUtil[[Abreviatura]:[Total Jornada]],5,FALSE),JORNADA),
IF(IF(ISERROR(VLOOKUP(tblHorasFev[Evento 
(1º Período)],tblEvento[[Evento]:[Libera o Período]],4,FALSE)),FALSE,
IF(VLOOKUP(tblHorasFev[Evento 
(1º Período)],tblEvento[[Evento]:[Libera o Período]],4,FALSE)="Não",TRUE,FALSE)
),
-IF(VLOOKUP(tblHorasFev[Dia],tblDiaUtil[[Abreviatura]:[1º Período]],3,FALSE)&lt;&gt;"",VLOOKUP(tblHorasFev[Dia],tblDiaUtil[[Abreviatura]:[1º Período]],3,FALSE),JORNADA_PERIODO_1),
IF(IF(ISERROR(VLOOKUP(tblHorasFev[Evento 
(2º Período)],tblEvento[[Evento]:[Libera o Período]],4,FALSE)),FALSE,IF(VLOOKUP(tblHorasFev[Evento 
(2º Período)],tblEvento[[Evento]:[Libera o Período]],4,FALSE)="Não",TRUE,FALSE)),
-IF(VLOOKUP(tblHorasFev[Dia],tblDiaUtil[[Abreviatura]:[2º Período]],4,FALSE)&lt;&gt;"",VLOOKUP(tblHorasFev[Dia],tblDiaUtil[[Abreviatura]:[2º Período]],4,FALSE),JORNADA_PERIODO_2),0))))</f>
        <v>0</v>
      </c>
      <c r="O38" s="14">
        <f>IF(tblHorasFev[Horas Trabalhadas Além Jornada]&gt;0,
        IF(ISNUMBER(tblHorasFev[Jornada Diária]),
              IF(HOUR(tblHorasFev[Horas Trabalhadas Além Jornada])&gt;=VLOOKUP(LIMITE,tblLimiteHora[],Tabelas!$I$1,FALSE),
                    VLOOKUP(LIMITE,tblLimiteHora[],Tabelas!$J$1,FALSE),
                    tblHorasFev[Horas Trabalhadas Além Jornada]),
              tblHorasFev[Horas Trabalhadas Além Jornada]),
        tblHorasFev[Horas Trabalhadas Além Jornada])+O37</f>
        <v>0</v>
      </c>
      <c r="P38" s="14" t="str">
        <f>IF(tblHorasFev[Horas Trabalhadas Além Jornada]&lt;0,IF(OR(tblHorasFev[Evento 
(1º Período)]="",tblHorasFev[Evento 
(2º Período)]=""),tblHorasFev[Horas Trabalhadas Além Jornada],""),"")</f>
        <v/>
      </c>
      <c r="Q38" s="14" t="str">
        <f>IF(tblHorasFev[Jornada Diária]&lt;&gt;"",IF((N(tblHorasFev[Jornada Diária])-ABS(N(tblHorasFev[Horas Trabalhadas Além Jornada])))=0,1,""),"")</f>
        <v/>
      </c>
      <c r="R38" s="14" t="str">
        <f>IF(tblHorasFev[Horas Trabalhadas Além Jornada]&gt;0,
IF(AND(VLOOKUP(TEXT(tblHorasFev[Data],"dddd"),tblDiaUtil[],3,FALSE)="Sim",IF(tblHorasFev[Evento 
(1º Período)]&lt;&gt;"",IF(VLOOKUP(tblHorasFev[Evento 
(1º Período)],tblEvento[],Tabelas!$E$1,FALSE)="Sim",FALSE,TRUE),TRUE),IF(tblHorasFev[Evento 
(2º Período)]&lt;&gt;"",IF(VLOOKUP(tblHorasFev[Evento 
(2º Período)],tblEvento[],Tabelas!$E$1,FALSE)="Sim",FALSE,TRUE),TRUE)),
tblHorasFev[Horas Trabalhadas Além Jornada],""),"")</f>
        <v/>
      </c>
      <c r="S38" s="14" t="str">
        <f>IF(tblHorasFev[Horas Trabalhadas Além Jornada]&gt;0,
IF(OR(VLOOKUP(TEXT(tblHorasFev[Data],"dddd"),tblDiaUtil[],3,FALSE)="Não",IF(tblHorasFev[Evento 
(1º Período)]&lt;&gt;"",IF(VLOOKUP(tblHorasFev[Evento 
(1º Período)],tblEvento[],Tabelas!$E$1,FALSE)="Sim",TRUE,FALSE),FALSE),IF(tblHorasFev[Evento 
(2º Período)]&lt;&gt;"",IF(VLOOKUP(tblHorasFev[Evento 
(2º Período)],tblEvento[],Tabelas!$E$1,FALSE)="Sim",TRUE,FALSE),FALSE)),
tblHorasFev[Horas Trabalhadas Além Jornada],""),"")</f>
        <v/>
      </c>
      <c r="T38" s="15" t="str">
        <f>IF(tblHorasFev[Evento 
(1º Período)]&lt;&gt;""," - " &amp;VLOOKUP(tblHorasFev[Evento 
(1º Período)],tblEvento[],Tabelas!$F$1,FALSE),"")&amp;IF(AND(tblHorasFev[Evento 
(2º Período)]&lt;&gt;"",tblHorasFev[Evento 
(2º Período)]&lt;&gt;tblHorasFev[Evento 
(1º Período)])," - " &amp; VLOOKUP(tblHorasFev[Evento 
(2º Período)],tblEvento[],Tabelas!$F$1,FALSE),"")</f>
        <v/>
      </c>
    </row>
    <row r="39" spans="2:21" x14ac:dyDescent="0.25">
      <c r="B39" s="11" t="str">
        <f t="shared" si="0"/>
        <v/>
      </c>
      <c r="C39" s="12" t="str">
        <f>TEXT(tblHorasFev[Data],"ddd")</f>
        <v/>
      </c>
      <c r="D39" s="25"/>
      <c r="E39" s="1"/>
      <c r="F39" s="1"/>
      <c r="G39" s="1"/>
      <c r="H39" s="1"/>
      <c r="I39" s="53"/>
      <c r="J39" s="4">
        <f>IF($B$6&lt;&gt;"",
IF(AND(tblHorasFev[Evento 
(1º Período)]&lt;&gt;"",IF(ISERROR(VLOOKUP(tblHorasFev[Evento 
(1º Período)],tblEvento[],Tabelas!$D$1,FALSE)),FALSE,VLOOKUP(tblHorasFev[Evento 
(1º Período)],tblEvento[],Tabelas!$D$1,FALSE)="Sim")),
        IF(JORNADA_PERIODO_1&lt;&gt;"",
IF(VLOOKUP(tblHorasFev[Dia],tblDiaUtil[[Abreviatura]:[1º Período]],3,FALSE)&gt;0,VLOOKUP(tblHorasFev[Dia],tblDiaUtil[[Abreviatura]:[1º Período]],3,FALSE),JORNADA_PERIODO_1),
IF(VLOOKUP(tblHorasFev[Dia],tblDiaUtil[[Abreviatura]:[1º Período]],3,FALSE)&gt;0,VLOOKUP(tblHorasFev[Dia],tblDiaUtil[[Abreviatura]:[1º Período]],3,FALSE),JORNADA/2)),
        IF(AND(ISNUMBER(tblHorasFev[Saída - 1 (Almoço)]),ISNUMBER(tblHorasFev[Entrada - 1])),
              IF(OR(AND(tblHorasFev[Evento 
(1º Período)]&lt;&gt;"",IF(ISERROR(VLOOKUP(tblHorasFev[Evento 
(1º Período)],tblEvento[],Tabelas!$E$1,FALSE)),FALSE,VLOOKUP(tblHorasFev[Evento 
(1º Período)],tblEvento[],Tabelas!$E$1,FALSE)="Sim")),IF(VLOOKUP(TEXT(tblHorasFev[Data],"dddd"),tblDiaUtil[],2,FALSE)="Não",TRUE,FALSE)),
                   tblHorasFev[Saída - 1 (Almoço)]-tblHorasFev[Entrada - 1],
                   IF(OR(HOUR(tblHorasFev[Saída - 1 (Almoço)]-tblHorasFev[Entrada - 1])&gt;0,ROUND(tblHorasFev[Saída - 1 (Almoço)]-tblHorasFev[Entrada - 1],6)&gt;ROUND(CARENCIA,6)),
                          tblHorasFev[Saída - 1 (Almoço)]-tblHorasFev[Entrada - 1],
                          0)),
                    0)),0)</f>
        <v>0</v>
      </c>
      <c r="K39" s="4">
        <f>IF($B$6&lt;&gt;"",
IF(AND(tblHorasFev[Evento 
(2º Período)]&lt;&gt;"",IF(ISERROR(VLOOKUP(tblHorasFev[Evento 
(2º Período)],tblEvento[],Tabelas!$D$1,FALSE)),FALSE,VLOOKUP(tblHorasFev[Evento 
(2º Período)],tblEvento[],Tabelas!$D$1,FALSE)="Sim")),
        IF(JORNADA_PERIODO_2&lt;&gt;"",
IF(VLOOKUP(tblHorasFev[Dia],tblDiaUtil[[Abreviatura]:[2º Período]],4,FALSE)&gt;0,VLOOKUP(tblHorasFev[Dia],tblDiaUtil[[Abreviatura]:[2º Período]],4,FALSE),JORNADA_PERIODO_2),
IF(VLOOKUP(tblHorasFev[Dia],tblDiaUtil[[Abreviatura]:[2º Período]],4,FALSE)&gt;0,VLOOKUP(tblHorasFev[Dia],tblDiaUtil[[Abreviatura]:[2º Período]],4,FALSE),JORNADA/2)),
        IF(AND(ISNUMBER(tblHorasFev[Saída - 2]),ISNUMBER(tblHorasFev[Entrada - 2 (Almoço)])),
              IF(OR(AND(tblHorasFev[Evento 
(2º Período)]&lt;&gt;"",IF(ISERROR(VLOOKUP(tblHorasFev[Evento 
(2º Período)],tblEvento[],Tabelas!$E$1,FALSE)),FALSE,VLOOKUP(tblHorasFev[Evento 
(2º Período)],tblEvento[],Tabelas!$E$1,FALSE)="Sim")),IF(VLOOKUP(TEXT(tblHorasFev[Data],"dddd"),tblDiaUtil[],2,FALSE)="Não",TRUE,FALSE)),
                   tblHorasFev[Saída - 2]-tblHorasFev[Entrada - 2 (Almoço)],
                   IF(OR(HOUR(tblHorasFev[Saída - 2]-tblHorasFev[Entrada - 2 (Almoço)])&gt;0,MINUTE(tblHorasFev[Saída - 2]-tblHorasFev[Entrada - 2 (Almoço)])&gt;CARENCIA),
                         tblHorasFev[Saída - 2]-tblHorasFev[Entrada - 2 (Almoço)],
                         0)),
       0)),0)</f>
        <v>0</v>
      </c>
      <c r="L39" s="4">
        <f>tblHorasFev[Horas Trabalhadas (1º Período)]+tblHorasFev[Horas Trabalhadas (2º Período)]</f>
        <v>0</v>
      </c>
      <c r="M39" s="4" t="str">
        <f>IF(tblHorasFev[Data]&lt;&gt;"",
        IF(
AND(VLOOKUP(TEXT(tblHorasFev[Data],"dddd"),tblDiaUtil[],3,FALSE)="Sim",IF(tblHorasFev[Evento 
(1º Período)]&lt;&gt;"",IF(VLOOKUP(tblHorasFev[Evento 
(1º Período)],tblEvento[],Tabelas!$E$1,FALSE)="Sim",FALSE,TRUE),TRUE),IF(tblHorasFev[Evento 
(2º Período)]&lt;&gt;"",IF(VLOOKUP(tblHorasFev[Evento 
(2º Período)],tblEvento[],Tabelas!$E$1,FALSE)="Sim",FALSE,TRUE),TRUE)),
              IF(VLOOKUP(tblHorasFev[Dia],tblDiaUtil[[Abreviatura]:[1º Período]],3,FALSE)&gt;0,VLOOKUP(tblHorasFev[Dia],tblDiaUtil[[Abreviatura]:[1º Período]],3,FALSE),JORNADA),
              ""),
         "")</f>
        <v/>
      </c>
      <c r="N39" s="14">
        <f>IF(OR(tblHorasFev[Horas Trabalhadas (1º Período)]&lt;&gt;0,tblHorasFev[Horas Trabalhadas (2º Período)]&lt;&gt;0),
        IF(ISNUMBER(tblHorasFev[Jornada Diária]),
              IF(tblHorasFev[Jornada Diária]&gt;(tblHorasFev[Horas Trabalhadas (2º Período)]+tblHorasFev[Horas Trabalhadas (1º Período)]),
                     IF(ROUND((tblHorasFev[Jornada Diária]-(tblHorasFev[Horas Trabalhadas (2º Período)]+tblHorasFev[Horas Trabalhadas (1º Período)])),6)&gt;ROUND(CARENCIA,6),
                           -tblHorasFev[Jornada Diária]+(tblHorasFev[Horas Trabalhadas (2º Período)]+tblHorasFev[Horas Trabalhadas (1º Período)]),
                           0),
                      IF(ROUND((tblHorasFev[Jornada Diária]-(tblHorasFev[Horas Trabalhadas (2º Período)]+tblHorasFev[Horas Trabalhadas (1º Período)])),6)&lt;ROUND(-CARENCIA,6),
                           -tblHorasFev[Jornada Diária]+(tblHorasFev[Horas Trabalhadas (2º Período)]+tblHorasFev[Horas Trabalhadas (1º Período)]),
                           0)),
              tblHorasFev[Horas Trabalhadas (2º Período)]+tblHorasFev[Horas Trabalhadas (1º Período)]),
         IF(AND(IF(ISERROR(VLOOKUP(tblHorasFev[Evento 
(1º Período)],tblEvento[[Evento]:[Libera o Período]],4,FALSE)),FALSE,IF(VLOOKUP(tblHorasFev[Evento 
(1º Período)],tblEvento[[Evento]:[Libera o Período]],4,FALSE)="Não",TRUE,FALSE)),IF(ISERROR(VLOOKUP(tblHorasFev[Evento 
(2º Período)],tblEvento[[Evento]:[Libera o Período]],4,FALSE)),FALSE,IF(VLOOKUP(tblHorasFev[Evento 
(2º Período)],tblEvento[[Evento]:[Libera o Período]],4,FALSE)="Não",TRUE,FALSE))),
-IF(VLOOKUP(tblHorasFev[Dia],tblDiaUtil[[Abreviatura]:[Total Jornada]],5,FALSE)&lt;&gt;"",VLOOKUP(tblHorasFev[Dia],tblDiaUtil[[Abreviatura]:[Total Jornada]],5,FALSE),JORNADA),
IF(IF(ISERROR(VLOOKUP(tblHorasFev[Evento 
(1º Período)],tblEvento[[Evento]:[Libera o Período]],4,FALSE)),FALSE,
IF(VLOOKUP(tblHorasFev[Evento 
(1º Período)],tblEvento[[Evento]:[Libera o Período]],4,FALSE)="Não",TRUE,FALSE)
),
-IF(VLOOKUP(tblHorasFev[Dia],tblDiaUtil[[Abreviatura]:[1º Período]],3,FALSE)&lt;&gt;"",VLOOKUP(tblHorasFev[Dia],tblDiaUtil[[Abreviatura]:[1º Período]],3,FALSE),JORNADA_PERIODO_1),
IF(IF(ISERROR(VLOOKUP(tblHorasFev[Evento 
(2º Período)],tblEvento[[Evento]:[Libera o Período]],4,FALSE)),FALSE,IF(VLOOKUP(tblHorasFev[Evento 
(2º Período)],tblEvento[[Evento]:[Libera o Período]],4,FALSE)="Não",TRUE,FALSE)),
-IF(VLOOKUP(tblHorasFev[Dia],tblDiaUtil[[Abreviatura]:[2º Período]],4,FALSE)&lt;&gt;"",VLOOKUP(tblHorasFev[Dia],tblDiaUtil[[Abreviatura]:[2º Período]],4,FALSE),JORNADA_PERIODO_2),0))))</f>
        <v>0</v>
      </c>
      <c r="O39" s="14">
        <f>IF(tblHorasFev[Horas Trabalhadas Além Jornada]&gt;0,
        IF(ISNUMBER(tblHorasFev[Jornada Diária]),
              IF(HOUR(tblHorasFev[Horas Trabalhadas Além Jornada])&gt;=VLOOKUP(LIMITE,tblLimiteHora[],Tabelas!$I$1,FALSE),
                    VLOOKUP(LIMITE,tblLimiteHora[],Tabelas!$J$1,FALSE),
                    tblHorasFev[Horas Trabalhadas Além Jornada]),
              tblHorasFev[Horas Trabalhadas Além Jornada]),
        tblHorasFev[Horas Trabalhadas Além Jornada])+O38</f>
        <v>0</v>
      </c>
      <c r="P39" s="14" t="str">
        <f>IF(tblHorasFev[Horas Trabalhadas Além Jornada]&lt;0,IF(OR(tblHorasFev[Evento 
(1º Período)]="",tblHorasFev[Evento 
(2º Período)]=""),tblHorasFev[Horas Trabalhadas Além Jornada],""),"")</f>
        <v/>
      </c>
      <c r="Q39" s="14" t="str">
        <f>IF(tblHorasFev[Jornada Diária]&lt;&gt;"",IF((N(tblHorasFev[Jornada Diária])-ABS(N(tblHorasFev[Horas Trabalhadas Além Jornada])))=0,1,""),"")</f>
        <v/>
      </c>
      <c r="R39" s="14" t="str">
        <f>IF(tblHorasFev[Horas Trabalhadas Além Jornada]&gt;0,
IF(AND(VLOOKUP(TEXT(tblHorasFev[Data],"dddd"),tblDiaUtil[],3,FALSE)="Sim",IF(tblHorasFev[Evento 
(1º Período)]&lt;&gt;"",IF(VLOOKUP(tblHorasFev[Evento 
(1º Período)],tblEvento[],Tabelas!$E$1,FALSE)="Sim",FALSE,TRUE),TRUE),IF(tblHorasFev[Evento 
(2º Período)]&lt;&gt;"",IF(VLOOKUP(tblHorasFev[Evento 
(2º Período)],tblEvento[],Tabelas!$E$1,FALSE)="Sim",FALSE,TRUE),TRUE)),
tblHorasFev[Horas Trabalhadas Além Jornada],""),"")</f>
        <v/>
      </c>
      <c r="S39" s="14" t="str">
        <f>IF(tblHorasFev[Horas Trabalhadas Além Jornada]&gt;0,
IF(OR(VLOOKUP(TEXT(tblHorasFev[Data],"dddd"),tblDiaUtil[],3,FALSE)="Não",IF(tblHorasFev[Evento 
(1º Período)]&lt;&gt;"",IF(VLOOKUP(tblHorasFev[Evento 
(1º Período)],tblEvento[],Tabelas!$E$1,FALSE)="Sim",TRUE,FALSE),FALSE),IF(tblHorasFev[Evento 
(2º Período)]&lt;&gt;"",IF(VLOOKUP(tblHorasFev[Evento 
(2º Período)],tblEvento[],Tabelas!$E$1,FALSE)="Sim",TRUE,FALSE),FALSE)),
tblHorasFev[Horas Trabalhadas Além Jornada],""),"")</f>
        <v/>
      </c>
      <c r="T39" s="15" t="str">
        <f>IF(tblHorasFev[Evento 
(1º Período)]&lt;&gt;""," - " &amp;VLOOKUP(tblHorasFev[Evento 
(1º Período)],tblEvento[],Tabelas!$F$1,FALSE),"")&amp;IF(AND(tblHorasFev[Evento 
(2º Período)]&lt;&gt;"",tblHorasFev[Evento 
(2º Período)]&lt;&gt;tblHorasFev[Evento 
(1º Período)])," - " &amp; VLOOKUP(tblHorasFev[Evento 
(2º Período)],tblEvento[],Tabelas!$F$1,FALSE),"")</f>
        <v/>
      </c>
    </row>
    <row r="40" spans="2:21" ht="5.0999999999999996" customHeight="1" x14ac:dyDescent="0.25">
      <c r="T40" s="24"/>
      <c r="U40" s="24"/>
    </row>
    <row r="41" spans="2:21" ht="9.9499999999999993" customHeight="1" x14ac:dyDescent="0.25">
      <c r="T41" s="35" t="s">
        <v>99</v>
      </c>
      <c r="U41" s="24"/>
    </row>
    <row r="42" spans="2:21" hidden="1" x14ac:dyDescent="0.25">
      <c r="T42" s="24"/>
      <c r="U42" s="24"/>
    </row>
    <row r="43" spans="2:21" hidden="1" x14ac:dyDescent="0.25">
      <c r="T43" s="24"/>
      <c r="U43" s="24"/>
    </row>
    <row r="44" spans="2:21" hidden="1" x14ac:dyDescent="0.25">
      <c r="T44" s="24"/>
      <c r="U44" s="24"/>
    </row>
    <row r="45" spans="2:21" hidden="1" x14ac:dyDescent="0.25"/>
    <row r="46" spans="2:21" x14ac:dyDescent="0.25"/>
    <row r="47" spans="2:21" x14ac:dyDescent="0.25"/>
  </sheetData>
  <sheetProtection algorithmName="SHA-512" hashValue="BcP6kqjnnYVAJRnDCv82I4xe/ImLxo6QXP6Z0SAaU6rnbQcZTeUs3HVtVVInrdfdvd4Zjz1o4dL6uZSpsh7P6g==" saltValue="o6AaJ6wFnoc6TSzDkV2U6Q==" spinCount="100000" sheet="1" formatCells="0" formatColumns="0" formatRows="0" selectLockedCells="1" autoFilter="0" pivotTables="0"/>
  <dataConsolidate/>
  <mergeCells count="8">
    <mergeCell ref="B6:C6"/>
    <mergeCell ref="P6:S6"/>
    <mergeCell ref="O5:O6"/>
    <mergeCell ref="O1:T4"/>
    <mergeCell ref="G2:I2"/>
    <mergeCell ref="H3:I3"/>
    <mergeCell ref="H4:I4"/>
    <mergeCell ref="B5:C5"/>
  </mergeCells>
  <dataValidations count="5">
    <dataValidation type="whole" allowBlank="1" showInputMessage="1" showErrorMessage="1" errorTitle="Erro" error="Dia inexistente" promptTitle="Digite o primeiro dia do mês" prompt="Somente utilize esse campo caso o dia seja diferente de 1." sqref="E6">
      <formula1>1</formula1>
      <formula2>31</formula2>
    </dataValidation>
    <dataValidation type="list" allowBlank="1" showInputMessage="1" showErrorMessage="1" errorTitle="Aviso" error="Erro na inserção de dados:_x000a__x000a_'Evento Inválido'_x000a__x000a_Selecione um Evento válido na Lista" promptTitle="Evento" prompt="_x000a_Selecione um Evento na Lista" sqref="D9:D39 I9:I39">
      <formula1>lstEvento</formula1>
    </dataValidation>
    <dataValidation type="list" allowBlank="1" showErrorMessage="1" errorTitle="Mês Inválido" error="Selecione na lista um mês válido" sqref="B6:C6">
      <formula1>lst_Mes</formula1>
    </dataValidation>
    <dataValidation type="whole" errorStyle="warning" allowBlank="1" showInputMessage="1" showErrorMessage="1" errorTitle="Aviso" error="Ano fora do período estipulado" promptTitle="Digite o ano com 4 dígitos" prompt="_x000a_ex. 2016_x000a__x000a_Entre: 1904 a 9999" sqref="D6">
      <formula1>999</formula1>
      <formula2>9999</formula2>
    </dataValidation>
    <dataValidation type="time" allowBlank="1" showInputMessage="1" showErrorMessage="1" errorTitle="Aviso" error="Erro na inserção de dados:_x000a__x000a_'Hora Inválida'_x000a__x000a_Favor inserir uma hora válida no formato: hh:mm (ex. 12:00)" sqref="E9:H39">
      <formula1>0</formula1>
      <formula2>0.999305555555556</formula2>
    </dataValidation>
  </dataValidations>
  <printOptions verticalCentered="1"/>
  <pageMargins left="0.51181102362204722" right="0.51181102362204722" top="0.78740157480314965" bottom="0.78740157480314965" header="0.31496062992125984" footer="0.31496062992125984"/>
  <pageSetup paperSize="9" scale="82" orientation="landscape" r:id="rId1"/>
  <headerFooter>
    <oddHeader>&amp;R&amp;D</oddHeader>
    <oddFooter>&amp;L.e&amp;RPágina &amp;P de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0" id="{5919B187-41D6-419B-8266-B73BB61136E8}">
            <xm:f>IF(OR(IF(ISERROR(VLOOKUP($C9,Config!$C$1:$D$18,2,FALSE)),FALSE,IF(VLOOKUP($C9,Config!$C$1:$D$18,2,FALSE)="Não",TRUE,FALSE)),IF(ISERROR(VLOOKUP($D9,Tabelas!$A$3:$B$51,2,FALSE)),FALSE,IF(VLOOKUP($D9,Tabelas!$A$3:$B$51,2,FALSE)="Sim",TRUE,FALSE)),IF(ISERROR(VLOOKUP($I9,Tabelas!$A$3:$B$51,2,FALSE)),FALSE,IF(VLOOKUP($I9,Tabelas!$A$3:$B$51,2,FALSE)="Sim",TRUE,FALSE))),TRUE,FALSE)</xm:f>
            <x14:dxf>
              <fill>
                <patternFill>
                  <bgColor rgb="FFFFFFCC"/>
                </patternFill>
              </fill>
            </x14:dxf>
          </x14:cfRule>
          <xm:sqref>B9:I9 L9:T9</xm:sqref>
        </x14:conditionalFormatting>
        <x14:conditionalFormatting xmlns:xm="http://schemas.microsoft.com/office/excel/2006/main">
          <x14:cfRule type="expression" priority="9" id="{D99AE5D8-9C25-42FC-82DD-2C695818C4CF}">
            <xm:f>IF(IF(ISERROR(VLOOKUP($D9,Tabelas!$A$3:$C$51,3,FALSE)),FALSE,VLOOKUP($D9,Tabelas!$A$3:$C$51,3,FALSE)="Sim"),TRUE,FALSE)</xm:f>
            <x14:dxf>
              <fill>
                <patternFill>
                  <bgColor rgb="FFFFD1D2"/>
                </patternFill>
              </fill>
            </x14:dxf>
          </x14:cfRule>
          <xm:sqref>D9:F9</xm:sqref>
        </x14:conditionalFormatting>
        <x14:conditionalFormatting xmlns:xm="http://schemas.microsoft.com/office/excel/2006/main">
          <x14:cfRule type="expression" priority="11" id="{FF30E934-84D3-4E41-A027-3744BBC9DCC7}">
            <xm:f>IF(IF(ISERROR(VLOOKUP($I9,Tabelas!$A$3:$C$51,3,FALSE)),FALSE,VLOOKUP($I9,Tabelas!$A$3:$C$51,3,FALSE)="Sim"),TRUE,FALSE)</xm:f>
            <x14:dxf>
              <fill>
                <patternFill>
                  <bgColor rgb="FFFFD5D6"/>
                </patternFill>
              </fill>
            </x14:dxf>
          </x14:cfRule>
          <xm:sqref>L9:M9 G9:I9</xm:sqref>
        </x14:conditionalFormatting>
        <x14:conditionalFormatting xmlns:xm="http://schemas.microsoft.com/office/excel/2006/main">
          <x14:cfRule type="expression" priority="8" id="{2ED1A9A5-4E58-4247-9D74-D644E232B3AC}">
            <xm:f>IF(OR(IF(ISERROR(VLOOKUP($C7,Config!$C$1:$D$18,2,FALSE)),FALSE,IF(VLOOKUP($C7,Config!$C$1:$D$18,2,FALSE)="Não",TRUE,FALSE)),IF(ISERROR(VLOOKUP($D7,Tabelas!$A$3:$B$51,2,FALSE)),FALSE,IF(VLOOKUP($D7,Tabelas!$A$3:$B$51,2,FALSE)="Sim",TRUE,FALSE)),IF(ISERROR(VLOOKUP($I7,Tabelas!$A$3:$B$51,2,FALSE)),FALSE,IF(VLOOKUP($I7,Tabelas!$A$3:$B$51,2,FALSE)="Sim",TRUE,FALSE))),TRUE,FALSE)</xm:f>
            <x14:dxf>
              <fill>
                <patternFill>
                  <bgColor rgb="FFFFFFCC"/>
                </patternFill>
              </fill>
            </x14:dxf>
          </x14:cfRule>
          <xm:sqref>P7:S7</xm:sqref>
        </x14:conditionalFormatting>
        <x14:conditionalFormatting xmlns:xm="http://schemas.microsoft.com/office/excel/2006/main">
          <x14:cfRule type="expression" priority="6" id="{8FE425F5-FAC1-4F3E-883A-A37694DD054D}">
            <xm:f>IF(OR(IF(ISERROR(VLOOKUP($C10,Config!$C$1:$D$18,2,FALSE)),FALSE,IF(VLOOKUP($C10,Config!$C$1:$D$18,2,FALSE)="Não",TRUE,FALSE)),IF(ISERROR(VLOOKUP($D10,Tabelas!$A$3:$B$51,2,FALSE)),FALSE,IF(VLOOKUP($D10,Tabelas!$A$3:$B$51,2,FALSE)="Sim",TRUE,FALSE)),IF(ISERROR(VLOOKUP($I10,Tabelas!$A$3:$B$51,2,FALSE)),FALSE,IF(VLOOKUP($I10,Tabelas!$A$3:$B$51,2,FALSE)="Sim",TRUE,FALSE))),TRUE,FALSE)</xm:f>
            <x14:dxf>
              <fill>
                <patternFill>
                  <bgColor rgb="FFFFFFCC"/>
                </patternFill>
              </fill>
            </x14:dxf>
          </x14:cfRule>
          <xm:sqref>B10:T39</xm:sqref>
        </x14:conditionalFormatting>
        <x14:conditionalFormatting xmlns:xm="http://schemas.microsoft.com/office/excel/2006/main">
          <x14:cfRule type="expression" priority="5" id="{C2DACB36-8C4F-44E9-8F69-FE4A70E3F9A2}">
            <xm:f>IF(IF(ISERROR(VLOOKUP($D10,Tabelas!$A$3:$C$51,3,FALSE)),FALSE,VLOOKUP($D10,Tabelas!$A$3:$C$51,3,FALSE)="Sim"),TRUE,FALSE)</xm:f>
            <x14:dxf>
              <fill>
                <patternFill>
                  <bgColor rgb="FFFFD1D2"/>
                </patternFill>
              </fill>
            </x14:dxf>
          </x14:cfRule>
          <xm:sqref>J10:J39 D10:F39</xm:sqref>
        </x14:conditionalFormatting>
        <x14:conditionalFormatting xmlns:xm="http://schemas.microsoft.com/office/excel/2006/main">
          <x14:cfRule type="expression" priority="7" id="{7F793936-A8FB-4794-A3E7-622CF39067A2}">
            <xm:f>IF(IF(ISERROR(VLOOKUP($I10,Tabelas!$A$3:$C$51,3,FALSE)),FALSE,VLOOKUP($I10,Tabelas!$A$3:$C$51,3,FALSE)="Sim"),TRUE,FALSE)</xm:f>
            <x14:dxf>
              <fill>
                <patternFill>
                  <bgColor rgb="FFFFD5D6"/>
                </patternFill>
              </fill>
            </x14:dxf>
          </x14:cfRule>
          <xm:sqref>K10:M39 G10:I39</xm:sqref>
        </x14:conditionalFormatting>
        <x14:conditionalFormatting xmlns:xm="http://schemas.microsoft.com/office/excel/2006/main">
          <x14:cfRule type="expression" priority="4" id="{34231C1B-CEC7-4336-8E20-ED3DB24E0AD5}">
            <xm:f>IF(OR(IF(ISERROR(VLOOKUP($C7,Config!$C$1:$D$18,2,FALSE)),FALSE,IF(VLOOKUP($C7,Config!$C$1:$D$18,2,FALSE)="Não",TRUE,FALSE)),IF(ISERROR(VLOOKUP($D7,Tabelas!$A$3:$B$51,2,FALSE)),FALSE,IF(VLOOKUP($D7,Tabelas!$A$3:$B$51,2,FALSE)="Sim",TRUE,FALSE)),IF(ISERROR(VLOOKUP($I7,Tabelas!$A$3:$B$51,2,FALSE)),FALSE,IF(VLOOKUP($I7,Tabelas!$A$3:$B$51,2,FALSE)="Sim",TRUE,FALSE))),TRUE,FALSE)</xm:f>
            <x14:dxf>
              <fill>
                <patternFill>
                  <bgColor rgb="FFFFFFCC"/>
                </patternFill>
              </fill>
            </x14:dxf>
          </x14:cfRule>
          <xm:sqref>O7</xm:sqref>
        </x14:conditionalFormatting>
        <x14:conditionalFormatting xmlns:xm="http://schemas.microsoft.com/office/excel/2006/main">
          <x14:cfRule type="expression" priority="2" id="{6D364920-23D9-4947-A072-D898005A9CCD}">
            <xm:f>IF(OR(IF(ISERROR(VLOOKUP($C9,Config!$C$1:$D$18,2,FALSE)),FALSE,IF(VLOOKUP($C9,Config!$C$1:$D$18,2,FALSE)="Não",TRUE,FALSE)),IF(ISERROR(VLOOKUP($D9,Tabelas!$A$3:$B$51,2,FALSE)),FALSE,IF(VLOOKUP($D9,Tabelas!$A$3:$B$51,2,FALSE)="Sim",TRUE,FALSE)),IF(ISERROR(VLOOKUP($I9,Tabelas!$A$3:$B$51,2,FALSE)),FALSE,IF(VLOOKUP($I9,Tabelas!$A$3:$B$51,2,FALSE)="Sim",TRUE,FALSE))),TRUE,FALSE)</xm:f>
            <x14:dxf>
              <fill>
                <patternFill>
                  <bgColor rgb="FFFFFFCC"/>
                </patternFill>
              </fill>
            </x14:dxf>
          </x14:cfRule>
          <xm:sqref>J9:K9</xm:sqref>
        </x14:conditionalFormatting>
        <x14:conditionalFormatting xmlns:xm="http://schemas.microsoft.com/office/excel/2006/main">
          <x14:cfRule type="expression" priority="1" id="{B6B49FD1-8FDF-46B6-A83A-F34410264308}">
            <xm:f>IF(IF(ISERROR(VLOOKUP($D9,Tabelas!$A$3:$C$51,3,FALSE)),FALSE,VLOOKUP($D9,Tabelas!$A$3:$C$51,3,FALSE)="Sim"),TRUE,FALSE)</xm:f>
            <x14:dxf>
              <fill>
                <patternFill>
                  <bgColor rgb="FFFFD1D2"/>
                </patternFill>
              </fill>
            </x14:dxf>
          </x14:cfRule>
          <xm:sqref>J9</xm:sqref>
        </x14:conditionalFormatting>
        <x14:conditionalFormatting xmlns:xm="http://schemas.microsoft.com/office/excel/2006/main">
          <x14:cfRule type="expression" priority="3" id="{0C7425DD-7C74-4A05-87DD-5713A43431A0}">
            <xm:f>IF(IF(ISERROR(VLOOKUP($I9,Tabelas!$A$3:$C$51,3,FALSE)),FALSE,VLOOKUP($I9,Tabelas!$A$3:$C$51,3,FALSE)="Sim"),TRUE,FALSE)</xm:f>
            <x14:dxf>
              <fill>
                <patternFill>
                  <bgColor rgb="FFFFD5D6"/>
                </patternFill>
              </fill>
            </x14:dxf>
          </x14:cfRule>
          <xm:sqref>K9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nMarco">
    <tabColor theme="4" tint="0.59999389629810485"/>
    <pageSetUpPr fitToPage="1"/>
  </sheetPr>
  <dimension ref="A1:AC47"/>
  <sheetViews>
    <sheetView showGridLines="0" workbookViewId="0">
      <pane xSplit="1" ySplit="8" topLeftCell="B9" activePane="bottomRight" state="frozen"/>
      <selection activeCell="H10" sqref="H10"/>
      <selection pane="topRight" activeCell="H10" sqref="H10"/>
      <selection pane="bottomLeft" activeCell="H10" sqref="H10"/>
      <selection pane="bottomRight" activeCell="E9" sqref="E9"/>
    </sheetView>
  </sheetViews>
  <sheetFormatPr defaultColWidth="0" defaultRowHeight="15" zeroHeight="1" x14ac:dyDescent="0.25"/>
  <cols>
    <col min="1" max="1" width="6.7109375" style="5" customWidth="1"/>
    <col min="2" max="2" width="10.7109375" style="5" customWidth="1"/>
    <col min="3" max="3" width="10" style="5" customWidth="1"/>
    <col min="4" max="9" width="12.7109375" style="5" customWidth="1"/>
    <col min="10" max="14" width="12.7109375" style="5" hidden="1" customWidth="1"/>
    <col min="15" max="15" width="12.7109375" style="5" customWidth="1"/>
    <col min="16" max="19" width="12.7109375" style="5" hidden="1" customWidth="1"/>
    <col min="20" max="20" width="38.42578125" style="5" customWidth="1"/>
    <col min="21" max="21" width="2.7109375" style="5" customWidth="1"/>
    <col min="22" max="22" width="9.140625" style="5" hidden="1" customWidth="1"/>
    <col min="23" max="23" width="12.42578125" style="5" hidden="1" customWidth="1"/>
    <col min="24" max="25" width="0" style="5" hidden="1" customWidth="1"/>
    <col min="26" max="26" width="9.140625" style="5" hidden="1" customWidth="1"/>
    <col min="27" max="27" width="12.42578125" style="5" hidden="1" customWidth="1"/>
    <col min="28" max="29" width="0" style="5" hidden="1" customWidth="1"/>
    <col min="30" max="16384" width="9.140625" style="5" hidden="1"/>
  </cols>
  <sheetData>
    <row r="1" spans="2:25" ht="15" customHeight="1" x14ac:dyDescent="0.25">
      <c r="G1" s="48" t="s">
        <v>58</v>
      </c>
      <c r="O1" s="83" t="str">
        <f>"*Limite de horas: " &amp; LIMITE &amp; "; e 
*Contabiliza a partir de " &amp; TEXT(CARENCIA, "hh:mm") &amp; " hora(s) (para mais ou para menos);
*Caso tenha Atestado em um dos períodos, o que ultrapassar de 4:00 horas de trabalho contabiliza hora positiva."</f>
        <v>*Limite de horas: 2h diárias; e 
*Contabiliza a partir de 00:00 hora(s) (para mais ou para menos);
*Caso tenha Atestado em um dos períodos, o que ultrapassar de 4:00 horas de trabalho contabiliza hora positiva.</v>
      </c>
      <c r="P1" s="83"/>
      <c r="Q1" s="83"/>
      <c r="R1" s="83"/>
      <c r="S1" s="83"/>
      <c r="T1" s="83"/>
    </row>
    <row r="2" spans="2:25" ht="15" customHeight="1" thickBot="1" x14ac:dyDescent="0.3">
      <c r="B2" s="6"/>
      <c r="G2" s="90"/>
      <c r="H2" s="91"/>
      <c r="I2" s="91"/>
      <c r="N2" s="24"/>
      <c r="O2" s="83"/>
      <c r="P2" s="83"/>
      <c r="Q2" s="83"/>
      <c r="R2" s="83"/>
      <c r="S2" s="83"/>
      <c r="T2" s="83"/>
    </row>
    <row r="3" spans="2:25" ht="15" customHeight="1" x14ac:dyDescent="0.25">
      <c r="B3" s="6"/>
      <c r="G3" s="48" t="s">
        <v>96</v>
      </c>
      <c r="H3" s="92" t="s">
        <v>97</v>
      </c>
      <c r="I3" s="93"/>
      <c r="N3" s="24"/>
      <c r="O3" s="83"/>
      <c r="P3" s="83"/>
      <c r="Q3" s="83"/>
      <c r="R3" s="83"/>
      <c r="S3" s="83"/>
      <c r="T3" s="83"/>
    </row>
    <row r="4" spans="2:25" ht="15" customHeight="1" thickBot="1" x14ac:dyDescent="0.3">
      <c r="B4" s="6"/>
      <c r="G4" s="52"/>
      <c r="H4" s="84"/>
      <c r="I4" s="85"/>
      <c r="N4" s="24"/>
      <c r="O4" s="83"/>
      <c r="P4" s="83"/>
      <c r="Q4" s="83"/>
      <c r="R4" s="83"/>
      <c r="S4" s="83"/>
      <c r="T4" s="83"/>
    </row>
    <row r="5" spans="2:25" ht="15" customHeight="1" x14ac:dyDescent="0.25">
      <c r="B5" s="86" t="s">
        <v>59</v>
      </c>
      <c r="C5" s="87"/>
      <c r="D5" s="48" t="s">
        <v>62</v>
      </c>
      <c r="E5" s="48" t="s">
        <v>88</v>
      </c>
      <c r="G5" s="7"/>
      <c r="N5" s="24"/>
      <c r="O5" s="94" t="s">
        <v>100</v>
      </c>
      <c r="P5" s="34" t="s">
        <v>76</v>
      </c>
      <c r="Q5" s="34" t="s">
        <v>76</v>
      </c>
      <c r="R5" s="34" t="s">
        <v>76</v>
      </c>
      <c r="S5" s="34" t="s">
        <v>76</v>
      </c>
      <c r="T5" s="24"/>
    </row>
    <row r="6" spans="2:25" ht="16.5" customHeight="1" thickBot="1" x14ac:dyDescent="0.3">
      <c r="B6" s="88" t="s">
        <v>65</v>
      </c>
      <c r="C6" s="89"/>
      <c r="D6" s="30" t="str">
        <f>IF(Janeiro!D6&lt;&gt;"",Janeiro!D6,"")</f>
        <v/>
      </c>
      <c r="E6" s="30" t="str">
        <f>IF(Janeiro!E6&lt;&gt;"",Janeiro!E6,"")</f>
        <v/>
      </c>
      <c r="F6" s="32" t="str">
        <f>IF(ISERROR(DATEVALUE(IF(E6&lt;&gt;"",E6,1)&amp;"-"&amp;B6&amp;"-"&amp;D6)),"",DATEVALUE(IF(E6&lt;&gt;"",E6,1)&amp;"-"&amp;B6&amp;"-"&amp;D6))</f>
        <v/>
      </c>
      <c r="N6" s="24"/>
      <c r="O6" s="95"/>
      <c r="P6" s="81" t="s">
        <v>95</v>
      </c>
      <c r="Q6" s="82"/>
      <c r="R6" s="82"/>
      <c r="S6" s="82"/>
      <c r="T6" s="24"/>
    </row>
    <row r="7" spans="2:25" x14ac:dyDescent="0.25">
      <c r="E7" s="8"/>
      <c r="F7" s="8"/>
      <c r="G7" s="8"/>
      <c r="H7" s="8"/>
      <c r="I7" s="8"/>
      <c r="J7" s="34" t="s">
        <v>76</v>
      </c>
      <c r="K7" s="34" t="s">
        <v>76</v>
      </c>
      <c r="L7" s="34" t="s">
        <v>76</v>
      </c>
      <c r="M7" s="34" t="s">
        <v>76</v>
      </c>
      <c r="N7" s="34" t="s">
        <v>76</v>
      </c>
      <c r="O7" s="45">
        <f>Fevereiro!O39</f>
        <v>0</v>
      </c>
      <c r="P7" s="45">
        <f>SUM(tblHorasMar[Atrasos
(horas)])</f>
        <v>0</v>
      </c>
      <c r="Q7" s="46">
        <f>SUM(tblHorasMar[Faltas
(dias)])</f>
        <v>0</v>
      </c>
      <c r="R7" s="45">
        <f>SUM(tblHorasMar[Hora Extra Normal])</f>
        <v>0</v>
      </c>
      <c r="S7" s="45">
        <f>SUM(tblHorasMar[Hora Extra 
Especial])</f>
        <v>0</v>
      </c>
      <c r="T7" s="24"/>
    </row>
    <row r="8" spans="2:25" s="9" customFormat="1" ht="45" customHeight="1" x14ac:dyDescent="0.25">
      <c r="B8" s="9" t="s">
        <v>0</v>
      </c>
      <c r="C8" s="9" t="s">
        <v>1</v>
      </c>
      <c r="D8" s="10" t="s">
        <v>51</v>
      </c>
      <c r="E8" s="9" t="s">
        <v>3</v>
      </c>
      <c r="F8" s="9" t="s">
        <v>4</v>
      </c>
      <c r="G8" s="9" t="s">
        <v>5</v>
      </c>
      <c r="H8" s="9" t="s">
        <v>6</v>
      </c>
      <c r="I8" s="10" t="s">
        <v>52</v>
      </c>
      <c r="J8" s="9" t="s">
        <v>35</v>
      </c>
      <c r="K8" s="9" t="s">
        <v>36</v>
      </c>
      <c r="L8" s="9" t="s">
        <v>55</v>
      </c>
      <c r="M8" s="9" t="s">
        <v>48</v>
      </c>
      <c r="N8" s="9" t="s">
        <v>50</v>
      </c>
      <c r="O8" s="9" t="s">
        <v>49</v>
      </c>
      <c r="P8" s="9" t="s">
        <v>91</v>
      </c>
      <c r="Q8" s="9" t="s">
        <v>92</v>
      </c>
      <c r="R8" s="9" t="s">
        <v>93</v>
      </c>
      <c r="S8" s="9" t="s">
        <v>94</v>
      </c>
      <c r="T8" s="9" t="s">
        <v>46</v>
      </c>
      <c r="W8" s="26"/>
    </row>
    <row r="9" spans="2:25" x14ac:dyDescent="0.25">
      <c r="B9" s="11" t="str">
        <f>IF(ISERROR(F6),"",F6)</f>
        <v/>
      </c>
      <c r="C9" s="12" t="str">
        <f>TEXT(tblHorasMar[Data],"ddd")</f>
        <v/>
      </c>
      <c r="D9" s="25"/>
      <c r="E9" s="1"/>
      <c r="F9" s="1"/>
      <c r="G9" s="1"/>
      <c r="H9" s="1"/>
      <c r="I9" s="53"/>
      <c r="J9" s="4">
        <f>IF($B$6&lt;&gt;"",
IF(AND(tblHorasMar[Evento 
(1º Período)]&lt;&gt;"",IF(ISERROR(VLOOKUP(tblHorasMar[Evento 
(1º Período)],tblEvento[],Tabelas!$D$1,FALSE)),FALSE,VLOOKUP(tblHorasMar[Evento 
(1º Período)],tblEvento[],Tabelas!$D$1,FALSE)="Sim")),
        IF(JORNADA_PERIODO_1&lt;&gt;"",
IF(VLOOKUP(tblHorasMar[Dia],tblDiaUtil[[Abreviatura]:[1º Período]],3,FALSE)&gt;0,VLOOKUP(tblHorasMar[Dia],tblDiaUtil[[Abreviatura]:[1º Período]],3,FALSE),JORNADA_PERIODO_1),
IF(VLOOKUP(tblHorasMar[Dia],tblDiaUtil[[Abreviatura]:[1º Período]],3,FALSE)&gt;0,VLOOKUP(tblHorasMar[Dia],tblDiaUtil[[Abreviatura]:[1º Período]],3,FALSE),JORNADA/2)),
        IF(AND(ISNUMBER(tblHorasMar[Saída - 1 (Almoço)]),ISNUMBER(tblHorasMar[Entrada - 1])),
              IF(OR(AND(tblHorasMar[Evento 
(1º Período)]&lt;&gt;"",IF(ISERROR(VLOOKUP(tblHorasMar[Evento 
(1º Período)],tblEvento[],Tabelas!$E$1,FALSE)),FALSE,VLOOKUP(tblHorasMar[Evento 
(1º Período)],tblEvento[],Tabelas!$E$1,FALSE)="Sim")),IF(VLOOKUP(TEXT(tblHorasMar[Data],"dddd"),tblDiaUtil[],2,FALSE)="Não",TRUE,FALSE)),
                   tblHorasMar[Saída - 1 (Almoço)]-tblHorasMar[Entrada - 1],
                   IF(OR(HOUR(tblHorasMar[Saída - 1 (Almoço)]-tblHorasMar[Entrada - 1])&gt;0,ROUND(tblHorasMar[Saída - 1 (Almoço)]-tblHorasMar[Entrada - 1],6)&gt;ROUND(CARENCIA,6)),
                          tblHorasMar[Saída - 1 (Almoço)]-tblHorasMar[Entrada - 1],
                          0)),
                    0)),0)</f>
        <v>0</v>
      </c>
      <c r="K9" s="4">
        <f>IF($B$6&lt;&gt;"",
IF(AND(tblHorasMar[Evento 
(2º Período)]&lt;&gt;"",IF(ISERROR(VLOOKUP(tblHorasMar[Evento 
(2º Período)],tblEvento[],Tabelas!$D$1,FALSE)),FALSE,VLOOKUP(tblHorasMar[Evento 
(2º Período)],tblEvento[],Tabelas!$D$1,FALSE)="Sim")),
        IF(JORNADA_PERIODO_2&lt;&gt;"",
IF(VLOOKUP(tblHorasMar[Dia],tblDiaUtil[[Abreviatura]:[2º Período]],4,FALSE)&gt;0,VLOOKUP(tblHorasMar[Dia],tblDiaUtil[[Abreviatura]:[2º Período]],4,FALSE),JORNADA_PERIODO_2),
IF(VLOOKUP(tblHorasMar[Dia],tblDiaUtil[[Abreviatura]:[2º Período]],4,FALSE)&gt;0,VLOOKUP(tblHorasMar[Dia],tblDiaUtil[[Abreviatura]:[2º Período]],4,FALSE),JORNADA/2)),
        IF(AND(ISNUMBER(tblHorasMar[Saída - 2]),ISNUMBER(tblHorasMar[Entrada - 2 (Almoço)])),
              IF(OR(AND(tblHorasMar[Evento 
(2º Período)]&lt;&gt;"",IF(ISERROR(VLOOKUP(tblHorasMar[Evento 
(2º Período)],tblEvento[],Tabelas!$E$1,FALSE)),FALSE,VLOOKUP(tblHorasMar[Evento 
(2º Período)],tblEvento[],Tabelas!$E$1,FALSE)="Sim")),IF(VLOOKUP(TEXT(tblHorasMar[Data],"dddd"),tblDiaUtil[],2,FALSE)="Não",TRUE,FALSE)),
                   tblHorasMar[Saída - 2]-tblHorasMar[Entrada - 2 (Almoço)],
                   IF(OR(HOUR(tblHorasMar[Saída - 2]-tblHorasMar[Entrada - 2 (Almoço)])&gt;0,MINUTE(tblHorasMar[Saída - 2]-tblHorasMar[Entrada - 2 (Almoço)])&gt;CARENCIA),
                         tblHorasMar[Saída - 2]-tblHorasMar[Entrada - 2 (Almoço)],
                         0)),
       0)),0)</f>
        <v>0</v>
      </c>
      <c r="L9" s="4">
        <f>tblHorasMar[Horas Trabalhadas (1º Período)]+tblHorasMar[Horas Trabalhadas (2º Período)]</f>
        <v>0</v>
      </c>
      <c r="M9" s="4" t="str">
        <f>IF(tblHorasMar[Data]&lt;&gt;"",
        IF(
AND(VLOOKUP(TEXT(tblHorasMar[Data],"dddd"),tblDiaUtil[],3,FALSE)="Sim",IF(tblHorasMar[Evento 
(1º Período)]&lt;&gt;"",IF(VLOOKUP(tblHorasMar[Evento 
(1º Período)],tblEvento[],Tabelas!$E$1,FALSE)="Sim",FALSE,TRUE),TRUE),IF(tblHorasMar[Evento 
(2º Período)]&lt;&gt;"",IF(VLOOKUP(tblHorasMar[Evento 
(2º Período)],tblEvento[],Tabelas!$E$1,FALSE)="Sim",FALSE,TRUE),TRUE)),
              IF(VLOOKUP(tblHorasMar[Dia],tblDiaUtil[[Abreviatura]:[1º Período]],3,FALSE)&gt;0,VLOOKUP(tblHorasMar[Dia],tblDiaUtil[[Abreviatura]:[1º Período]],3,FALSE),JORNADA),
              ""),
         "")</f>
        <v/>
      </c>
      <c r="N9" s="14">
        <f>IF(OR(tblHorasMar[Horas Trabalhadas (1º Período)]&lt;&gt;0,tblHorasMar[Horas Trabalhadas (2º Período)]&lt;&gt;0),
        IF(ISNUMBER(tblHorasMar[Jornada Diária]),
              IF(tblHorasMar[Jornada Diária]&gt;(tblHorasMar[Horas Trabalhadas (2º Período)]+tblHorasMar[Horas Trabalhadas (1º Período)]),
                     IF(ROUND((tblHorasMar[Jornada Diária]-(tblHorasMar[Horas Trabalhadas (2º Período)]+tblHorasMar[Horas Trabalhadas (1º Período)])),6)&gt;ROUND(CARENCIA,6),
                           -tblHorasMar[Jornada Diária]+(tblHorasMar[Horas Trabalhadas (2º Período)]+tblHorasMar[Horas Trabalhadas (1º Período)]),
                           0),
                      IF(ROUND((tblHorasMar[Jornada Diária]-(tblHorasMar[Horas Trabalhadas (2º Período)]+tblHorasMar[Horas Trabalhadas (1º Período)])),6)&lt;ROUND(-CARENCIA,6),
                           -tblHorasMar[Jornada Diária]+(tblHorasMar[Horas Trabalhadas (2º Período)]+tblHorasMar[Horas Trabalhadas (1º Período)]),
                           0)),
              tblHorasMar[Horas Trabalhadas (2º Período)]+tblHorasMar[Horas Trabalhadas (1º Período)]),
         IF(AND(IF(ISERROR(VLOOKUP(tblHorasMar[Evento 
(1º Período)],tblEvento[[Evento]:[Libera o Período]],4,FALSE)),FALSE,IF(VLOOKUP(tblHorasMar[Evento 
(1º Período)],tblEvento[[Evento]:[Libera o Período]],4,FALSE)="Não",TRUE,FALSE)),IF(ISERROR(VLOOKUP(tblHorasMar[Evento 
(2º Período)],tblEvento[[Evento]:[Libera o Período]],4,FALSE)),FALSE,IF(VLOOKUP(tblHorasMar[Evento 
(2º Período)],tblEvento[[Evento]:[Libera o Período]],4,FALSE)="Não",TRUE,FALSE))),
-IF(VLOOKUP(tblHorasMar[Dia],tblDiaUtil[[Abreviatura]:[Total Jornada]],5,FALSE)&lt;&gt;"",VLOOKUP(tblHorasMar[Dia],tblDiaUtil[[Abreviatura]:[Total Jornada]],5,FALSE),JORNADA),
IF(IF(ISERROR(VLOOKUP(tblHorasMar[Evento 
(1º Período)],tblEvento[[Evento]:[Libera o Período]],4,FALSE)),FALSE,
IF(VLOOKUP(tblHorasMar[Evento 
(1º Período)],tblEvento[[Evento]:[Libera o Período]],4,FALSE)="Não",TRUE,FALSE)
),
-IF(VLOOKUP(tblHorasMar[Dia],tblDiaUtil[[Abreviatura]:[1º Período]],3,FALSE)&lt;&gt;"",VLOOKUP(tblHorasMar[Dia],tblDiaUtil[[Abreviatura]:[1º Período]],3,FALSE),JORNADA_PERIODO_1),
IF(IF(ISERROR(VLOOKUP(tblHorasMar[Evento 
(2º Período)],tblEvento[[Evento]:[Libera o Período]],4,FALSE)),FALSE,IF(VLOOKUP(tblHorasMar[Evento 
(2º Período)],tblEvento[[Evento]:[Libera o Período]],4,FALSE)="Não",TRUE,FALSE)),
-IF(VLOOKUP(tblHorasMar[Dia],tblDiaUtil[[Abreviatura]:[2º Período]],4,FALSE)&lt;&gt;"",VLOOKUP(tblHorasMar[Dia],tblDiaUtil[[Abreviatura]:[2º Período]],4,FALSE),JORNADA_PERIODO_2),0))))</f>
        <v>0</v>
      </c>
      <c r="O9" s="14">
        <f>IF(tblHorasMar[Horas Trabalhadas Além Jornada]&gt;0,
        IF(ISNUMBER(tblHorasMar[Jornada Diária]),
              IF(HOUR(tblHorasMar[Horas Trabalhadas Além Jornada])&gt;=VLOOKUP(LIMITE,tblLimiteHora[],Tabelas!$I$1,FALSE),
                    VLOOKUP(LIMITE,tblLimiteHora[],Tabelas!$J$1,FALSE),
                    tblHorasMar[Horas Trabalhadas Além Jornada]),
              tblHorasMar[Horas Trabalhadas Além Jornada]),
        tblHorasMar[Horas Trabalhadas Além Jornada])+O7</f>
        <v>0</v>
      </c>
      <c r="P9" s="14" t="str">
        <f>IF(tblHorasMar[Horas Trabalhadas Além Jornada]&lt;0,IF(OR(tblHorasMar[Evento 
(1º Período)]="",tblHorasMar[Evento 
(2º Período)]=""),tblHorasMar[Horas Trabalhadas Além Jornada],""),"")</f>
        <v/>
      </c>
      <c r="Q9" s="14" t="str">
        <f>IF(tblHorasMar[Jornada Diária]&lt;&gt;"",IF((N(tblHorasMar[Jornada Diária])-ABS(N(tblHorasMar[Horas Trabalhadas Além Jornada])))=0,1,""),"")</f>
        <v/>
      </c>
      <c r="R9" s="14" t="str">
        <f>IF(tblHorasMar[Horas Trabalhadas Além Jornada]&gt;0,
IF(AND(VLOOKUP(TEXT(tblHorasMar[Data],"dddd"),tblDiaUtil[],3,FALSE)="Sim",IF(tblHorasMar[Evento 
(1º Período)]&lt;&gt;"",IF(VLOOKUP(tblHorasMar[Evento 
(1º Período)],tblEvento[],Tabelas!$E$1,FALSE)="Sim",FALSE,TRUE),TRUE),IF(tblHorasMar[Evento 
(2º Período)]&lt;&gt;"",IF(VLOOKUP(tblHorasMar[Evento 
(2º Período)],tblEvento[],Tabelas!$E$1,FALSE)="Sim",FALSE,TRUE),TRUE)),
tblHorasMar[Horas Trabalhadas Além Jornada],""),"")</f>
        <v/>
      </c>
      <c r="S9" s="14" t="str">
        <f>IF(tblHorasMar[Horas Trabalhadas Além Jornada]&gt;0,
IF(OR(VLOOKUP(TEXT(tblHorasMar[Data],"dddd"),tblDiaUtil[],3,FALSE)="Não",IF(tblHorasMar[Evento 
(1º Período)]&lt;&gt;"",IF(VLOOKUP(tblHorasMar[Evento 
(1º Período)],tblEvento[],Tabelas!$E$1,FALSE)="Sim",TRUE,FALSE),FALSE),IF(tblHorasMar[Evento 
(2º Período)]&lt;&gt;"",IF(VLOOKUP(tblHorasMar[Evento 
(2º Período)],tblEvento[],Tabelas!$E$1,FALSE)="Sim",TRUE,FALSE),FALSE)),
tblHorasMar[Horas Trabalhadas Além Jornada],""),"")</f>
        <v/>
      </c>
      <c r="T9" s="15" t="str">
        <f>IF(tblHorasMar[Evento 
(1º Período)]&lt;&gt;""," - " &amp;VLOOKUP(tblHorasMar[Evento 
(1º Período)],tblEvento[],Tabelas!$F$1,FALSE),"")&amp;IF(AND(tblHorasMar[Evento 
(2º Período)]&lt;&gt;"",tblHorasMar[Evento 
(2º Período)]&lt;&gt;tblHorasMar[Evento 
(1º Período)])," - " &amp; VLOOKUP(tblHorasMar[Evento 
(2º Período)],tblEvento[],Tabelas!$F$1,FALSE),"")</f>
        <v/>
      </c>
      <c r="V9" s="16"/>
      <c r="Y9" s="17"/>
    </row>
    <row r="10" spans="2:25" x14ac:dyDescent="0.25">
      <c r="B10" s="11" t="str">
        <f>IF(B9&lt;&gt;"",IF(DAY(B9+1)=IF($E$6&lt;&gt;"",$E$6,1),"",B9+1),"")</f>
        <v/>
      </c>
      <c r="C10" s="12" t="str">
        <f>TEXT(tblHorasMar[Data],"ddd")</f>
        <v/>
      </c>
      <c r="D10" s="25"/>
      <c r="E10" s="1"/>
      <c r="F10" s="1"/>
      <c r="G10" s="1"/>
      <c r="H10" s="1"/>
      <c r="I10" s="53"/>
      <c r="J10" s="4">
        <f>IF($B$6&lt;&gt;"",
IF(AND(tblHorasMar[Evento 
(1º Período)]&lt;&gt;"",IF(ISERROR(VLOOKUP(tblHorasMar[Evento 
(1º Período)],tblEvento[],Tabelas!$D$1,FALSE)),FALSE,VLOOKUP(tblHorasMar[Evento 
(1º Período)],tblEvento[],Tabelas!$D$1,FALSE)="Sim")),
        IF(JORNADA_PERIODO_1&lt;&gt;"",
IF(VLOOKUP(tblHorasMar[Dia],tblDiaUtil[[Abreviatura]:[1º Período]],3,FALSE)&gt;0,VLOOKUP(tblHorasMar[Dia],tblDiaUtil[[Abreviatura]:[1º Período]],3,FALSE),JORNADA_PERIODO_1),
IF(VLOOKUP(tblHorasMar[Dia],tblDiaUtil[[Abreviatura]:[1º Período]],3,FALSE)&gt;0,VLOOKUP(tblHorasMar[Dia],tblDiaUtil[[Abreviatura]:[1º Período]],3,FALSE),JORNADA/2)),
        IF(AND(ISNUMBER(tblHorasMar[Saída - 1 (Almoço)]),ISNUMBER(tblHorasMar[Entrada - 1])),
              IF(OR(AND(tblHorasMar[Evento 
(1º Período)]&lt;&gt;"",IF(ISERROR(VLOOKUP(tblHorasMar[Evento 
(1º Período)],tblEvento[],Tabelas!$E$1,FALSE)),FALSE,VLOOKUP(tblHorasMar[Evento 
(1º Período)],tblEvento[],Tabelas!$E$1,FALSE)="Sim")),IF(VLOOKUP(TEXT(tblHorasMar[Data],"dddd"),tblDiaUtil[],2,FALSE)="Não",TRUE,FALSE)),
                   tblHorasMar[Saída - 1 (Almoço)]-tblHorasMar[Entrada - 1],
                   IF(OR(HOUR(tblHorasMar[Saída - 1 (Almoço)]-tblHorasMar[Entrada - 1])&gt;0,ROUND(tblHorasMar[Saída - 1 (Almoço)]-tblHorasMar[Entrada - 1],6)&gt;ROUND(CARENCIA,6)),
                          tblHorasMar[Saída - 1 (Almoço)]-tblHorasMar[Entrada - 1],
                          0)),
                    0)),0)</f>
        <v>0</v>
      </c>
      <c r="K10" s="4">
        <f>IF($B$6&lt;&gt;"",
IF(AND(tblHorasMar[Evento 
(2º Período)]&lt;&gt;"",IF(ISERROR(VLOOKUP(tblHorasMar[Evento 
(2º Período)],tblEvento[],Tabelas!$D$1,FALSE)),FALSE,VLOOKUP(tblHorasMar[Evento 
(2º Período)],tblEvento[],Tabelas!$D$1,FALSE)="Sim")),
        IF(JORNADA_PERIODO_2&lt;&gt;"",
IF(VLOOKUP(tblHorasMar[Dia],tblDiaUtil[[Abreviatura]:[2º Período]],4,FALSE)&gt;0,VLOOKUP(tblHorasMar[Dia],tblDiaUtil[[Abreviatura]:[2º Período]],4,FALSE),JORNADA_PERIODO_2),
IF(VLOOKUP(tblHorasMar[Dia],tblDiaUtil[[Abreviatura]:[2º Período]],4,FALSE)&gt;0,VLOOKUP(tblHorasMar[Dia],tblDiaUtil[[Abreviatura]:[2º Período]],4,FALSE),JORNADA/2)),
        IF(AND(ISNUMBER(tblHorasMar[Saída - 2]),ISNUMBER(tblHorasMar[Entrada - 2 (Almoço)])),
              IF(OR(AND(tblHorasMar[Evento 
(2º Período)]&lt;&gt;"",IF(ISERROR(VLOOKUP(tblHorasMar[Evento 
(2º Período)],tblEvento[],Tabelas!$E$1,FALSE)),FALSE,VLOOKUP(tblHorasMar[Evento 
(2º Período)],tblEvento[],Tabelas!$E$1,FALSE)="Sim")),IF(VLOOKUP(TEXT(tblHorasMar[Data],"dddd"),tblDiaUtil[],2,FALSE)="Não",TRUE,FALSE)),
                   tblHorasMar[Saída - 2]-tblHorasMar[Entrada - 2 (Almoço)],
                   IF(OR(HOUR(tblHorasMar[Saída - 2]-tblHorasMar[Entrada - 2 (Almoço)])&gt;0,MINUTE(tblHorasMar[Saída - 2]-tblHorasMar[Entrada - 2 (Almoço)])&gt;CARENCIA),
                         tblHorasMar[Saída - 2]-tblHorasMar[Entrada - 2 (Almoço)],
                         0)),
       0)),0)</f>
        <v>0</v>
      </c>
      <c r="L10" s="4">
        <f>tblHorasMar[Horas Trabalhadas (1º Período)]+tblHorasMar[Horas Trabalhadas (2º Período)]</f>
        <v>0</v>
      </c>
      <c r="M10" s="4" t="str">
        <f>IF(tblHorasMar[Data]&lt;&gt;"",
        IF(
AND(VLOOKUP(TEXT(tblHorasMar[Data],"dddd"),tblDiaUtil[],3,FALSE)="Sim",IF(tblHorasMar[Evento 
(1º Período)]&lt;&gt;"",IF(VLOOKUP(tblHorasMar[Evento 
(1º Período)],tblEvento[],Tabelas!$E$1,FALSE)="Sim",FALSE,TRUE),TRUE),IF(tblHorasMar[Evento 
(2º Período)]&lt;&gt;"",IF(VLOOKUP(tblHorasMar[Evento 
(2º Período)],tblEvento[],Tabelas!$E$1,FALSE)="Sim",FALSE,TRUE),TRUE)),
              IF(VLOOKUP(tblHorasMar[Dia],tblDiaUtil[[Abreviatura]:[1º Período]],3,FALSE)&gt;0,VLOOKUP(tblHorasMar[Dia],tblDiaUtil[[Abreviatura]:[1º Período]],3,FALSE),JORNADA),
              ""),
         "")</f>
        <v/>
      </c>
      <c r="N10" s="14">
        <f>IF(OR(tblHorasMar[Horas Trabalhadas (1º Período)]&lt;&gt;0,tblHorasMar[Horas Trabalhadas (2º Período)]&lt;&gt;0),
        IF(ISNUMBER(tblHorasMar[Jornada Diária]),
              IF(tblHorasMar[Jornada Diária]&gt;(tblHorasMar[Horas Trabalhadas (2º Período)]+tblHorasMar[Horas Trabalhadas (1º Período)]),
                     IF(ROUND((tblHorasMar[Jornada Diária]-(tblHorasMar[Horas Trabalhadas (2º Período)]+tblHorasMar[Horas Trabalhadas (1º Período)])),6)&gt;ROUND(CARENCIA,6),
                           -tblHorasMar[Jornada Diária]+(tblHorasMar[Horas Trabalhadas (2º Período)]+tblHorasMar[Horas Trabalhadas (1º Período)]),
                           0),
                      IF(ROUND((tblHorasMar[Jornada Diária]-(tblHorasMar[Horas Trabalhadas (2º Período)]+tblHorasMar[Horas Trabalhadas (1º Período)])),6)&lt;ROUND(-CARENCIA,6),
                           -tblHorasMar[Jornada Diária]+(tblHorasMar[Horas Trabalhadas (2º Período)]+tblHorasMar[Horas Trabalhadas (1º Período)]),
                           0)),
              tblHorasMar[Horas Trabalhadas (2º Período)]+tblHorasMar[Horas Trabalhadas (1º Período)]),
         IF(AND(IF(ISERROR(VLOOKUP(tblHorasMar[Evento 
(1º Período)],tblEvento[[Evento]:[Libera o Período]],4,FALSE)),FALSE,IF(VLOOKUP(tblHorasMar[Evento 
(1º Período)],tblEvento[[Evento]:[Libera o Período]],4,FALSE)="Não",TRUE,FALSE)),IF(ISERROR(VLOOKUP(tblHorasMar[Evento 
(2º Período)],tblEvento[[Evento]:[Libera o Período]],4,FALSE)),FALSE,IF(VLOOKUP(tblHorasMar[Evento 
(2º Período)],tblEvento[[Evento]:[Libera o Período]],4,FALSE)="Não",TRUE,FALSE))),
-IF(VLOOKUP(tblHorasMar[Dia],tblDiaUtil[[Abreviatura]:[Total Jornada]],5,FALSE)&lt;&gt;"",VLOOKUP(tblHorasMar[Dia],tblDiaUtil[[Abreviatura]:[Total Jornada]],5,FALSE),JORNADA),
IF(IF(ISERROR(VLOOKUP(tblHorasMar[Evento 
(1º Período)],tblEvento[[Evento]:[Libera o Período]],4,FALSE)),FALSE,
IF(VLOOKUP(tblHorasMar[Evento 
(1º Período)],tblEvento[[Evento]:[Libera o Período]],4,FALSE)="Não",TRUE,FALSE)
),
-IF(VLOOKUP(tblHorasMar[Dia],tblDiaUtil[[Abreviatura]:[1º Período]],3,FALSE)&lt;&gt;"",VLOOKUP(tblHorasMar[Dia],tblDiaUtil[[Abreviatura]:[1º Período]],3,FALSE),JORNADA_PERIODO_1),
IF(IF(ISERROR(VLOOKUP(tblHorasMar[Evento 
(2º Período)],tblEvento[[Evento]:[Libera o Período]],4,FALSE)),FALSE,IF(VLOOKUP(tblHorasMar[Evento 
(2º Período)],tblEvento[[Evento]:[Libera o Período]],4,FALSE)="Não",TRUE,FALSE)),
-IF(VLOOKUP(tblHorasMar[Dia],tblDiaUtil[[Abreviatura]:[2º Período]],4,FALSE)&lt;&gt;"",VLOOKUP(tblHorasMar[Dia],tblDiaUtil[[Abreviatura]:[2º Período]],4,FALSE),JORNADA_PERIODO_2),0))))</f>
        <v>0</v>
      </c>
      <c r="O10" s="14">
        <f>IF(tblHorasMar[Horas Trabalhadas Além Jornada]&gt;0,
        IF(ISNUMBER(tblHorasMar[Jornada Diária]),
              IF(HOUR(tblHorasMar[Horas Trabalhadas Além Jornada])&gt;=VLOOKUP(LIMITE,tblLimiteHora[],Tabelas!$I$1,FALSE),
                    VLOOKUP(LIMITE,tblLimiteHora[],Tabelas!$J$1,FALSE),
                    tblHorasMar[Horas Trabalhadas Além Jornada]),
              tblHorasMar[Horas Trabalhadas Além Jornada]),
        tblHorasMar[Horas Trabalhadas Além Jornada])+O9</f>
        <v>0</v>
      </c>
      <c r="P10" s="14" t="str">
        <f>IF(tblHorasMar[Horas Trabalhadas Além Jornada]&lt;0,IF(OR(tblHorasMar[Evento 
(1º Período)]="",tblHorasMar[Evento 
(2º Período)]=""),tblHorasMar[Horas Trabalhadas Além Jornada],""),"")</f>
        <v/>
      </c>
      <c r="Q10" s="14" t="str">
        <f>IF(tblHorasMar[Jornada Diária]&lt;&gt;"",IF((N(tblHorasMar[Jornada Diária])-ABS(N(tblHorasMar[Horas Trabalhadas Além Jornada])))=0,1,""),"")</f>
        <v/>
      </c>
      <c r="R10" s="14" t="str">
        <f>IF(tblHorasMar[Horas Trabalhadas Além Jornada]&gt;0,
IF(AND(VLOOKUP(TEXT(tblHorasMar[Data],"dddd"),tblDiaUtil[],3,FALSE)="Sim",IF(tblHorasMar[Evento 
(1º Período)]&lt;&gt;"",IF(VLOOKUP(tblHorasMar[Evento 
(1º Período)],tblEvento[],Tabelas!$E$1,FALSE)="Sim",FALSE,TRUE),TRUE),IF(tblHorasMar[Evento 
(2º Período)]&lt;&gt;"",IF(VLOOKUP(tblHorasMar[Evento 
(2º Período)],tblEvento[],Tabelas!$E$1,FALSE)="Sim",FALSE,TRUE),TRUE)),
tblHorasMar[Horas Trabalhadas Além Jornada],""),"")</f>
        <v/>
      </c>
      <c r="S10" s="14" t="str">
        <f>IF(tblHorasMar[Horas Trabalhadas Além Jornada]&gt;0,
IF(OR(VLOOKUP(TEXT(tblHorasMar[Data],"dddd"),tblDiaUtil[],3,FALSE)="Não",IF(tblHorasMar[Evento 
(1º Período)]&lt;&gt;"",IF(VLOOKUP(tblHorasMar[Evento 
(1º Período)],tblEvento[],Tabelas!$E$1,FALSE)="Sim",TRUE,FALSE),FALSE),IF(tblHorasMar[Evento 
(2º Período)]&lt;&gt;"",IF(VLOOKUP(tblHorasMar[Evento 
(2º Período)],tblEvento[],Tabelas!$E$1,FALSE)="Sim",TRUE,FALSE),FALSE)),
tblHorasMar[Horas Trabalhadas Além Jornada],""),"")</f>
        <v/>
      </c>
      <c r="T10" s="15" t="str">
        <f>IF(tblHorasMar[Evento 
(1º Período)]&lt;&gt;""," - " &amp;VLOOKUP(tblHorasMar[Evento 
(1º Período)],tblEvento[],Tabelas!$F$1,FALSE),"")&amp;IF(AND(tblHorasMar[Evento 
(2º Período)]&lt;&gt;"",tblHorasMar[Evento 
(2º Período)]&lt;&gt;tblHorasMar[Evento 
(1º Período)])," - " &amp; VLOOKUP(tblHorasMar[Evento 
(2º Período)],tblEvento[],Tabelas!$F$1,FALSE),"")</f>
        <v/>
      </c>
      <c r="Y10" s="17"/>
    </row>
    <row r="11" spans="2:25" x14ac:dyDescent="0.25">
      <c r="B11" s="11" t="str">
        <f t="shared" ref="B11:B39" si="0">IF(B10&lt;&gt;"",IF(DAY(B10+1)=IF($E$6&lt;&gt;"",$E$6,1),"",B10+1),"")</f>
        <v/>
      </c>
      <c r="C11" s="12" t="str">
        <f>TEXT(tblHorasMar[Data],"ddd")</f>
        <v/>
      </c>
      <c r="D11" s="25"/>
      <c r="E11" s="1"/>
      <c r="F11" s="1"/>
      <c r="G11" s="1"/>
      <c r="H11" s="1"/>
      <c r="I11" s="53"/>
      <c r="J11" s="4">
        <f>IF($B$6&lt;&gt;"",
IF(AND(tblHorasMar[Evento 
(1º Período)]&lt;&gt;"",IF(ISERROR(VLOOKUP(tblHorasMar[Evento 
(1º Período)],tblEvento[],Tabelas!$D$1,FALSE)),FALSE,VLOOKUP(tblHorasMar[Evento 
(1º Período)],tblEvento[],Tabelas!$D$1,FALSE)="Sim")),
        IF(JORNADA_PERIODO_1&lt;&gt;"",
IF(VLOOKUP(tblHorasMar[Dia],tblDiaUtil[[Abreviatura]:[1º Período]],3,FALSE)&gt;0,VLOOKUP(tblHorasMar[Dia],tblDiaUtil[[Abreviatura]:[1º Período]],3,FALSE),JORNADA_PERIODO_1),
IF(VLOOKUP(tblHorasMar[Dia],tblDiaUtil[[Abreviatura]:[1º Período]],3,FALSE)&gt;0,VLOOKUP(tblHorasMar[Dia],tblDiaUtil[[Abreviatura]:[1º Período]],3,FALSE),JORNADA/2)),
        IF(AND(ISNUMBER(tblHorasMar[Saída - 1 (Almoço)]),ISNUMBER(tblHorasMar[Entrada - 1])),
              IF(OR(AND(tblHorasMar[Evento 
(1º Período)]&lt;&gt;"",IF(ISERROR(VLOOKUP(tblHorasMar[Evento 
(1º Período)],tblEvento[],Tabelas!$E$1,FALSE)),FALSE,VLOOKUP(tblHorasMar[Evento 
(1º Período)],tblEvento[],Tabelas!$E$1,FALSE)="Sim")),IF(VLOOKUP(TEXT(tblHorasMar[Data],"dddd"),tblDiaUtil[],2,FALSE)="Não",TRUE,FALSE)),
                   tblHorasMar[Saída - 1 (Almoço)]-tblHorasMar[Entrada - 1],
                   IF(OR(HOUR(tblHorasMar[Saída - 1 (Almoço)]-tblHorasMar[Entrada - 1])&gt;0,ROUND(tblHorasMar[Saída - 1 (Almoço)]-tblHorasMar[Entrada - 1],6)&gt;ROUND(CARENCIA,6)),
                          tblHorasMar[Saída - 1 (Almoço)]-tblHorasMar[Entrada - 1],
                          0)),
                    0)),0)</f>
        <v>0</v>
      </c>
      <c r="K11" s="4">
        <f>IF($B$6&lt;&gt;"",
IF(AND(tblHorasMar[Evento 
(2º Período)]&lt;&gt;"",IF(ISERROR(VLOOKUP(tblHorasMar[Evento 
(2º Período)],tblEvento[],Tabelas!$D$1,FALSE)),FALSE,VLOOKUP(tblHorasMar[Evento 
(2º Período)],tblEvento[],Tabelas!$D$1,FALSE)="Sim")),
        IF(JORNADA_PERIODO_2&lt;&gt;"",
IF(VLOOKUP(tblHorasMar[Dia],tblDiaUtil[[Abreviatura]:[2º Período]],4,FALSE)&gt;0,VLOOKUP(tblHorasMar[Dia],tblDiaUtil[[Abreviatura]:[2º Período]],4,FALSE),JORNADA_PERIODO_2),
IF(VLOOKUP(tblHorasMar[Dia],tblDiaUtil[[Abreviatura]:[2º Período]],4,FALSE)&gt;0,VLOOKUP(tblHorasMar[Dia],tblDiaUtil[[Abreviatura]:[2º Período]],4,FALSE),JORNADA/2)),
        IF(AND(ISNUMBER(tblHorasMar[Saída - 2]),ISNUMBER(tblHorasMar[Entrada - 2 (Almoço)])),
              IF(OR(AND(tblHorasMar[Evento 
(2º Período)]&lt;&gt;"",IF(ISERROR(VLOOKUP(tblHorasMar[Evento 
(2º Período)],tblEvento[],Tabelas!$E$1,FALSE)),FALSE,VLOOKUP(tblHorasMar[Evento 
(2º Período)],tblEvento[],Tabelas!$E$1,FALSE)="Sim")),IF(VLOOKUP(TEXT(tblHorasMar[Data],"dddd"),tblDiaUtil[],2,FALSE)="Não",TRUE,FALSE)),
                   tblHorasMar[Saída - 2]-tblHorasMar[Entrada - 2 (Almoço)],
                   IF(OR(HOUR(tblHorasMar[Saída - 2]-tblHorasMar[Entrada - 2 (Almoço)])&gt;0,MINUTE(tblHorasMar[Saída - 2]-tblHorasMar[Entrada - 2 (Almoço)])&gt;CARENCIA),
                         tblHorasMar[Saída - 2]-tblHorasMar[Entrada - 2 (Almoço)],
                         0)),
       0)),0)</f>
        <v>0</v>
      </c>
      <c r="L11" s="4">
        <f>tblHorasMar[Horas Trabalhadas (1º Período)]+tblHorasMar[Horas Trabalhadas (2º Período)]</f>
        <v>0</v>
      </c>
      <c r="M11" s="4" t="str">
        <f>IF(tblHorasMar[Data]&lt;&gt;"",
        IF(
AND(VLOOKUP(TEXT(tblHorasMar[Data],"dddd"),tblDiaUtil[],3,FALSE)="Sim",IF(tblHorasMar[Evento 
(1º Período)]&lt;&gt;"",IF(VLOOKUP(tblHorasMar[Evento 
(1º Período)],tblEvento[],Tabelas!$E$1,FALSE)="Sim",FALSE,TRUE),TRUE),IF(tblHorasMar[Evento 
(2º Período)]&lt;&gt;"",IF(VLOOKUP(tblHorasMar[Evento 
(2º Período)],tblEvento[],Tabelas!$E$1,FALSE)="Sim",FALSE,TRUE),TRUE)),
              IF(VLOOKUP(tblHorasMar[Dia],tblDiaUtil[[Abreviatura]:[1º Período]],3,FALSE)&gt;0,VLOOKUP(tblHorasMar[Dia],tblDiaUtil[[Abreviatura]:[1º Período]],3,FALSE),JORNADA),
              ""),
         "")</f>
        <v/>
      </c>
      <c r="N11" s="14">
        <f>IF(OR(tblHorasMar[Horas Trabalhadas (1º Período)]&lt;&gt;0,tblHorasMar[Horas Trabalhadas (2º Período)]&lt;&gt;0),
        IF(ISNUMBER(tblHorasMar[Jornada Diária]),
              IF(tblHorasMar[Jornada Diária]&gt;(tblHorasMar[Horas Trabalhadas (2º Período)]+tblHorasMar[Horas Trabalhadas (1º Período)]),
                     IF(ROUND((tblHorasMar[Jornada Diária]-(tblHorasMar[Horas Trabalhadas (2º Período)]+tblHorasMar[Horas Trabalhadas (1º Período)])),6)&gt;ROUND(CARENCIA,6),
                           -tblHorasMar[Jornada Diária]+(tblHorasMar[Horas Trabalhadas (2º Período)]+tblHorasMar[Horas Trabalhadas (1º Período)]),
                           0),
                      IF(ROUND((tblHorasMar[Jornada Diária]-(tblHorasMar[Horas Trabalhadas (2º Período)]+tblHorasMar[Horas Trabalhadas (1º Período)])),6)&lt;ROUND(-CARENCIA,6),
                           -tblHorasMar[Jornada Diária]+(tblHorasMar[Horas Trabalhadas (2º Período)]+tblHorasMar[Horas Trabalhadas (1º Período)]),
                           0)),
              tblHorasMar[Horas Trabalhadas (2º Período)]+tblHorasMar[Horas Trabalhadas (1º Período)]),
         IF(AND(IF(ISERROR(VLOOKUP(tblHorasMar[Evento 
(1º Período)],tblEvento[[Evento]:[Libera o Período]],4,FALSE)),FALSE,IF(VLOOKUP(tblHorasMar[Evento 
(1º Período)],tblEvento[[Evento]:[Libera o Período]],4,FALSE)="Não",TRUE,FALSE)),IF(ISERROR(VLOOKUP(tblHorasMar[Evento 
(2º Período)],tblEvento[[Evento]:[Libera o Período]],4,FALSE)),FALSE,IF(VLOOKUP(tblHorasMar[Evento 
(2º Período)],tblEvento[[Evento]:[Libera o Período]],4,FALSE)="Não",TRUE,FALSE))),
-IF(VLOOKUP(tblHorasMar[Dia],tblDiaUtil[[Abreviatura]:[Total Jornada]],5,FALSE)&lt;&gt;"",VLOOKUP(tblHorasMar[Dia],tblDiaUtil[[Abreviatura]:[Total Jornada]],5,FALSE),JORNADA),
IF(IF(ISERROR(VLOOKUP(tblHorasMar[Evento 
(1º Período)],tblEvento[[Evento]:[Libera o Período]],4,FALSE)),FALSE,
IF(VLOOKUP(tblHorasMar[Evento 
(1º Período)],tblEvento[[Evento]:[Libera o Período]],4,FALSE)="Não",TRUE,FALSE)
),
-IF(VLOOKUP(tblHorasMar[Dia],tblDiaUtil[[Abreviatura]:[1º Período]],3,FALSE)&lt;&gt;"",VLOOKUP(tblHorasMar[Dia],tblDiaUtil[[Abreviatura]:[1º Período]],3,FALSE),JORNADA_PERIODO_1),
IF(IF(ISERROR(VLOOKUP(tblHorasMar[Evento 
(2º Período)],tblEvento[[Evento]:[Libera o Período]],4,FALSE)),FALSE,IF(VLOOKUP(tblHorasMar[Evento 
(2º Período)],tblEvento[[Evento]:[Libera o Período]],4,FALSE)="Não",TRUE,FALSE)),
-IF(VLOOKUP(tblHorasMar[Dia],tblDiaUtil[[Abreviatura]:[2º Período]],4,FALSE)&lt;&gt;"",VLOOKUP(tblHorasMar[Dia],tblDiaUtil[[Abreviatura]:[2º Período]],4,FALSE),JORNADA_PERIODO_2),0))))</f>
        <v>0</v>
      </c>
      <c r="O11" s="14">
        <f>IF(tblHorasMar[Horas Trabalhadas Além Jornada]&gt;0,
        IF(ISNUMBER(tblHorasMar[Jornada Diária]),
              IF(HOUR(tblHorasMar[Horas Trabalhadas Além Jornada])&gt;=VLOOKUP(LIMITE,tblLimiteHora[],Tabelas!$I$1,FALSE),
                    VLOOKUP(LIMITE,tblLimiteHora[],Tabelas!$J$1,FALSE),
                    tblHorasMar[Horas Trabalhadas Além Jornada]),
              tblHorasMar[Horas Trabalhadas Além Jornada]),
        tblHorasMar[Horas Trabalhadas Além Jornada])+O10</f>
        <v>0</v>
      </c>
      <c r="P11" s="14" t="str">
        <f>IF(tblHorasMar[Horas Trabalhadas Além Jornada]&lt;0,IF(OR(tblHorasMar[Evento 
(1º Período)]="",tblHorasMar[Evento 
(2º Período)]=""),tblHorasMar[Horas Trabalhadas Além Jornada],""),"")</f>
        <v/>
      </c>
      <c r="Q11" s="14" t="str">
        <f>IF(tblHorasMar[Jornada Diária]&lt;&gt;"",IF((N(tblHorasMar[Jornada Diária])-ABS(N(tblHorasMar[Horas Trabalhadas Além Jornada])))=0,1,""),"")</f>
        <v/>
      </c>
      <c r="R11" s="14" t="str">
        <f>IF(tblHorasMar[Horas Trabalhadas Além Jornada]&gt;0,
IF(AND(VLOOKUP(TEXT(tblHorasMar[Data],"dddd"),tblDiaUtil[],3,FALSE)="Sim",IF(tblHorasMar[Evento 
(1º Período)]&lt;&gt;"",IF(VLOOKUP(tblHorasMar[Evento 
(1º Período)],tblEvento[],Tabelas!$E$1,FALSE)="Sim",FALSE,TRUE),TRUE),IF(tblHorasMar[Evento 
(2º Período)]&lt;&gt;"",IF(VLOOKUP(tblHorasMar[Evento 
(2º Período)],tblEvento[],Tabelas!$E$1,FALSE)="Sim",FALSE,TRUE),TRUE)),
tblHorasMar[Horas Trabalhadas Além Jornada],""),"")</f>
        <v/>
      </c>
      <c r="S11" s="14" t="str">
        <f>IF(tblHorasMar[Horas Trabalhadas Além Jornada]&gt;0,
IF(OR(VLOOKUP(TEXT(tblHorasMar[Data],"dddd"),tblDiaUtil[],3,FALSE)="Não",IF(tblHorasMar[Evento 
(1º Período)]&lt;&gt;"",IF(VLOOKUP(tblHorasMar[Evento 
(1º Período)],tblEvento[],Tabelas!$E$1,FALSE)="Sim",TRUE,FALSE),FALSE),IF(tblHorasMar[Evento 
(2º Período)]&lt;&gt;"",IF(VLOOKUP(tblHorasMar[Evento 
(2º Período)],tblEvento[],Tabelas!$E$1,FALSE)="Sim",TRUE,FALSE),FALSE)),
tblHorasMar[Horas Trabalhadas Além Jornada],""),"")</f>
        <v/>
      </c>
      <c r="T11" s="15" t="str">
        <f>IF(tblHorasMar[Evento 
(1º Período)]&lt;&gt;""," - " &amp;VLOOKUP(tblHorasMar[Evento 
(1º Período)],tblEvento[],Tabelas!$F$1,FALSE),"")&amp;IF(AND(tblHorasMar[Evento 
(2º Período)]&lt;&gt;"",tblHorasMar[Evento 
(2º Período)]&lt;&gt;tblHorasMar[Evento 
(1º Período)])," - " &amp; VLOOKUP(tblHorasMar[Evento 
(2º Período)],tblEvento[],Tabelas!$F$1,FALSE),"")</f>
        <v/>
      </c>
    </row>
    <row r="12" spans="2:25" x14ac:dyDescent="0.25">
      <c r="B12" s="11" t="str">
        <f t="shared" si="0"/>
        <v/>
      </c>
      <c r="C12" s="12" t="str">
        <f>TEXT(tblHorasMar[Data],"ddd")</f>
        <v/>
      </c>
      <c r="D12" s="25"/>
      <c r="E12" s="1"/>
      <c r="F12" s="1"/>
      <c r="G12" s="1"/>
      <c r="H12" s="1"/>
      <c r="I12" s="53"/>
      <c r="J12" s="4">
        <f>IF($B$6&lt;&gt;"",
IF(AND(tblHorasMar[Evento 
(1º Período)]&lt;&gt;"",IF(ISERROR(VLOOKUP(tblHorasMar[Evento 
(1º Período)],tblEvento[],Tabelas!$D$1,FALSE)),FALSE,VLOOKUP(tblHorasMar[Evento 
(1º Período)],tblEvento[],Tabelas!$D$1,FALSE)="Sim")),
        IF(JORNADA_PERIODO_1&lt;&gt;"",
IF(VLOOKUP(tblHorasMar[Dia],tblDiaUtil[[Abreviatura]:[1º Período]],3,FALSE)&gt;0,VLOOKUP(tblHorasMar[Dia],tblDiaUtil[[Abreviatura]:[1º Período]],3,FALSE),JORNADA_PERIODO_1),
IF(VLOOKUP(tblHorasMar[Dia],tblDiaUtil[[Abreviatura]:[1º Período]],3,FALSE)&gt;0,VLOOKUP(tblHorasMar[Dia],tblDiaUtil[[Abreviatura]:[1º Período]],3,FALSE),JORNADA/2)),
        IF(AND(ISNUMBER(tblHorasMar[Saída - 1 (Almoço)]),ISNUMBER(tblHorasMar[Entrada - 1])),
              IF(OR(AND(tblHorasMar[Evento 
(1º Período)]&lt;&gt;"",IF(ISERROR(VLOOKUP(tblHorasMar[Evento 
(1º Período)],tblEvento[],Tabelas!$E$1,FALSE)),FALSE,VLOOKUP(tblHorasMar[Evento 
(1º Período)],tblEvento[],Tabelas!$E$1,FALSE)="Sim")),IF(VLOOKUP(TEXT(tblHorasMar[Data],"dddd"),tblDiaUtil[],2,FALSE)="Não",TRUE,FALSE)),
                   tblHorasMar[Saída - 1 (Almoço)]-tblHorasMar[Entrada - 1],
                   IF(OR(HOUR(tblHorasMar[Saída - 1 (Almoço)]-tblHorasMar[Entrada - 1])&gt;0,ROUND(tblHorasMar[Saída - 1 (Almoço)]-tblHorasMar[Entrada - 1],6)&gt;ROUND(CARENCIA,6)),
                          tblHorasMar[Saída - 1 (Almoço)]-tblHorasMar[Entrada - 1],
                          0)),
                    0)),0)</f>
        <v>0</v>
      </c>
      <c r="K12" s="4">
        <f>IF($B$6&lt;&gt;"",
IF(AND(tblHorasMar[Evento 
(2º Período)]&lt;&gt;"",IF(ISERROR(VLOOKUP(tblHorasMar[Evento 
(2º Período)],tblEvento[],Tabelas!$D$1,FALSE)),FALSE,VLOOKUP(tblHorasMar[Evento 
(2º Período)],tblEvento[],Tabelas!$D$1,FALSE)="Sim")),
        IF(JORNADA_PERIODO_2&lt;&gt;"",
IF(VLOOKUP(tblHorasMar[Dia],tblDiaUtil[[Abreviatura]:[2º Período]],4,FALSE)&gt;0,VLOOKUP(tblHorasMar[Dia],tblDiaUtil[[Abreviatura]:[2º Período]],4,FALSE),JORNADA_PERIODO_2),
IF(VLOOKUP(tblHorasMar[Dia],tblDiaUtil[[Abreviatura]:[2º Período]],4,FALSE)&gt;0,VLOOKUP(tblHorasMar[Dia],tblDiaUtil[[Abreviatura]:[2º Período]],4,FALSE),JORNADA/2)),
        IF(AND(ISNUMBER(tblHorasMar[Saída - 2]),ISNUMBER(tblHorasMar[Entrada - 2 (Almoço)])),
              IF(OR(AND(tblHorasMar[Evento 
(2º Período)]&lt;&gt;"",IF(ISERROR(VLOOKUP(tblHorasMar[Evento 
(2º Período)],tblEvento[],Tabelas!$E$1,FALSE)),FALSE,VLOOKUP(tblHorasMar[Evento 
(2º Período)],tblEvento[],Tabelas!$E$1,FALSE)="Sim")),IF(VLOOKUP(TEXT(tblHorasMar[Data],"dddd"),tblDiaUtil[],2,FALSE)="Não",TRUE,FALSE)),
                   tblHorasMar[Saída - 2]-tblHorasMar[Entrada - 2 (Almoço)],
                   IF(OR(HOUR(tblHorasMar[Saída - 2]-tblHorasMar[Entrada - 2 (Almoço)])&gt;0,MINUTE(tblHorasMar[Saída - 2]-tblHorasMar[Entrada - 2 (Almoço)])&gt;CARENCIA),
                         tblHorasMar[Saída - 2]-tblHorasMar[Entrada - 2 (Almoço)],
                         0)),
       0)),0)</f>
        <v>0</v>
      </c>
      <c r="L12" s="4">
        <f>tblHorasMar[Horas Trabalhadas (1º Período)]+tblHorasMar[Horas Trabalhadas (2º Período)]</f>
        <v>0</v>
      </c>
      <c r="M12" s="4" t="str">
        <f>IF(tblHorasMar[Data]&lt;&gt;"",
        IF(
AND(VLOOKUP(TEXT(tblHorasMar[Data],"dddd"),tblDiaUtil[],3,FALSE)="Sim",IF(tblHorasMar[Evento 
(1º Período)]&lt;&gt;"",IF(VLOOKUP(tblHorasMar[Evento 
(1º Período)],tblEvento[],Tabelas!$E$1,FALSE)="Sim",FALSE,TRUE),TRUE),IF(tblHorasMar[Evento 
(2º Período)]&lt;&gt;"",IF(VLOOKUP(tblHorasMar[Evento 
(2º Período)],tblEvento[],Tabelas!$E$1,FALSE)="Sim",FALSE,TRUE),TRUE)),
              IF(VLOOKUP(tblHorasMar[Dia],tblDiaUtil[[Abreviatura]:[1º Período]],3,FALSE)&gt;0,VLOOKUP(tblHorasMar[Dia],tblDiaUtil[[Abreviatura]:[1º Período]],3,FALSE),JORNADA),
              ""),
         "")</f>
        <v/>
      </c>
      <c r="N12" s="14">
        <f>IF(OR(tblHorasMar[Horas Trabalhadas (1º Período)]&lt;&gt;0,tblHorasMar[Horas Trabalhadas (2º Período)]&lt;&gt;0),
        IF(ISNUMBER(tblHorasMar[Jornada Diária]),
              IF(tblHorasMar[Jornada Diária]&gt;(tblHorasMar[Horas Trabalhadas (2º Período)]+tblHorasMar[Horas Trabalhadas (1º Período)]),
                     IF(ROUND((tblHorasMar[Jornada Diária]-(tblHorasMar[Horas Trabalhadas (2º Período)]+tblHorasMar[Horas Trabalhadas (1º Período)])),6)&gt;ROUND(CARENCIA,6),
                           -tblHorasMar[Jornada Diária]+(tblHorasMar[Horas Trabalhadas (2º Período)]+tblHorasMar[Horas Trabalhadas (1º Período)]),
                           0),
                      IF(ROUND((tblHorasMar[Jornada Diária]-(tblHorasMar[Horas Trabalhadas (2º Período)]+tblHorasMar[Horas Trabalhadas (1º Período)])),6)&lt;ROUND(-CARENCIA,6),
                           -tblHorasMar[Jornada Diária]+(tblHorasMar[Horas Trabalhadas (2º Período)]+tblHorasMar[Horas Trabalhadas (1º Período)]),
                           0)),
              tblHorasMar[Horas Trabalhadas (2º Período)]+tblHorasMar[Horas Trabalhadas (1º Período)]),
         IF(AND(IF(ISERROR(VLOOKUP(tblHorasMar[Evento 
(1º Período)],tblEvento[[Evento]:[Libera o Período]],4,FALSE)),FALSE,IF(VLOOKUP(tblHorasMar[Evento 
(1º Período)],tblEvento[[Evento]:[Libera o Período]],4,FALSE)="Não",TRUE,FALSE)),IF(ISERROR(VLOOKUP(tblHorasMar[Evento 
(2º Período)],tblEvento[[Evento]:[Libera o Período]],4,FALSE)),FALSE,IF(VLOOKUP(tblHorasMar[Evento 
(2º Período)],tblEvento[[Evento]:[Libera o Período]],4,FALSE)="Não",TRUE,FALSE))),
-IF(VLOOKUP(tblHorasMar[Dia],tblDiaUtil[[Abreviatura]:[Total Jornada]],5,FALSE)&lt;&gt;"",VLOOKUP(tblHorasMar[Dia],tblDiaUtil[[Abreviatura]:[Total Jornada]],5,FALSE),JORNADA),
IF(IF(ISERROR(VLOOKUP(tblHorasMar[Evento 
(1º Período)],tblEvento[[Evento]:[Libera o Período]],4,FALSE)),FALSE,
IF(VLOOKUP(tblHorasMar[Evento 
(1º Período)],tblEvento[[Evento]:[Libera o Período]],4,FALSE)="Não",TRUE,FALSE)
),
-IF(VLOOKUP(tblHorasMar[Dia],tblDiaUtil[[Abreviatura]:[1º Período]],3,FALSE)&lt;&gt;"",VLOOKUP(tblHorasMar[Dia],tblDiaUtil[[Abreviatura]:[1º Período]],3,FALSE),JORNADA_PERIODO_1),
IF(IF(ISERROR(VLOOKUP(tblHorasMar[Evento 
(2º Período)],tblEvento[[Evento]:[Libera o Período]],4,FALSE)),FALSE,IF(VLOOKUP(tblHorasMar[Evento 
(2º Período)],tblEvento[[Evento]:[Libera o Período]],4,FALSE)="Não",TRUE,FALSE)),
-IF(VLOOKUP(tblHorasMar[Dia],tblDiaUtil[[Abreviatura]:[2º Período]],4,FALSE)&lt;&gt;"",VLOOKUP(tblHorasMar[Dia],tblDiaUtil[[Abreviatura]:[2º Período]],4,FALSE),JORNADA_PERIODO_2),0))))</f>
        <v>0</v>
      </c>
      <c r="O12" s="14">
        <f>IF(tblHorasMar[Horas Trabalhadas Além Jornada]&gt;0,
        IF(ISNUMBER(tblHorasMar[Jornada Diária]),
              IF(HOUR(tblHorasMar[Horas Trabalhadas Além Jornada])&gt;=VLOOKUP(LIMITE,tblLimiteHora[],Tabelas!$I$1,FALSE),
                    VLOOKUP(LIMITE,tblLimiteHora[],Tabelas!$J$1,FALSE),
                    tblHorasMar[Horas Trabalhadas Além Jornada]),
              tblHorasMar[Horas Trabalhadas Além Jornada]),
        tblHorasMar[Horas Trabalhadas Além Jornada])+O11</f>
        <v>0</v>
      </c>
      <c r="P12" s="14" t="str">
        <f>IF(tblHorasMar[Horas Trabalhadas Além Jornada]&lt;0,IF(OR(tblHorasMar[Evento 
(1º Período)]="",tblHorasMar[Evento 
(2º Período)]=""),tblHorasMar[Horas Trabalhadas Além Jornada],""),"")</f>
        <v/>
      </c>
      <c r="Q12" s="14" t="str">
        <f>IF(tblHorasMar[Jornada Diária]&lt;&gt;"",IF((N(tblHorasMar[Jornada Diária])-ABS(N(tblHorasMar[Horas Trabalhadas Além Jornada])))=0,1,""),"")</f>
        <v/>
      </c>
      <c r="R12" s="14" t="str">
        <f>IF(tblHorasMar[Horas Trabalhadas Além Jornada]&gt;0,
IF(AND(VLOOKUP(TEXT(tblHorasMar[Data],"dddd"),tblDiaUtil[],3,FALSE)="Sim",IF(tblHorasMar[Evento 
(1º Período)]&lt;&gt;"",IF(VLOOKUP(tblHorasMar[Evento 
(1º Período)],tblEvento[],Tabelas!$E$1,FALSE)="Sim",FALSE,TRUE),TRUE),IF(tblHorasMar[Evento 
(2º Período)]&lt;&gt;"",IF(VLOOKUP(tblHorasMar[Evento 
(2º Período)],tblEvento[],Tabelas!$E$1,FALSE)="Sim",FALSE,TRUE),TRUE)),
tblHorasMar[Horas Trabalhadas Além Jornada],""),"")</f>
        <v/>
      </c>
      <c r="S12" s="14" t="str">
        <f>IF(tblHorasMar[Horas Trabalhadas Além Jornada]&gt;0,
IF(OR(VLOOKUP(TEXT(tblHorasMar[Data],"dddd"),tblDiaUtil[],3,FALSE)="Não",IF(tblHorasMar[Evento 
(1º Período)]&lt;&gt;"",IF(VLOOKUP(tblHorasMar[Evento 
(1º Período)],tblEvento[],Tabelas!$E$1,FALSE)="Sim",TRUE,FALSE),FALSE),IF(tblHorasMar[Evento 
(2º Período)]&lt;&gt;"",IF(VLOOKUP(tblHorasMar[Evento 
(2º Período)],tblEvento[],Tabelas!$E$1,FALSE)="Sim",TRUE,FALSE),FALSE)),
tblHorasMar[Horas Trabalhadas Além Jornada],""),"")</f>
        <v/>
      </c>
      <c r="T12" s="15" t="str">
        <f>IF(tblHorasMar[Evento 
(1º Período)]&lt;&gt;""," - " &amp;VLOOKUP(tblHorasMar[Evento 
(1º Período)],tblEvento[],Tabelas!$F$1,FALSE),"")&amp;IF(AND(tblHorasMar[Evento 
(2º Período)]&lt;&gt;"",tblHorasMar[Evento 
(2º Período)]&lt;&gt;tblHorasMar[Evento 
(1º Período)])," - " &amp; VLOOKUP(tblHorasMar[Evento 
(2º Período)],tblEvento[],Tabelas!$F$1,FALSE),"")</f>
        <v/>
      </c>
    </row>
    <row r="13" spans="2:25" x14ac:dyDescent="0.25">
      <c r="B13" s="11" t="str">
        <f t="shared" si="0"/>
        <v/>
      </c>
      <c r="C13" s="12" t="str">
        <f>TEXT(tblHorasMar[Data],"ddd")</f>
        <v/>
      </c>
      <c r="D13" s="25"/>
      <c r="E13" s="1"/>
      <c r="F13" s="1"/>
      <c r="G13" s="1"/>
      <c r="H13" s="1"/>
      <c r="I13" s="53"/>
      <c r="J13" s="4">
        <f>IF($B$6&lt;&gt;"",
IF(AND(tblHorasMar[Evento 
(1º Período)]&lt;&gt;"",IF(ISERROR(VLOOKUP(tblHorasMar[Evento 
(1º Período)],tblEvento[],Tabelas!$D$1,FALSE)),FALSE,VLOOKUP(tblHorasMar[Evento 
(1º Período)],tblEvento[],Tabelas!$D$1,FALSE)="Sim")),
        IF(JORNADA_PERIODO_1&lt;&gt;"",
IF(VLOOKUP(tblHorasMar[Dia],tblDiaUtil[[Abreviatura]:[1º Período]],3,FALSE)&gt;0,VLOOKUP(tblHorasMar[Dia],tblDiaUtil[[Abreviatura]:[1º Período]],3,FALSE),JORNADA_PERIODO_1),
IF(VLOOKUP(tblHorasMar[Dia],tblDiaUtil[[Abreviatura]:[1º Período]],3,FALSE)&gt;0,VLOOKUP(tblHorasMar[Dia],tblDiaUtil[[Abreviatura]:[1º Período]],3,FALSE),JORNADA/2)),
        IF(AND(ISNUMBER(tblHorasMar[Saída - 1 (Almoço)]),ISNUMBER(tblHorasMar[Entrada - 1])),
              IF(OR(AND(tblHorasMar[Evento 
(1º Período)]&lt;&gt;"",IF(ISERROR(VLOOKUP(tblHorasMar[Evento 
(1º Período)],tblEvento[],Tabelas!$E$1,FALSE)),FALSE,VLOOKUP(tblHorasMar[Evento 
(1º Período)],tblEvento[],Tabelas!$E$1,FALSE)="Sim")),IF(VLOOKUP(TEXT(tblHorasMar[Data],"dddd"),tblDiaUtil[],2,FALSE)="Não",TRUE,FALSE)),
                   tblHorasMar[Saída - 1 (Almoço)]-tblHorasMar[Entrada - 1],
                   IF(OR(HOUR(tblHorasMar[Saída - 1 (Almoço)]-tblHorasMar[Entrada - 1])&gt;0,ROUND(tblHorasMar[Saída - 1 (Almoço)]-tblHorasMar[Entrada - 1],6)&gt;ROUND(CARENCIA,6)),
                          tblHorasMar[Saída - 1 (Almoço)]-tblHorasMar[Entrada - 1],
                          0)),
                    0)),0)</f>
        <v>0</v>
      </c>
      <c r="K13" s="4">
        <f>IF($B$6&lt;&gt;"",
IF(AND(tblHorasMar[Evento 
(2º Período)]&lt;&gt;"",IF(ISERROR(VLOOKUP(tblHorasMar[Evento 
(2º Período)],tblEvento[],Tabelas!$D$1,FALSE)),FALSE,VLOOKUP(tblHorasMar[Evento 
(2º Período)],tblEvento[],Tabelas!$D$1,FALSE)="Sim")),
        IF(JORNADA_PERIODO_2&lt;&gt;"",
IF(VLOOKUP(tblHorasMar[Dia],tblDiaUtil[[Abreviatura]:[2º Período]],4,FALSE)&gt;0,VLOOKUP(tblHorasMar[Dia],tblDiaUtil[[Abreviatura]:[2º Período]],4,FALSE),JORNADA_PERIODO_2),
IF(VLOOKUP(tblHorasMar[Dia],tblDiaUtil[[Abreviatura]:[2º Período]],4,FALSE)&gt;0,VLOOKUP(tblHorasMar[Dia],tblDiaUtil[[Abreviatura]:[2º Período]],4,FALSE),JORNADA/2)),
        IF(AND(ISNUMBER(tblHorasMar[Saída - 2]),ISNUMBER(tblHorasMar[Entrada - 2 (Almoço)])),
              IF(OR(AND(tblHorasMar[Evento 
(2º Período)]&lt;&gt;"",IF(ISERROR(VLOOKUP(tblHorasMar[Evento 
(2º Período)],tblEvento[],Tabelas!$E$1,FALSE)),FALSE,VLOOKUP(tblHorasMar[Evento 
(2º Período)],tblEvento[],Tabelas!$E$1,FALSE)="Sim")),IF(VLOOKUP(TEXT(tblHorasMar[Data],"dddd"),tblDiaUtil[],2,FALSE)="Não",TRUE,FALSE)),
                   tblHorasMar[Saída - 2]-tblHorasMar[Entrada - 2 (Almoço)],
                   IF(OR(HOUR(tblHorasMar[Saída - 2]-tblHorasMar[Entrada - 2 (Almoço)])&gt;0,MINUTE(tblHorasMar[Saída - 2]-tblHorasMar[Entrada - 2 (Almoço)])&gt;CARENCIA),
                         tblHorasMar[Saída - 2]-tblHorasMar[Entrada - 2 (Almoço)],
                         0)),
       0)),0)</f>
        <v>0</v>
      </c>
      <c r="L13" s="4">
        <f>tblHorasMar[Horas Trabalhadas (1º Período)]+tblHorasMar[Horas Trabalhadas (2º Período)]</f>
        <v>0</v>
      </c>
      <c r="M13" s="4" t="str">
        <f>IF(tblHorasMar[Data]&lt;&gt;"",
        IF(
AND(VLOOKUP(TEXT(tblHorasMar[Data],"dddd"),tblDiaUtil[],3,FALSE)="Sim",IF(tblHorasMar[Evento 
(1º Período)]&lt;&gt;"",IF(VLOOKUP(tblHorasMar[Evento 
(1º Período)],tblEvento[],Tabelas!$E$1,FALSE)="Sim",FALSE,TRUE),TRUE),IF(tblHorasMar[Evento 
(2º Período)]&lt;&gt;"",IF(VLOOKUP(tblHorasMar[Evento 
(2º Período)],tblEvento[],Tabelas!$E$1,FALSE)="Sim",FALSE,TRUE),TRUE)),
              IF(VLOOKUP(tblHorasMar[Dia],tblDiaUtil[[Abreviatura]:[1º Período]],3,FALSE)&gt;0,VLOOKUP(tblHorasMar[Dia],tblDiaUtil[[Abreviatura]:[1º Período]],3,FALSE),JORNADA),
              ""),
         "")</f>
        <v/>
      </c>
      <c r="N13" s="14">
        <f>IF(OR(tblHorasMar[Horas Trabalhadas (1º Período)]&lt;&gt;0,tblHorasMar[Horas Trabalhadas (2º Período)]&lt;&gt;0),
        IF(ISNUMBER(tblHorasMar[Jornada Diária]),
              IF(tblHorasMar[Jornada Diária]&gt;(tblHorasMar[Horas Trabalhadas (2º Período)]+tblHorasMar[Horas Trabalhadas (1º Período)]),
                     IF(ROUND((tblHorasMar[Jornada Diária]-(tblHorasMar[Horas Trabalhadas (2º Período)]+tblHorasMar[Horas Trabalhadas (1º Período)])),6)&gt;ROUND(CARENCIA,6),
                           -tblHorasMar[Jornada Diária]+(tblHorasMar[Horas Trabalhadas (2º Período)]+tblHorasMar[Horas Trabalhadas (1º Período)]),
                           0),
                      IF(ROUND((tblHorasMar[Jornada Diária]-(tblHorasMar[Horas Trabalhadas (2º Período)]+tblHorasMar[Horas Trabalhadas (1º Período)])),6)&lt;ROUND(-CARENCIA,6),
                           -tblHorasMar[Jornada Diária]+(tblHorasMar[Horas Trabalhadas (2º Período)]+tblHorasMar[Horas Trabalhadas (1º Período)]),
                           0)),
              tblHorasMar[Horas Trabalhadas (2º Período)]+tblHorasMar[Horas Trabalhadas (1º Período)]),
         IF(AND(IF(ISERROR(VLOOKUP(tblHorasMar[Evento 
(1º Período)],tblEvento[[Evento]:[Libera o Período]],4,FALSE)),FALSE,IF(VLOOKUP(tblHorasMar[Evento 
(1º Período)],tblEvento[[Evento]:[Libera o Período]],4,FALSE)="Não",TRUE,FALSE)),IF(ISERROR(VLOOKUP(tblHorasMar[Evento 
(2º Período)],tblEvento[[Evento]:[Libera o Período]],4,FALSE)),FALSE,IF(VLOOKUP(tblHorasMar[Evento 
(2º Período)],tblEvento[[Evento]:[Libera o Período]],4,FALSE)="Não",TRUE,FALSE))),
-IF(VLOOKUP(tblHorasMar[Dia],tblDiaUtil[[Abreviatura]:[Total Jornada]],5,FALSE)&lt;&gt;"",VLOOKUP(tblHorasMar[Dia],tblDiaUtil[[Abreviatura]:[Total Jornada]],5,FALSE),JORNADA),
IF(IF(ISERROR(VLOOKUP(tblHorasMar[Evento 
(1º Período)],tblEvento[[Evento]:[Libera o Período]],4,FALSE)),FALSE,
IF(VLOOKUP(tblHorasMar[Evento 
(1º Período)],tblEvento[[Evento]:[Libera o Período]],4,FALSE)="Não",TRUE,FALSE)
),
-IF(VLOOKUP(tblHorasMar[Dia],tblDiaUtil[[Abreviatura]:[1º Período]],3,FALSE)&lt;&gt;"",VLOOKUP(tblHorasMar[Dia],tblDiaUtil[[Abreviatura]:[1º Período]],3,FALSE),JORNADA_PERIODO_1),
IF(IF(ISERROR(VLOOKUP(tblHorasMar[Evento 
(2º Período)],tblEvento[[Evento]:[Libera o Período]],4,FALSE)),FALSE,IF(VLOOKUP(tblHorasMar[Evento 
(2º Período)],tblEvento[[Evento]:[Libera o Período]],4,FALSE)="Não",TRUE,FALSE)),
-IF(VLOOKUP(tblHorasMar[Dia],tblDiaUtil[[Abreviatura]:[2º Período]],4,FALSE)&lt;&gt;"",VLOOKUP(tblHorasMar[Dia],tblDiaUtil[[Abreviatura]:[2º Período]],4,FALSE),JORNADA_PERIODO_2),0))))</f>
        <v>0</v>
      </c>
      <c r="O13" s="14">
        <f>IF(tblHorasMar[Horas Trabalhadas Além Jornada]&gt;0,
        IF(ISNUMBER(tblHorasMar[Jornada Diária]),
              IF(HOUR(tblHorasMar[Horas Trabalhadas Além Jornada])&gt;=VLOOKUP(LIMITE,tblLimiteHora[],Tabelas!$I$1,FALSE),
                    VLOOKUP(LIMITE,tblLimiteHora[],Tabelas!$J$1,FALSE),
                    tblHorasMar[Horas Trabalhadas Além Jornada]),
              tblHorasMar[Horas Trabalhadas Além Jornada]),
        tblHorasMar[Horas Trabalhadas Além Jornada])+O12</f>
        <v>0</v>
      </c>
      <c r="P13" s="14" t="str">
        <f>IF(tblHorasMar[Horas Trabalhadas Além Jornada]&lt;0,IF(OR(tblHorasMar[Evento 
(1º Período)]="",tblHorasMar[Evento 
(2º Período)]=""),tblHorasMar[Horas Trabalhadas Além Jornada],""),"")</f>
        <v/>
      </c>
      <c r="Q13" s="14" t="str">
        <f>IF(tblHorasMar[Jornada Diária]&lt;&gt;"",IF((N(tblHorasMar[Jornada Diária])-ABS(N(tblHorasMar[Horas Trabalhadas Além Jornada])))=0,1,""),"")</f>
        <v/>
      </c>
      <c r="R13" s="14" t="str">
        <f>IF(tblHorasMar[Horas Trabalhadas Além Jornada]&gt;0,
IF(AND(VLOOKUP(TEXT(tblHorasMar[Data],"dddd"),tblDiaUtil[],3,FALSE)="Sim",IF(tblHorasMar[Evento 
(1º Período)]&lt;&gt;"",IF(VLOOKUP(tblHorasMar[Evento 
(1º Período)],tblEvento[],Tabelas!$E$1,FALSE)="Sim",FALSE,TRUE),TRUE),IF(tblHorasMar[Evento 
(2º Período)]&lt;&gt;"",IF(VLOOKUP(tblHorasMar[Evento 
(2º Período)],tblEvento[],Tabelas!$E$1,FALSE)="Sim",FALSE,TRUE),TRUE)),
tblHorasMar[Horas Trabalhadas Além Jornada],""),"")</f>
        <v/>
      </c>
      <c r="S13" s="14" t="str">
        <f>IF(tblHorasMar[Horas Trabalhadas Além Jornada]&gt;0,
IF(OR(VLOOKUP(TEXT(tblHorasMar[Data],"dddd"),tblDiaUtil[],3,FALSE)="Não",IF(tblHorasMar[Evento 
(1º Período)]&lt;&gt;"",IF(VLOOKUP(tblHorasMar[Evento 
(1º Período)],tblEvento[],Tabelas!$E$1,FALSE)="Sim",TRUE,FALSE),FALSE),IF(tblHorasMar[Evento 
(2º Período)]&lt;&gt;"",IF(VLOOKUP(tblHorasMar[Evento 
(2º Período)],tblEvento[],Tabelas!$E$1,FALSE)="Sim",TRUE,FALSE),FALSE)),
tblHorasMar[Horas Trabalhadas Além Jornada],""),"")</f>
        <v/>
      </c>
      <c r="T13" s="15" t="str">
        <f>IF(tblHorasMar[Evento 
(1º Período)]&lt;&gt;""," - " &amp;VLOOKUP(tblHorasMar[Evento 
(1º Período)],tblEvento[],Tabelas!$F$1,FALSE),"")&amp;IF(AND(tblHorasMar[Evento 
(2º Período)]&lt;&gt;"",tblHorasMar[Evento 
(2º Período)]&lt;&gt;tblHorasMar[Evento 
(1º Período)])," - " &amp; VLOOKUP(tblHorasMar[Evento 
(2º Período)],tblEvento[],Tabelas!$F$1,FALSE),"")</f>
        <v/>
      </c>
    </row>
    <row r="14" spans="2:25" x14ac:dyDescent="0.25">
      <c r="B14" s="11" t="str">
        <f t="shared" si="0"/>
        <v/>
      </c>
      <c r="C14" s="12" t="str">
        <f>TEXT(tblHorasMar[Data],"ddd")</f>
        <v/>
      </c>
      <c r="D14" s="25"/>
      <c r="E14" s="1"/>
      <c r="F14" s="1"/>
      <c r="G14" s="1"/>
      <c r="H14" s="1"/>
      <c r="I14" s="53"/>
      <c r="J14" s="4">
        <f>IF($B$6&lt;&gt;"",
IF(AND(tblHorasMar[Evento 
(1º Período)]&lt;&gt;"",IF(ISERROR(VLOOKUP(tblHorasMar[Evento 
(1º Período)],tblEvento[],Tabelas!$D$1,FALSE)),FALSE,VLOOKUP(tblHorasMar[Evento 
(1º Período)],tblEvento[],Tabelas!$D$1,FALSE)="Sim")),
        IF(JORNADA_PERIODO_1&lt;&gt;"",
IF(VLOOKUP(tblHorasMar[Dia],tblDiaUtil[[Abreviatura]:[1º Período]],3,FALSE)&gt;0,VLOOKUP(tblHorasMar[Dia],tblDiaUtil[[Abreviatura]:[1º Período]],3,FALSE),JORNADA_PERIODO_1),
IF(VLOOKUP(tblHorasMar[Dia],tblDiaUtil[[Abreviatura]:[1º Período]],3,FALSE)&gt;0,VLOOKUP(tblHorasMar[Dia],tblDiaUtil[[Abreviatura]:[1º Período]],3,FALSE),JORNADA/2)),
        IF(AND(ISNUMBER(tblHorasMar[Saída - 1 (Almoço)]),ISNUMBER(tblHorasMar[Entrada - 1])),
              IF(OR(AND(tblHorasMar[Evento 
(1º Período)]&lt;&gt;"",IF(ISERROR(VLOOKUP(tblHorasMar[Evento 
(1º Período)],tblEvento[],Tabelas!$E$1,FALSE)),FALSE,VLOOKUP(tblHorasMar[Evento 
(1º Período)],tblEvento[],Tabelas!$E$1,FALSE)="Sim")),IF(VLOOKUP(TEXT(tblHorasMar[Data],"dddd"),tblDiaUtil[],2,FALSE)="Não",TRUE,FALSE)),
                   tblHorasMar[Saída - 1 (Almoço)]-tblHorasMar[Entrada - 1],
                   IF(OR(HOUR(tblHorasMar[Saída - 1 (Almoço)]-tblHorasMar[Entrada - 1])&gt;0,ROUND(tblHorasMar[Saída - 1 (Almoço)]-tblHorasMar[Entrada - 1],6)&gt;ROUND(CARENCIA,6)),
                          tblHorasMar[Saída - 1 (Almoço)]-tblHorasMar[Entrada - 1],
                          0)),
                    0)),0)</f>
        <v>0</v>
      </c>
      <c r="K14" s="4">
        <f>IF($B$6&lt;&gt;"",
IF(AND(tblHorasMar[Evento 
(2º Período)]&lt;&gt;"",IF(ISERROR(VLOOKUP(tblHorasMar[Evento 
(2º Período)],tblEvento[],Tabelas!$D$1,FALSE)),FALSE,VLOOKUP(tblHorasMar[Evento 
(2º Período)],tblEvento[],Tabelas!$D$1,FALSE)="Sim")),
        IF(JORNADA_PERIODO_2&lt;&gt;"",
IF(VLOOKUP(tblHorasMar[Dia],tblDiaUtil[[Abreviatura]:[2º Período]],4,FALSE)&gt;0,VLOOKUP(tblHorasMar[Dia],tblDiaUtil[[Abreviatura]:[2º Período]],4,FALSE),JORNADA_PERIODO_2),
IF(VLOOKUP(tblHorasMar[Dia],tblDiaUtil[[Abreviatura]:[2º Período]],4,FALSE)&gt;0,VLOOKUP(tblHorasMar[Dia],tblDiaUtil[[Abreviatura]:[2º Período]],4,FALSE),JORNADA/2)),
        IF(AND(ISNUMBER(tblHorasMar[Saída - 2]),ISNUMBER(tblHorasMar[Entrada - 2 (Almoço)])),
              IF(OR(AND(tblHorasMar[Evento 
(2º Período)]&lt;&gt;"",IF(ISERROR(VLOOKUP(tblHorasMar[Evento 
(2º Período)],tblEvento[],Tabelas!$E$1,FALSE)),FALSE,VLOOKUP(tblHorasMar[Evento 
(2º Período)],tblEvento[],Tabelas!$E$1,FALSE)="Sim")),IF(VLOOKUP(TEXT(tblHorasMar[Data],"dddd"),tblDiaUtil[],2,FALSE)="Não",TRUE,FALSE)),
                   tblHorasMar[Saída - 2]-tblHorasMar[Entrada - 2 (Almoço)],
                   IF(OR(HOUR(tblHorasMar[Saída - 2]-tblHorasMar[Entrada - 2 (Almoço)])&gt;0,MINUTE(tblHorasMar[Saída - 2]-tblHorasMar[Entrada - 2 (Almoço)])&gt;CARENCIA),
                         tblHorasMar[Saída - 2]-tblHorasMar[Entrada - 2 (Almoço)],
                         0)),
       0)),0)</f>
        <v>0</v>
      </c>
      <c r="L14" s="4">
        <f>tblHorasMar[Horas Trabalhadas (1º Período)]+tblHorasMar[Horas Trabalhadas (2º Período)]</f>
        <v>0</v>
      </c>
      <c r="M14" s="4" t="str">
        <f>IF(tblHorasMar[Data]&lt;&gt;"",
        IF(
AND(VLOOKUP(TEXT(tblHorasMar[Data],"dddd"),tblDiaUtil[],3,FALSE)="Sim",IF(tblHorasMar[Evento 
(1º Período)]&lt;&gt;"",IF(VLOOKUP(tblHorasMar[Evento 
(1º Período)],tblEvento[],Tabelas!$E$1,FALSE)="Sim",FALSE,TRUE),TRUE),IF(tblHorasMar[Evento 
(2º Período)]&lt;&gt;"",IF(VLOOKUP(tblHorasMar[Evento 
(2º Período)],tblEvento[],Tabelas!$E$1,FALSE)="Sim",FALSE,TRUE),TRUE)),
              IF(VLOOKUP(tblHorasMar[Dia],tblDiaUtil[[Abreviatura]:[1º Período]],3,FALSE)&gt;0,VLOOKUP(tblHorasMar[Dia],tblDiaUtil[[Abreviatura]:[1º Período]],3,FALSE),JORNADA),
              ""),
         "")</f>
        <v/>
      </c>
      <c r="N14" s="14">
        <f>IF(OR(tblHorasMar[Horas Trabalhadas (1º Período)]&lt;&gt;0,tblHorasMar[Horas Trabalhadas (2º Período)]&lt;&gt;0),
        IF(ISNUMBER(tblHorasMar[Jornada Diária]),
              IF(tblHorasMar[Jornada Diária]&gt;(tblHorasMar[Horas Trabalhadas (2º Período)]+tblHorasMar[Horas Trabalhadas (1º Período)]),
                     IF(ROUND((tblHorasMar[Jornada Diária]-(tblHorasMar[Horas Trabalhadas (2º Período)]+tblHorasMar[Horas Trabalhadas (1º Período)])),6)&gt;ROUND(CARENCIA,6),
                           -tblHorasMar[Jornada Diária]+(tblHorasMar[Horas Trabalhadas (2º Período)]+tblHorasMar[Horas Trabalhadas (1º Período)]),
                           0),
                      IF(ROUND((tblHorasMar[Jornada Diária]-(tblHorasMar[Horas Trabalhadas (2º Período)]+tblHorasMar[Horas Trabalhadas (1º Período)])),6)&lt;ROUND(-CARENCIA,6),
                           -tblHorasMar[Jornada Diária]+(tblHorasMar[Horas Trabalhadas (2º Período)]+tblHorasMar[Horas Trabalhadas (1º Período)]),
                           0)),
              tblHorasMar[Horas Trabalhadas (2º Período)]+tblHorasMar[Horas Trabalhadas (1º Período)]),
         IF(AND(IF(ISERROR(VLOOKUP(tblHorasMar[Evento 
(1º Período)],tblEvento[[Evento]:[Libera o Período]],4,FALSE)),FALSE,IF(VLOOKUP(tblHorasMar[Evento 
(1º Período)],tblEvento[[Evento]:[Libera o Período]],4,FALSE)="Não",TRUE,FALSE)),IF(ISERROR(VLOOKUP(tblHorasMar[Evento 
(2º Período)],tblEvento[[Evento]:[Libera o Período]],4,FALSE)),FALSE,IF(VLOOKUP(tblHorasMar[Evento 
(2º Período)],tblEvento[[Evento]:[Libera o Período]],4,FALSE)="Não",TRUE,FALSE))),
-IF(VLOOKUP(tblHorasMar[Dia],tblDiaUtil[[Abreviatura]:[Total Jornada]],5,FALSE)&lt;&gt;"",VLOOKUP(tblHorasMar[Dia],tblDiaUtil[[Abreviatura]:[Total Jornada]],5,FALSE),JORNADA),
IF(IF(ISERROR(VLOOKUP(tblHorasMar[Evento 
(1º Período)],tblEvento[[Evento]:[Libera o Período]],4,FALSE)),FALSE,
IF(VLOOKUP(tblHorasMar[Evento 
(1º Período)],tblEvento[[Evento]:[Libera o Período]],4,FALSE)="Não",TRUE,FALSE)
),
-IF(VLOOKUP(tblHorasMar[Dia],tblDiaUtil[[Abreviatura]:[1º Período]],3,FALSE)&lt;&gt;"",VLOOKUP(tblHorasMar[Dia],tblDiaUtil[[Abreviatura]:[1º Período]],3,FALSE),JORNADA_PERIODO_1),
IF(IF(ISERROR(VLOOKUP(tblHorasMar[Evento 
(2º Período)],tblEvento[[Evento]:[Libera o Período]],4,FALSE)),FALSE,IF(VLOOKUP(tblHorasMar[Evento 
(2º Período)],tblEvento[[Evento]:[Libera o Período]],4,FALSE)="Não",TRUE,FALSE)),
-IF(VLOOKUP(tblHorasMar[Dia],tblDiaUtil[[Abreviatura]:[2º Período]],4,FALSE)&lt;&gt;"",VLOOKUP(tblHorasMar[Dia],tblDiaUtil[[Abreviatura]:[2º Período]],4,FALSE),JORNADA_PERIODO_2),0))))</f>
        <v>0</v>
      </c>
      <c r="O14" s="14">
        <f>IF(tblHorasMar[Horas Trabalhadas Além Jornada]&gt;0,
        IF(ISNUMBER(tblHorasMar[Jornada Diária]),
              IF(HOUR(tblHorasMar[Horas Trabalhadas Além Jornada])&gt;=VLOOKUP(LIMITE,tblLimiteHora[],Tabelas!$I$1,FALSE),
                    VLOOKUP(LIMITE,tblLimiteHora[],Tabelas!$J$1,FALSE),
                    tblHorasMar[Horas Trabalhadas Além Jornada]),
              tblHorasMar[Horas Trabalhadas Além Jornada]),
        tblHorasMar[Horas Trabalhadas Além Jornada])+O13</f>
        <v>0</v>
      </c>
      <c r="P14" s="14" t="str">
        <f>IF(tblHorasMar[Horas Trabalhadas Além Jornada]&lt;0,IF(OR(tblHorasMar[Evento 
(1º Período)]="",tblHorasMar[Evento 
(2º Período)]=""),tblHorasMar[Horas Trabalhadas Além Jornada],""),"")</f>
        <v/>
      </c>
      <c r="Q14" s="14" t="str">
        <f>IF(tblHorasMar[Jornada Diária]&lt;&gt;"",IF((N(tblHorasMar[Jornada Diária])-ABS(N(tblHorasMar[Horas Trabalhadas Além Jornada])))=0,1,""),"")</f>
        <v/>
      </c>
      <c r="R14" s="14" t="str">
        <f>IF(tblHorasMar[Horas Trabalhadas Além Jornada]&gt;0,
IF(AND(VLOOKUP(TEXT(tblHorasMar[Data],"dddd"),tblDiaUtil[],3,FALSE)="Sim",IF(tblHorasMar[Evento 
(1º Período)]&lt;&gt;"",IF(VLOOKUP(tblHorasMar[Evento 
(1º Período)],tblEvento[],Tabelas!$E$1,FALSE)="Sim",FALSE,TRUE),TRUE),IF(tblHorasMar[Evento 
(2º Período)]&lt;&gt;"",IF(VLOOKUP(tblHorasMar[Evento 
(2º Período)],tblEvento[],Tabelas!$E$1,FALSE)="Sim",FALSE,TRUE),TRUE)),
tblHorasMar[Horas Trabalhadas Além Jornada],""),"")</f>
        <v/>
      </c>
      <c r="S14" s="14" t="str">
        <f>IF(tblHorasMar[Horas Trabalhadas Além Jornada]&gt;0,
IF(OR(VLOOKUP(TEXT(tblHorasMar[Data],"dddd"),tblDiaUtil[],3,FALSE)="Não",IF(tblHorasMar[Evento 
(1º Período)]&lt;&gt;"",IF(VLOOKUP(tblHorasMar[Evento 
(1º Período)],tblEvento[],Tabelas!$E$1,FALSE)="Sim",TRUE,FALSE),FALSE),IF(tblHorasMar[Evento 
(2º Período)]&lt;&gt;"",IF(VLOOKUP(tblHorasMar[Evento 
(2º Período)],tblEvento[],Tabelas!$E$1,FALSE)="Sim",TRUE,FALSE),FALSE)),
tblHorasMar[Horas Trabalhadas Além Jornada],""),"")</f>
        <v/>
      </c>
      <c r="T14" s="15" t="str">
        <f>IF(tblHorasMar[Evento 
(1º Período)]&lt;&gt;""," - " &amp;VLOOKUP(tblHorasMar[Evento 
(1º Período)],tblEvento[],Tabelas!$F$1,FALSE),"")&amp;IF(AND(tblHorasMar[Evento 
(2º Período)]&lt;&gt;"",tblHorasMar[Evento 
(2º Período)]&lt;&gt;tblHorasMar[Evento 
(1º Período)])," - " &amp; VLOOKUP(tblHorasMar[Evento 
(2º Período)],tblEvento[],Tabelas!$F$1,FALSE),"")</f>
        <v/>
      </c>
      <c r="X14" s="18"/>
      <c r="Y14" s="18"/>
    </row>
    <row r="15" spans="2:25" x14ac:dyDescent="0.25">
      <c r="B15" s="11" t="str">
        <f t="shared" si="0"/>
        <v/>
      </c>
      <c r="C15" s="12" t="str">
        <f>TEXT(tblHorasMar[Data],"ddd")</f>
        <v/>
      </c>
      <c r="D15" s="25"/>
      <c r="E15" s="1"/>
      <c r="F15" s="1"/>
      <c r="G15" s="1"/>
      <c r="H15" s="1"/>
      <c r="I15" s="53"/>
      <c r="J15" s="4">
        <f>IF($B$6&lt;&gt;"",
IF(AND(tblHorasMar[Evento 
(1º Período)]&lt;&gt;"",IF(ISERROR(VLOOKUP(tblHorasMar[Evento 
(1º Período)],tblEvento[],Tabelas!$D$1,FALSE)),FALSE,VLOOKUP(tblHorasMar[Evento 
(1º Período)],tblEvento[],Tabelas!$D$1,FALSE)="Sim")),
        IF(JORNADA_PERIODO_1&lt;&gt;"",
IF(VLOOKUP(tblHorasMar[Dia],tblDiaUtil[[Abreviatura]:[1º Período]],3,FALSE)&gt;0,VLOOKUP(tblHorasMar[Dia],tblDiaUtil[[Abreviatura]:[1º Período]],3,FALSE),JORNADA_PERIODO_1),
IF(VLOOKUP(tblHorasMar[Dia],tblDiaUtil[[Abreviatura]:[1º Período]],3,FALSE)&gt;0,VLOOKUP(tblHorasMar[Dia],tblDiaUtil[[Abreviatura]:[1º Período]],3,FALSE),JORNADA/2)),
        IF(AND(ISNUMBER(tblHorasMar[Saída - 1 (Almoço)]),ISNUMBER(tblHorasMar[Entrada - 1])),
              IF(OR(AND(tblHorasMar[Evento 
(1º Período)]&lt;&gt;"",IF(ISERROR(VLOOKUP(tblHorasMar[Evento 
(1º Período)],tblEvento[],Tabelas!$E$1,FALSE)),FALSE,VLOOKUP(tblHorasMar[Evento 
(1º Período)],tblEvento[],Tabelas!$E$1,FALSE)="Sim")),IF(VLOOKUP(TEXT(tblHorasMar[Data],"dddd"),tblDiaUtil[],2,FALSE)="Não",TRUE,FALSE)),
                   tblHorasMar[Saída - 1 (Almoço)]-tblHorasMar[Entrada - 1],
                   IF(OR(HOUR(tblHorasMar[Saída - 1 (Almoço)]-tblHorasMar[Entrada - 1])&gt;0,ROUND(tblHorasMar[Saída - 1 (Almoço)]-tblHorasMar[Entrada - 1],6)&gt;ROUND(CARENCIA,6)),
                          tblHorasMar[Saída - 1 (Almoço)]-tblHorasMar[Entrada - 1],
                          0)),
                    0)),0)</f>
        <v>0</v>
      </c>
      <c r="K15" s="4">
        <f>IF($B$6&lt;&gt;"",
IF(AND(tblHorasMar[Evento 
(2º Período)]&lt;&gt;"",IF(ISERROR(VLOOKUP(tblHorasMar[Evento 
(2º Período)],tblEvento[],Tabelas!$D$1,FALSE)),FALSE,VLOOKUP(tblHorasMar[Evento 
(2º Período)],tblEvento[],Tabelas!$D$1,FALSE)="Sim")),
        IF(JORNADA_PERIODO_2&lt;&gt;"",
IF(VLOOKUP(tblHorasMar[Dia],tblDiaUtil[[Abreviatura]:[2º Período]],4,FALSE)&gt;0,VLOOKUP(tblHorasMar[Dia],tblDiaUtil[[Abreviatura]:[2º Período]],4,FALSE),JORNADA_PERIODO_2),
IF(VLOOKUP(tblHorasMar[Dia],tblDiaUtil[[Abreviatura]:[2º Período]],4,FALSE)&gt;0,VLOOKUP(tblHorasMar[Dia],tblDiaUtil[[Abreviatura]:[2º Período]],4,FALSE),JORNADA/2)),
        IF(AND(ISNUMBER(tblHorasMar[Saída - 2]),ISNUMBER(tblHorasMar[Entrada - 2 (Almoço)])),
              IF(OR(AND(tblHorasMar[Evento 
(2º Período)]&lt;&gt;"",IF(ISERROR(VLOOKUP(tblHorasMar[Evento 
(2º Período)],tblEvento[],Tabelas!$E$1,FALSE)),FALSE,VLOOKUP(tblHorasMar[Evento 
(2º Período)],tblEvento[],Tabelas!$E$1,FALSE)="Sim")),IF(VLOOKUP(TEXT(tblHorasMar[Data],"dddd"),tblDiaUtil[],2,FALSE)="Não",TRUE,FALSE)),
                   tblHorasMar[Saída - 2]-tblHorasMar[Entrada - 2 (Almoço)],
                   IF(OR(HOUR(tblHorasMar[Saída - 2]-tblHorasMar[Entrada - 2 (Almoço)])&gt;0,MINUTE(tblHorasMar[Saída - 2]-tblHorasMar[Entrada - 2 (Almoço)])&gt;CARENCIA),
                         tblHorasMar[Saída - 2]-tblHorasMar[Entrada - 2 (Almoço)],
                         0)),
       0)),0)</f>
        <v>0</v>
      </c>
      <c r="L15" s="4">
        <f>tblHorasMar[Horas Trabalhadas (1º Período)]+tblHorasMar[Horas Trabalhadas (2º Período)]</f>
        <v>0</v>
      </c>
      <c r="M15" s="4" t="str">
        <f>IF(tblHorasMar[Data]&lt;&gt;"",
        IF(
AND(VLOOKUP(TEXT(tblHorasMar[Data],"dddd"),tblDiaUtil[],3,FALSE)="Sim",IF(tblHorasMar[Evento 
(1º Período)]&lt;&gt;"",IF(VLOOKUP(tblHorasMar[Evento 
(1º Período)],tblEvento[],Tabelas!$E$1,FALSE)="Sim",FALSE,TRUE),TRUE),IF(tblHorasMar[Evento 
(2º Período)]&lt;&gt;"",IF(VLOOKUP(tblHorasMar[Evento 
(2º Período)],tblEvento[],Tabelas!$E$1,FALSE)="Sim",FALSE,TRUE),TRUE)),
              IF(VLOOKUP(tblHorasMar[Dia],tblDiaUtil[[Abreviatura]:[1º Período]],3,FALSE)&gt;0,VLOOKUP(tblHorasMar[Dia],tblDiaUtil[[Abreviatura]:[1º Período]],3,FALSE),JORNADA),
              ""),
         "")</f>
        <v/>
      </c>
      <c r="N15" s="14">
        <f>IF(OR(tblHorasMar[Horas Trabalhadas (1º Período)]&lt;&gt;0,tblHorasMar[Horas Trabalhadas (2º Período)]&lt;&gt;0),
        IF(ISNUMBER(tblHorasMar[Jornada Diária]),
              IF(tblHorasMar[Jornada Diária]&gt;(tblHorasMar[Horas Trabalhadas (2º Período)]+tblHorasMar[Horas Trabalhadas (1º Período)]),
                     IF(ROUND((tblHorasMar[Jornada Diária]-(tblHorasMar[Horas Trabalhadas (2º Período)]+tblHorasMar[Horas Trabalhadas (1º Período)])),6)&gt;ROUND(CARENCIA,6),
                           -tblHorasMar[Jornada Diária]+(tblHorasMar[Horas Trabalhadas (2º Período)]+tblHorasMar[Horas Trabalhadas (1º Período)]),
                           0),
                      IF(ROUND((tblHorasMar[Jornada Diária]-(tblHorasMar[Horas Trabalhadas (2º Período)]+tblHorasMar[Horas Trabalhadas (1º Período)])),6)&lt;ROUND(-CARENCIA,6),
                           -tblHorasMar[Jornada Diária]+(tblHorasMar[Horas Trabalhadas (2º Período)]+tblHorasMar[Horas Trabalhadas (1º Período)]),
                           0)),
              tblHorasMar[Horas Trabalhadas (2º Período)]+tblHorasMar[Horas Trabalhadas (1º Período)]),
         IF(AND(IF(ISERROR(VLOOKUP(tblHorasMar[Evento 
(1º Período)],tblEvento[[Evento]:[Libera o Período]],4,FALSE)),FALSE,IF(VLOOKUP(tblHorasMar[Evento 
(1º Período)],tblEvento[[Evento]:[Libera o Período]],4,FALSE)="Não",TRUE,FALSE)),IF(ISERROR(VLOOKUP(tblHorasMar[Evento 
(2º Período)],tblEvento[[Evento]:[Libera o Período]],4,FALSE)),FALSE,IF(VLOOKUP(tblHorasMar[Evento 
(2º Período)],tblEvento[[Evento]:[Libera o Período]],4,FALSE)="Não",TRUE,FALSE))),
-IF(VLOOKUP(tblHorasMar[Dia],tblDiaUtil[[Abreviatura]:[Total Jornada]],5,FALSE)&lt;&gt;"",VLOOKUP(tblHorasMar[Dia],tblDiaUtil[[Abreviatura]:[Total Jornada]],5,FALSE),JORNADA),
IF(IF(ISERROR(VLOOKUP(tblHorasMar[Evento 
(1º Período)],tblEvento[[Evento]:[Libera o Período]],4,FALSE)),FALSE,
IF(VLOOKUP(tblHorasMar[Evento 
(1º Período)],tblEvento[[Evento]:[Libera o Período]],4,FALSE)="Não",TRUE,FALSE)
),
-IF(VLOOKUP(tblHorasMar[Dia],tblDiaUtil[[Abreviatura]:[1º Período]],3,FALSE)&lt;&gt;"",VLOOKUP(tblHorasMar[Dia],tblDiaUtil[[Abreviatura]:[1º Período]],3,FALSE),JORNADA_PERIODO_1),
IF(IF(ISERROR(VLOOKUP(tblHorasMar[Evento 
(2º Período)],tblEvento[[Evento]:[Libera o Período]],4,FALSE)),FALSE,IF(VLOOKUP(tblHorasMar[Evento 
(2º Período)],tblEvento[[Evento]:[Libera o Período]],4,FALSE)="Não",TRUE,FALSE)),
-IF(VLOOKUP(tblHorasMar[Dia],tblDiaUtil[[Abreviatura]:[2º Período]],4,FALSE)&lt;&gt;"",VLOOKUP(tblHorasMar[Dia],tblDiaUtil[[Abreviatura]:[2º Período]],4,FALSE),JORNADA_PERIODO_2),0))))</f>
        <v>0</v>
      </c>
      <c r="O15" s="14">
        <f>IF(tblHorasMar[Horas Trabalhadas Além Jornada]&gt;0,
        IF(ISNUMBER(tblHorasMar[Jornada Diária]),
              IF(HOUR(tblHorasMar[Horas Trabalhadas Além Jornada])&gt;=VLOOKUP(LIMITE,tblLimiteHora[],Tabelas!$I$1,FALSE),
                    VLOOKUP(LIMITE,tblLimiteHora[],Tabelas!$J$1,FALSE),
                    tblHorasMar[Horas Trabalhadas Além Jornada]),
              tblHorasMar[Horas Trabalhadas Além Jornada]),
        tblHorasMar[Horas Trabalhadas Além Jornada])+O14</f>
        <v>0</v>
      </c>
      <c r="P15" s="14" t="str">
        <f>IF(tblHorasMar[Horas Trabalhadas Além Jornada]&lt;0,IF(OR(tblHorasMar[Evento 
(1º Período)]="",tblHorasMar[Evento 
(2º Período)]=""),tblHorasMar[Horas Trabalhadas Além Jornada],""),"")</f>
        <v/>
      </c>
      <c r="Q15" s="14" t="str">
        <f>IF(tblHorasMar[Jornada Diária]&lt;&gt;"",IF((N(tblHorasMar[Jornada Diária])-ABS(N(tblHorasMar[Horas Trabalhadas Além Jornada])))=0,1,""),"")</f>
        <v/>
      </c>
      <c r="R15" s="14" t="str">
        <f>IF(tblHorasMar[Horas Trabalhadas Além Jornada]&gt;0,
IF(AND(VLOOKUP(TEXT(tblHorasMar[Data],"dddd"),tblDiaUtil[],3,FALSE)="Sim",IF(tblHorasMar[Evento 
(1º Período)]&lt;&gt;"",IF(VLOOKUP(tblHorasMar[Evento 
(1º Período)],tblEvento[],Tabelas!$E$1,FALSE)="Sim",FALSE,TRUE),TRUE),IF(tblHorasMar[Evento 
(2º Período)]&lt;&gt;"",IF(VLOOKUP(tblHorasMar[Evento 
(2º Período)],tblEvento[],Tabelas!$E$1,FALSE)="Sim",FALSE,TRUE),TRUE)),
tblHorasMar[Horas Trabalhadas Além Jornada],""),"")</f>
        <v/>
      </c>
      <c r="S15" s="14" t="str">
        <f>IF(tblHorasMar[Horas Trabalhadas Além Jornada]&gt;0,
IF(OR(VLOOKUP(TEXT(tblHorasMar[Data],"dddd"),tblDiaUtil[],3,FALSE)="Não",IF(tblHorasMar[Evento 
(1º Período)]&lt;&gt;"",IF(VLOOKUP(tblHorasMar[Evento 
(1º Período)],tblEvento[],Tabelas!$E$1,FALSE)="Sim",TRUE,FALSE),FALSE),IF(tblHorasMar[Evento 
(2º Período)]&lt;&gt;"",IF(VLOOKUP(tblHorasMar[Evento 
(2º Período)],tblEvento[],Tabelas!$E$1,FALSE)="Sim",TRUE,FALSE),FALSE)),
tblHorasMar[Horas Trabalhadas Além Jornada],""),"")</f>
        <v/>
      </c>
      <c r="T15" s="15" t="str">
        <f>IF(tblHorasMar[Evento 
(1º Período)]&lt;&gt;""," - " &amp;VLOOKUP(tblHorasMar[Evento 
(1º Período)],tblEvento[],Tabelas!$F$1,FALSE),"")&amp;IF(AND(tblHorasMar[Evento 
(2º Período)]&lt;&gt;"",tblHorasMar[Evento 
(2º Período)]&lt;&gt;tblHorasMar[Evento 
(1º Período)])," - " &amp; VLOOKUP(tblHorasMar[Evento 
(2º Período)],tblEvento[],Tabelas!$F$1,FALSE),"")</f>
        <v/>
      </c>
      <c r="X15" s="17"/>
    </row>
    <row r="16" spans="2:25" x14ac:dyDescent="0.25">
      <c r="B16" s="11" t="str">
        <f t="shared" si="0"/>
        <v/>
      </c>
      <c r="C16" s="12" t="str">
        <f>TEXT(tblHorasMar[Data],"ddd")</f>
        <v/>
      </c>
      <c r="D16" s="25"/>
      <c r="E16" s="1"/>
      <c r="F16" s="1"/>
      <c r="G16" s="1"/>
      <c r="H16" s="1"/>
      <c r="I16" s="53"/>
      <c r="J16" s="4">
        <f>IF($B$6&lt;&gt;"",
IF(AND(tblHorasMar[Evento 
(1º Período)]&lt;&gt;"",IF(ISERROR(VLOOKUP(tblHorasMar[Evento 
(1º Período)],tblEvento[],Tabelas!$D$1,FALSE)),FALSE,VLOOKUP(tblHorasMar[Evento 
(1º Período)],tblEvento[],Tabelas!$D$1,FALSE)="Sim")),
        IF(JORNADA_PERIODO_1&lt;&gt;"",
IF(VLOOKUP(tblHorasMar[Dia],tblDiaUtil[[Abreviatura]:[1º Período]],3,FALSE)&gt;0,VLOOKUP(tblHorasMar[Dia],tblDiaUtil[[Abreviatura]:[1º Período]],3,FALSE),JORNADA_PERIODO_1),
IF(VLOOKUP(tblHorasMar[Dia],tblDiaUtil[[Abreviatura]:[1º Período]],3,FALSE)&gt;0,VLOOKUP(tblHorasMar[Dia],tblDiaUtil[[Abreviatura]:[1º Período]],3,FALSE),JORNADA/2)),
        IF(AND(ISNUMBER(tblHorasMar[Saída - 1 (Almoço)]),ISNUMBER(tblHorasMar[Entrada - 1])),
              IF(OR(AND(tblHorasMar[Evento 
(1º Período)]&lt;&gt;"",IF(ISERROR(VLOOKUP(tblHorasMar[Evento 
(1º Período)],tblEvento[],Tabelas!$E$1,FALSE)),FALSE,VLOOKUP(tblHorasMar[Evento 
(1º Período)],tblEvento[],Tabelas!$E$1,FALSE)="Sim")),IF(VLOOKUP(TEXT(tblHorasMar[Data],"dddd"),tblDiaUtil[],2,FALSE)="Não",TRUE,FALSE)),
                   tblHorasMar[Saída - 1 (Almoço)]-tblHorasMar[Entrada - 1],
                   IF(OR(HOUR(tblHorasMar[Saída - 1 (Almoço)]-tblHorasMar[Entrada - 1])&gt;0,ROUND(tblHorasMar[Saída - 1 (Almoço)]-tblHorasMar[Entrada - 1],6)&gt;ROUND(CARENCIA,6)),
                          tblHorasMar[Saída - 1 (Almoço)]-tblHorasMar[Entrada - 1],
                          0)),
                    0)),0)</f>
        <v>0</v>
      </c>
      <c r="K16" s="4">
        <f>IF($B$6&lt;&gt;"",
IF(AND(tblHorasMar[Evento 
(2º Período)]&lt;&gt;"",IF(ISERROR(VLOOKUP(tblHorasMar[Evento 
(2º Período)],tblEvento[],Tabelas!$D$1,FALSE)),FALSE,VLOOKUP(tblHorasMar[Evento 
(2º Período)],tblEvento[],Tabelas!$D$1,FALSE)="Sim")),
        IF(JORNADA_PERIODO_2&lt;&gt;"",
IF(VLOOKUP(tblHorasMar[Dia],tblDiaUtil[[Abreviatura]:[2º Período]],4,FALSE)&gt;0,VLOOKUP(tblHorasMar[Dia],tblDiaUtil[[Abreviatura]:[2º Período]],4,FALSE),JORNADA_PERIODO_2),
IF(VLOOKUP(tblHorasMar[Dia],tblDiaUtil[[Abreviatura]:[2º Período]],4,FALSE)&gt;0,VLOOKUP(tblHorasMar[Dia],tblDiaUtil[[Abreviatura]:[2º Período]],4,FALSE),JORNADA/2)),
        IF(AND(ISNUMBER(tblHorasMar[Saída - 2]),ISNUMBER(tblHorasMar[Entrada - 2 (Almoço)])),
              IF(OR(AND(tblHorasMar[Evento 
(2º Período)]&lt;&gt;"",IF(ISERROR(VLOOKUP(tblHorasMar[Evento 
(2º Período)],tblEvento[],Tabelas!$E$1,FALSE)),FALSE,VLOOKUP(tblHorasMar[Evento 
(2º Período)],tblEvento[],Tabelas!$E$1,FALSE)="Sim")),IF(VLOOKUP(TEXT(tblHorasMar[Data],"dddd"),tblDiaUtil[],2,FALSE)="Não",TRUE,FALSE)),
                   tblHorasMar[Saída - 2]-tblHorasMar[Entrada - 2 (Almoço)],
                   IF(OR(HOUR(tblHorasMar[Saída - 2]-tblHorasMar[Entrada - 2 (Almoço)])&gt;0,MINUTE(tblHorasMar[Saída - 2]-tblHorasMar[Entrada - 2 (Almoço)])&gt;CARENCIA),
                         tblHorasMar[Saída - 2]-tblHorasMar[Entrada - 2 (Almoço)],
                         0)),
       0)),0)</f>
        <v>0</v>
      </c>
      <c r="L16" s="4">
        <f>tblHorasMar[Horas Trabalhadas (1º Período)]+tblHorasMar[Horas Trabalhadas (2º Período)]</f>
        <v>0</v>
      </c>
      <c r="M16" s="4" t="str">
        <f>IF(tblHorasMar[Data]&lt;&gt;"",
        IF(
AND(VLOOKUP(TEXT(tblHorasMar[Data],"dddd"),tblDiaUtil[],3,FALSE)="Sim",IF(tblHorasMar[Evento 
(1º Período)]&lt;&gt;"",IF(VLOOKUP(tblHorasMar[Evento 
(1º Período)],tblEvento[],Tabelas!$E$1,FALSE)="Sim",FALSE,TRUE),TRUE),IF(tblHorasMar[Evento 
(2º Período)]&lt;&gt;"",IF(VLOOKUP(tblHorasMar[Evento 
(2º Período)],tblEvento[],Tabelas!$E$1,FALSE)="Sim",FALSE,TRUE),TRUE)),
              IF(VLOOKUP(tblHorasMar[Dia],tblDiaUtil[[Abreviatura]:[1º Período]],3,FALSE)&gt;0,VLOOKUP(tblHorasMar[Dia],tblDiaUtil[[Abreviatura]:[1º Período]],3,FALSE),JORNADA),
              ""),
         "")</f>
        <v/>
      </c>
      <c r="N16" s="14">
        <f>IF(OR(tblHorasMar[Horas Trabalhadas (1º Período)]&lt;&gt;0,tblHorasMar[Horas Trabalhadas (2º Período)]&lt;&gt;0),
        IF(ISNUMBER(tblHorasMar[Jornada Diária]),
              IF(tblHorasMar[Jornada Diária]&gt;(tblHorasMar[Horas Trabalhadas (2º Período)]+tblHorasMar[Horas Trabalhadas (1º Período)]),
                     IF(ROUND((tblHorasMar[Jornada Diária]-(tblHorasMar[Horas Trabalhadas (2º Período)]+tblHorasMar[Horas Trabalhadas (1º Período)])),6)&gt;ROUND(CARENCIA,6),
                           -tblHorasMar[Jornada Diária]+(tblHorasMar[Horas Trabalhadas (2º Período)]+tblHorasMar[Horas Trabalhadas (1º Período)]),
                           0),
                      IF(ROUND((tblHorasMar[Jornada Diária]-(tblHorasMar[Horas Trabalhadas (2º Período)]+tblHorasMar[Horas Trabalhadas (1º Período)])),6)&lt;ROUND(-CARENCIA,6),
                           -tblHorasMar[Jornada Diária]+(tblHorasMar[Horas Trabalhadas (2º Período)]+tblHorasMar[Horas Trabalhadas (1º Período)]),
                           0)),
              tblHorasMar[Horas Trabalhadas (2º Período)]+tblHorasMar[Horas Trabalhadas (1º Período)]),
         IF(AND(IF(ISERROR(VLOOKUP(tblHorasMar[Evento 
(1º Período)],tblEvento[[Evento]:[Libera o Período]],4,FALSE)),FALSE,IF(VLOOKUP(tblHorasMar[Evento 
(1º Período)],tblEvento[[Evento]:[Libera o Período]],4,FALSE)="Não",TRUE,FALSE)),IF(ISERROR(VLOOKUP(tblHorasMar[Evento 
(2º Período)],tblEvento[[Evento]:[Libera o Período]],4,FALSE)),FALSE,IF(VLOOKUP(tblHorasMar[Evento 
(2º Período)],tblEvento[[Evento]:[Libera o Período]],4,FALSE)="Não",TRUE,FALSE))),
-IF(VLOOKUP(tblHorasMar[Dia],tblDiaUtil[[Abreviatura]:[Total Jornada]],5,FALSE)&lt;&gt;"",VLOOKUP(tblHorasMar[Dia],tblDiaUtil[[Abreviatura]:[Total Jornada]],5,FALSE),JORNADA),
IF(IF(ISERROR(VLOOKUP(tblHorasMar[Evento 
(1º Período)],tblEvento[[Evento]:[Libera o Período]],4,FALSE)),FALSE,
IF(VLOOKUP(tblHorasMar[Evento 
(1º Período)],tblEvento[[Evento]:[Libera o Período]],4,FALSE)="Não",TRUE,FALSE)
),
-IF(VLOOKUP(tblHorasMar[Dia],tblDiaUtil[[Abreviatura]:[1º Período]],3,FALSE)&lt;&gt;"",VLOOKUP(tblHorasMar[Dia],tblDiaUtil[[Abreviatura]:[1º Período]],3,FALSE),JORNADA_PERIODO_1),
IF(IF(ISERROR(VLOOKUP(tblHorasMar[Evento 
(2º Período)],tblEvento[[Evento]:[Libera o Período]],4,FALSE)),FALSE,IF(VLOOKUP(tblHorasMar[Evento 
(2º Período)],tblEvento[[Evento]:[Libera o Período]],4,FALSE)="Não",TRUE,FALSE)),
-IF(VLOOKUP(tblHorasMar[Dia],tblDiaUtil[[Abreviatura]:[2º Período]],4,FALSE)&lt;&gt;"",VLOOKUP(tblHorasMar[Dia],tblDiaUtil[[Abreviatura]:[2º Período]],4,FALSE),JORNADA_PERIODO_2),0))))</f>
        <v>0</v>
      </c>
      <c r="O16" s="14">
        <f>IF(tblHorasMar[Horas Trabalhadas Além Jornada]&gt;0,
        IF(ISNUMBER(tblHorasMar[Jornada Diária]),
              IF(HOUR(tblHorasMar[Horas Trabalhadas Além Jornada])&gt;=VLOOKUP(LIMITE,tblLimiteHora[],Tabelas!$I$1,FALSE),
                    VLOOKUP(LIMITE,tblLimiteHora[],Tabelas!$J$1,FALSE),
                    tblHorasMar[Horas Trabalhadas Além Jornada]),
              tblHorasMar[Horas Trabalhadas Além Jornada]),
        tblHorasMar[Horas Trabalhadas Além Jornada])+O15</f>
        <v>0</v>
      </c>
      <c r="P16" s="14" t="str">
        <f>IF(tblHorasMar[Horas Trabalhadas Além Jornada]&lt;0,IF(OR(tblHorasMar[Evento 
(1º Período)]="",tblHorasMar[Evento 
(2º Período)]=""),tblHorasMar[Horas Trabalhadas Além Jornada],""),"")</f>
        <v/>
      </c>
      <c r="Q16" s="14" t="str">
        <f>IF(tblHorasMar[Jornada Diária]&lt;&gt;"",IF((N(tblHorasMar[Jornada Diária])-ABS(N(tblHorasMar[Horas Trabalhadas Além Jornada])))=0,1,""),"")</f>
        <v/>
      </c>
      <c r="R16" s="14" t="str">
        <f>IF(tblHorasMar[Horas Trabalhadas Além Jornada]&gt;0,
IF(AND(VLOOKUP(TEXT(tblHorasMar[Data],"dddd"),tblDiaUtil[],3,FALSE)="Sim",IF(tblHorasMar[Evento 
(1º Período)]&lt;&gt;"",IF(VLOOKUP(tblHorasMar[Evento 
(1º Período)],tblEvento[],Tabelas!$E$1,FALSE)="Sim",FALSE,TRUE),TRUE),IF(tblHorasMar[Evento 
(2º Período)]&lt;&gt;"",IF(VLOOKUP(tblHorasMar[Evento 
(2º Período)],tblEvento[],Tabelas!$E$1,FALSE)="Sim",FALSE,TRUE),TRUE)),
tblHorasMar[Horas Trabalhadas Além Jornada],""),"")</f>
        <v/>
      </c>
      <c r="S16" s="14" t="str">
        <f>IF(tblHorasMar[Horas Trabalhadas Além Jornada]&gt;0,
IF(OR(VLOOKUP(TEXT(tblHorasMar[Data],"dddd"),tblDiaUtil[],3,FALSE)="Não",IF(tblHorasMar[Evento 
(1º Período)]&lt;&gt;"",IF(VLOOKUP(tblHorasMar[Evento 
(1º Período)],tblEvento[],Tabelas!$E$1,FALSE)="Sim",TRUE,FALSE),FALSE),IF(tblHorasMar[Evento 
(2º Período)]&lt;&gt;"",IF(VLOOKUP(tblHorasMar[Evento 
(2º Período)],tblEvento[],Tabelas!$E$1,FALSE)="Sim",TRUE,FALSE),FALSE)),
tblHorasMar[Horas Trabalhadas Além Jornada],""),"")</f>
        <v/>
      </c>
      <c r="T16" s="15" t="str">
        <f>IF(tblHorasMar[Evento 
(1º Período)]&lt;&gt;""," - " &amp;VLOOKUP(tblHorasMar[Evento 
(1º Período)],tblEvento[],Tabelas!$F$1,FALSE),"")&amp;IF(AND(tblHorasMar[Evento 
(2º Período)]&lt;&gt;"",tblHorasMar[Evento 
(2º Período)]&lt;&gt;tblHorasMar[Evento 
(1º Período)])," - " &amp; VLOOKUP(tblHorasMar[Evento 
(2º Período)],tblEvento[],Tabelas!$F$1,FALSE),"")</f>
        <v/>
      </c>
    </row>
    <row r="17" spans="2:20" x14ac:dyDescent="0.25">
      <c r="B17" s="11" t="str">
        <f t="shared" si="0"/>
        <v/>
      </c>
      <c r="C17" s="12" t="str">
        <f>TEXT(tblHorasMar[Data],"ddd")</f>
        <v/>
      </c>
      <c r="D17" s="25"/>
      <c r="E17" s="1"/>
      <c r="F17" s="1"/>
      <c r="G17" s="1"/>
      <c r="H17" s="1"/>
      <c r="I17" s="53"/>
      <c r="J17" s="4">
        <f>IF($B$6&lt;&gt;"",
IF(AND(tblHorasMar[Evento 
(1º Período)]&lt;&gt;"",IF(ISERROR(VLOOKUP(tblHorasMar[Evento 
(1º Período)],tblEvento[],Tabelas!$D$1,FALSE)),FALSE,VLOOKUP(tblHorasMar[Evento 
(1º Período)],tblEvento[],Tabelas!$D$1,FALSE)="Sim")),
        IF(JORNADA_PERIODO_1&lt;&gt;"",
IF(VLOOKUP(tblHorasMar[Dia],tblDiaUtil[[Abreviatura]:[1º Período]],3,FALSE)&gt;0,VLOOKUP(tblHorasMar[Dia],tblDiaUtil[[Abreviatura]:[1º Período]],3,FALSE),JORNADA_PERIODO_1),
IF(VLOOKUP(tblHorasMar[Dia],tblDiaUtil[[Abreviatura]:[1º Período]],3,FALSE)&gt;0,VLOOKUP(tblHorasMar[Dia],tblDiaUtil[[Abreviatura]:[1º Período]],3,FALSE),JORNADA/2)),
        IF(AND(ISNUMBER(tblHorasMar[Saída - 1 (Almoço)]),ISNUMBER(tblHorasMar[Entrada - 1])),
              IF(OR(AND(tblHorasMar[Evento 
(1º Período)]&lt;&gt;"",IF(ISERROR(VLOOKUP(tblHorasMar[Evento 
(1º Período)],tblEvento[],Tabelas!$E$1,FALSE)),FALSE,VLOOKUP(tblHorasMar[Evento 
(1º Período)],tblEvento[],Tabelas!$E$1,FALSE)="Sim")),IF(VLOOKUP(TEXT(tblHorasMar[Data],"dddd"),tblDiaUtil[],2,FALSE)="Não",TRUE,FALSE)),
                   tblHorasMar[Saída - 1 (Almoço)]-tblHorasMar[Entrada - 1],
                   IF(OR(HOUR(tblHorasMar[Saída - 1 (Almoço)]-tblHorasMar[Entrada - 1])&gt;0,ROUND(tblHorasMar[Saída - 1 (Almoço)]-tblHorasMar[Entrada - 1],6)&gt;ROUND(CARENCIA,6)),
                          tblHorasMar[Saída - 1 (Almoço)]-tblHorasMar[Entrada - 1],
                          0)),
                    0)),0)</f>
        <v>0</v>
      </c>
      <c r="K17" s="4">
        <f>IF($B$6&lt;&gt;"",
IF(AND(tblHorasMar[Evento 
(2º Período)]&lt;&gt;"",IF(ISERROR(VLOOKUP(tblHorasMar[Evento 
(2º Período)],tblEvento[],Tabelas!$D$1,FALSE)),FALSE,VLOOKUP(tblHorasMar[Evento 
(2º Período)],tblEvento[],Tabelas!$D$1,FALSE)="Sim")),
        IF(JORNADA_PERIODO_2&lt;&gt;"",
IF(VLOOKUP(tblHorasMar[Dia],tblDiaUtil[[Abreviatura]:[2º Período]],4,FALSE)&gt;0,VLOOKUP(tblHorasMar[Dia],tblDiaUtil[[Abreviatura]:[2º Período]],4,FALSE),JORNADA_PERIODO_2),
IF(VLOOKUP(tblHorasMar[Dia],tblDiaUtil[[Abreviatura]:[2º Período]],4,FALSE)&gt;0,VLOOKUP(tblHorasMar[Dia],tblDiaUtil[[Abreviatura]:[2º Período]],4,FALSE),JORNADA/2)),
        IF(AND(ISNUMBER(tblHorasMar[Saída - 2]),ISNUMBER(tblHorasMar[Entrada - 2 (Almoço)])),
              IF(OR(AND(tblHorasMar[Evento 
(2º Período)]&lt;&gt;"",IF(ISERROR(VLOOKUP(tblHorasMar[Evento 
(2º Período)],tblEvento[],Tabelas!$E$1,FALSE)),FALSE,VLOOKUP(tblHorasMar[Evento 
(2º Período)],tblEvento[],Tabelas!$E$1,FALSE)="Sim")),IF(VLOOKUP(TEXT(tblHorasMar[Data],"dddd"),tblDiaUtil[],2,FALSE)="Não",TRUE,FALSE)),
                   tblHorasMar[Saída - 2]-tblHorasMar[Entrada - 2 (Almoço)],
                   IF(OR(HOUR(tblHorasMar[Saída - 2]-tblHorasMar[Entrada - 2 (Almoço)])&gt;0,MINUTE(tblHorasMar[Saída - 2]-tblHorasMar[Entrada - 2 (Almoço)])&gt;CARENCIA),
                         tblHorasMar[Saída - 2]-tblHorasMar[Entrada - 2 (Almoço)],
                         0)),
       0)),0)</f>
        <v>0</v>
      </c>
      <c r="L17" s="4">
        <f>tblHorasMar[Horas Trabalhadas (1º Período)]+tblHorasMar[Horas Trabalhadas (2º Período)]</f>
        <v>0</v>
      </c>
      <c r="M17" s="4" t="str">
        <f>IF(tblHorasMar[Data]&lt;&gt;"",
        IF(
AND(VLOOKUP(TEXT(tblHorasMar[Data],"dddd"),tblDiaUtil[],3,FALSE)="Sim",IF(tblHorasMar[Evento 
(1º Período)]&lt;&gt;"",IF(VLOOKUP(tblHorasMar[Evento 
(1º Período)],tblEvento[],Tabelas!$E$1,FALSE)="Sim",FALSE,TRUE),TRUE),IF(tblHorasMar[Evento 
(2º Período)]&lt;&gt;"",IF(VLOOKUP(tblHorasMar[Evento 
(2º Período)],tblEvento[],Tabelas!$E$1,FALSE)="Sim",FALSE,TRUE),TRUE)),
              IF(VLOOKUP(tblHorasMar[Dia],tblDiaUtil[[Abreviatura]:[1º Período]],3,FALSE)&gt;0,VLOOKUP(tblHorasMar[Dia],tblDiaUtil[[Abreviatura]:[1º Período]],3,FALSE),JORNADA),
              ""),
         "")</f>
        <v/>
      </c>
      <c r="N17" s="14">
        <f>IF(OR(tblHorasMar[Horas Trabalhadas (1º Período)]&lt;&gt;0,tblHorasMar[Horas Trabalhadas (2º Período)]&lt;&gt;0),
        IF(ISNUMBER(tblHorasMar[Jornada Diária]),
              IF(tblHorasMar[Jornada Diária]&gt;(tblHorasMar[Horas Trabalhadas (2º Período)]+tblHorasMar[Horas Trabalhadas (1º Período)]),
                     IF(ROUND((tblHorasMar[Jornada Diária]-(tblHorasMar[Horas Trabalhadas (2º Período)]+tblHorasMar[Horas Trabalhadas (1º Período)])),6)&gt;ROUND(CARENCIA,6),
                           -tblHorasMar[Jornada Diária]+(tblHorasMar[Horas Trabalhadas (2º Período)]+tblHorasMar[Horas Trabalhadas (1º Período)]),
                           0),
                      IF(ROUND((tblHorasMar[Jornada Diária]-(tblHorasMar[Horas Trabalhadas (2º Período)]+tblHorasMar[Horas Trabalhadas (1º Período)])),6)&lt;ROUND(-CARENCIA,6),
                           -tblHorasMar[Jornada Diária]+(tblHorasMar[Horas Trabalhadas (2º Período)]+tblHorasMar[Horas Trabalhadas (1º Período)]),
                           0)),
              tblHorasMar[Horas Trabalhadas (2º Período)]+tblHorasMar[Horas Trabalhadas (1º Período)]),
         IF(AND(IF(ISERROR(VLOOKUP(tblHorasMar[Evento 
(1º Período)],tblEvento[[Evento]:[Libera o Período]],4,FALSE)),FALSE,IF(VLOOKUP(tblHorasMar[Evento 
(1º Período)],tblEvento[[Evento]:[Libera o Período]],4,FALSE)="Não",TRUE,FALSE)),IF(ISERROR(VLOOKUP(tblHorasMar[Evento 
(2º Período)],tblEvento[[Evento]:[Libera o Período]],4,FALSE)),FALSE,IF(VLOOKUP(tblHorasMar[Evento 
(2º Período)],tblEvento[[Evento]:[Libera o Período]],4,FALSE)="Não",TRUE,FALSE))),
-IF(VLOOKUP(tblHorasMar[Dia],tblDiaUtil[[Abreviatura]:[Total Jornada]],5,FALSE)&lt;&gt;"",VLOOKUP(tblHorasMar[Dia],tblDiaUtil[[Abreviatura]:[Total Jornada]],5,FALSE),JORNADA),
IF(IF(ISERROR(VLOOKUP(tblHorasMar[Evento 
(1º Período)],tblEvento[[Evento]:[Libera o Período]],4,FALSE)),FALSE,
IF(VLOOKUP(tblHorasMar[Evento 
(1º Período)],tblEvento[[Evento]:[Libera o Período]],4,FALSE)="Não",TRUE,FALSE)
),
-IF(VLOOKUP(tblHorasMar[Dia],tblDiaUtil[[Abreviatura]:[1º Período]],3,FALSE)&lt;&gt;"",VLOOKUP(tblHorasMar[Dia],tblDiaUtil[[Abreviatura]:[1º Período]],3,FALSE),JORNADA_PERIODO_1),
IF(IF(ISERROR(VLOOKUP(tblHorasMar[Evento 
(2º Período)],tblEvento[[Evento]:[Libera o Período]],4,FALSE)),FALSE,IF(VLOOKUP(tblHorasMar[Evento 
(2º Período)],tblEvento[[Evento]:[Libera o Período]],4,FALSE)="Não",TRUE,FALSE)),
-IF(VLOOKUP(tblHorasMar[Dia],tblDiaUtil[[Abreviatura]:[2º Período]],4,FALSE)&lt;&gt;"",VLOOKUP(tblHorasMar[Dia],tblDiaUtil[[Abreviatura]:[2º Período]],4,FALSE),JORNADA_PERIODO_2),0))))</f>
        <v>0</v>
      </c>
      <c r="O17" s="14">
        <f>IF(tblHorasMar[Horas Trabalhadas Além Jornada]&gt;0,
        IF(ISNUMBER(tblHorasMar[Jornada Diária]),
              IF(HOUR(tblHorasMar[Horas Trabalhadas Além Jornada])&gt;=VLOOKUP(LIMITE,tblLimiteHora[],Tabelas!$I$1,FALSE),
                    VLOOKUP(LIMITE,tblLimiteHora[],Tabelas!$J$1,FALSE),
                    tblHorasMar[Horas Trabalhadas Além Jornada]),
              tblHorasMar[Horas Trabalhadas Além Jornada]),
        tblHorasMar[Horas Trabalhadas Além Jornada])+O16</f>
        <v>0</v>
      </c>
      <c r="P17" s="14" t="str">
        <f>IF(tblHorasMar[Horas Trabalhadas Além Jornada]&lt;0,IF(OR(tblHorasMar[Evento 
(1º Período)]="",tblHorasMar[Evento 
(2º Período)]=""),tblHorasMar[Horas Trabalhadas Além Jornada],""),"")</f>
        <v/>
      </c>
      <c r="Q17" s="14" t="str">
        <f>IF(tblHorasMar[Jornada Diária]&lt;&gt;"",IF((N(tblHorasMar[Jornada Diária])-ABS(N(tblHorasMar[Horas Trabalhadas Além Jornada])))=0,1,""),"")</f>
        <v/>
      </c>
      <c r="R17" s="14" t="str">
        <f>IF(tblHorasMar[Horas Trabalhadas Além Jornada]&gt;0,
IF(AND(VLOOKUP(TEXT(tblHorasMar[Data],"dddd"),tblDiaUtil[],3,FALSE)="Sim",IF(tblHorasMar[Evento 
(1º Período)]&lt;&gt;"",IF(VLOOKUP(tblHorasMar[Evento 
(1º Período)],tblEvento[],Tabelas!$E$1,FALSE)="Sim",FALSE,TRUE),TRUE),IF(tblHorasMar[Evento 
(2º Período)]&lt;&gt;"",IF(VLOOKUP(tblHorasMar[Evento 
(2º Período)],tblEvento[],Tabelas!$E$1,FALSE)="Sim",FALSE,TRUE),TRUE)),
tblHorasMar[Horas Trabalhadas Além Jornada],""),"")</f>
        <v/>
      </c>
      <c r="S17" s="14" t="str">
        <f>IF(tblHorasMar[Horas Trabalhadas Além Jornada]&gt;0,
IF(OR(VLOOKUP(TEXT(tblHorasMar[Data],"dddd"),tblDiaUtil[],3,FALSE)="Não",IF(tblHorasMar[Evento 
(1º Período)]&lt;&gt;"",IF(VLOOKUP(tblHorasMar[Evento 
(1º Período)],tblEvento[],Tabelas!$E$1,FALSE)="Sim",TRUE,FALSE),FALSE),IF(tblHorasMar[Evento 
(2º Período)]&lt;&gt;"",IF(VLOOKUP(tblHorasMar[Evento 
(2º Período)],tblEvento[],Tabelas!$E$1,FALSE)="Sim",TRUE,FALSE),FALSE)),
tblHorasMar[Horas Trabalhadas Além Jornada],""),"")</f>
        <v/>
      </c>
      <c r="T17" s="15" t="str">
        <f>IF(tblHorasMar[Evento 
(1º Período)]&lt;&gt;""," - " &amp;VLOOKUP(tblHorasMar[Evento 
(1º Período)],tblEvento[],Tabelas!$F$1,FALSE),"")&amp;IF(AND(tblHorasMar[Evento 
(2º Período)]&lt;&gt;"",tblHorasMar[Evento 
(2º Período)]&lt;&gt;tblHorasMar[Evento 
(1º Período)])," - " &amp; VLOOKUP(tblHorasMar[Evento 
(2º Período)],tblEvento[],Tabelas!$F$1,FALSE),"")</f>
        <v/>
      </c>
    </row>
    <row r="18" spans="2:20" x14ac:dyDescent="0.25">
      <c r="B18" s="11" t="str">
        <f t="shared" si="0"/>
        <v/>
      </c>
      <c r="C18" s="12" t="str">
        <f>TEXT(tblHorasMar[Data],"ddd")</f>
        <v/>
      </c>
      <c r="D18" s="25"/>
      <c r="E18" s="1"/>
      <c r="F18" s="1"/>
      <c r="G18" s="1"/>
      <c r="H18" s="1"/>
      <c r="I18" s="53"/>
      <c r="J18" s="4">
        <f>IF($B$6&lt;&gt;"",
IF(AND(tblHorasMar[Evento 
(1º Período)]&lt;&gt;"",IF(ISERROR(VLOOKUP(tblHorasMar[Evento 
(1º Período)],tblEvento[],Tabelas!$D$1,FALSE)),FALSE,VLOOKUP(tblHorasMar[Evento 
(1º Período)],tblEvento[],Tabelas!$D$1,FALSE)="Sim")),
        IF(JORNADA_PERIODO_1&lt;&gt;"",
IF(VLOOKUP(tblHorasMar[Dia],tblDiaUtil[[Abreviatura]:[1º Período]],3,FALSE)&gt;0,VLOOKUP(tblHorasMar[Dia],tblDiaUtil[[Abreviatura]:[1º Período]],3,FALSE),JORNADA_PERIODO_1),
IF(VLOOKUP(tblHorasMar[Dia],tblDiaUtil[[Abreviatura]:[1º Período]],3,FALSE)&gt;0,VLOOKUP(tblHorasMar[Dia],tblDiaUtil[[Abreviatura]:[1º Período]],3,FALSE),JORNADA/2)),
        IF(AND(ISNUMBER(tblHorasMar[Saída - 1 (Almoço)]),ISNUMBER(tblHorasMar[Entrada - 1])),
              IF(OR(AND(tblHorasMar[Evento 
(1º Período)]&lt;&gt;"",IF(ISERROR(VLOOKUP(tblHorasMar[Evento 
(1º Período)],tblEvento[],Tabelas!$E$1,FALSE)),FALSE,VLOOKUP(tblHorasMar[Evento 
(1º Período)],tblEvento[],Tabelas!$E$1,FALSE)="Sim")),IF(VLOOKUP(TEXT(tblHorasMar[Data],"dddd"),tblDiaUtil[],2,FALSE)="Não",TRUE,FALSE)),
                   tblHorasMar[Saída - 1 (Almoço)]-tblHorasMar[Entrada - 1],
                   IF(OR(HOUR(tblHorasMar[Saída - 1 (Almoço)]-tblHorasMar[Entrada - 1])&gt;0,ROUND(tblHorasMar[Saída - 1 (Almoço)]-tblHorasMar[Entrada - 1],6)&gt;ROUND(CARENCIA,6)),
                          tblHorasMar[Saída - 1 (Almoço)]-tblHorasMar[Entrada - 1],
                          0)),
                    0)),0)</f>
        <v>0</v>
      </c>
      <c r="K18" s="4">
        <f>IF($B$6&lt;&gt;"",
IF(AND(tblHorasMar[Evento 
(2º Período)]&lt;&gt;"",IF(ISERROR(VLOOKUP(tblHorasMar[Evento 
(2º Período)],tblEvento[],Tabelas!$D$1,FALSE)),FALSE,VLOOKUP(tblHorasMar[Evento 
(2º Período)],tblEvento[],Tabelas!$D$1,FALSE)="Sim")),
        IF(JORNADA_PERIODO_2&lt;&gt;"",
IF(VLOOKUP(tblHorasMar[Dia],tblDiaUtil[[Abreviatura]:[2º Período]],4,FALSE)&gt;0,VLOOKUP(tblHorasMar[Dia],tblDiaUtil[[Abreviatura]:[2º Período]],4,FALSE),JORNADA_PERIODO_2),
IF(VLOOKUP(tblHorasMar[Dia],tblDiaUtil[[Abreviatura]:[2º Período]],4,FALSE)&gt;0,VLOOKUP(tblHorasMar[Dia],tblDiaUtil[[Abreviatura]:[2º Período]],4,FALSE),JORNADA/2)),
        IF(AND(ISNUMBER(tblHorasMar[Saída - 2]),ISNUMBER(tblHorasMar[Entrada - 2 (Almoço)])),
              IF(OR(AND(tblHorasMar[Evento 
(2º Período)]&lt;&gt;"",IF(ISERROR(VLOOKUP(tblHorasMar[Evento 
(2º Período)],tblEvento[],Tabelas!$E$1,FALSE)),FALSE,VLOOKUP(tblHorasMar[Evento 
(2º Período)],tblEvento[],Tabelas!$E$1,FALSE)="Sim")),IF(VLOOKUP(TEXT(tblHorasMar[Data],"dddd"),tblDiaUtil[],2,FALSE)="Não",TRUE,FALSE)),
                   tblHorasMar[Saída - 2]-tblHorasMar[Entrada - 2 (Almoço)],
                   IF(OR(HOUR(tblHorasMar[Saída - 2]-tblHorasMar[Entrada - 2 (Almoço)])&gt;0,MINUTE(tblHorasMar[Saída - 2]-tblHorasMar[Entrada - 2 (Almoço)])&gt;CARENCIA),
                         tblHorasMar[Saída - 2]-tblHorasMar[Entrada - 2 (Almoço)],
                         0)),
       0)),0)</f>
        <v>0</v>
      </c>
      <c r="L18" s="4">
        <f>tblHorasMar[Horas Trabalhadas (1º Período)]+tblHorasMar[Horas Trabalhadas (2º Período)]</f>
        <v>0</v>
      </c>
      <c r="M18" s="4" t="str">
        <f>IF(tblHorasMar[Data]&lt;&gt;"",
        IF(
AND(VLOOKUP(TEXT(tblHorasMar[Data],"dddd"),tblDiaUtil[],3,FALSE)="Sim",IF(tblHorasMar[Evento 
(1º Período)]&lt;&gt;"",IF(VLOOKUP(tblHorasMar[Evento 
(1º Período)],tblEvento[],Tabelas!$E$1,FALSE)="Sim",FALSE,TRUE),TRUE),IF(tblHorasMar[Evento 
(2º Período)]&lt;&gt;"",IF(VLOOKUP(tblHorasMar[Evento 
(2º Período)],tblEvento[],Tabelas!$E$1,FALSE)="Sim",FALSE,TRUE),TRUE)),
              IF(VLOOKUP(tblHorasMar[Dia],tblDiaUtil[[Abreviatura]:[1º Período]],3,FALSE)&gt;0,VLOOKUP(tblHorasMar[Dia],tblDiaUtil[[Abreviatura]:[1º Período]],3,FALSE),JORNADA),
              ""),
         "")</f>
        <v/>
      </c>
      <c r="N18" s="14">
        <f>IF(OR(tblHorasMar[Horas Trabalhadas (1º Período)]&lt;&gt;0,tblHorasMar[Horas Trabalhadas (2º Período)]&lt;&gt;0),
        IF(ISNUMBER(tblHorasMar[Jornada Diária]),
              IF(tblHorasMar[Jornada Diária]&gt;(tblHorasMar[Horas Trabalhadas (2º Período)]+tblHorasMar[Horas Trabalhadas (1º Período)]),
                     IF(ROUND((tblHorasMar[Jornada Diária]-(tblHorasMar[Horas Trabalhadas (2º Período)]+tblHorasMar[Horas Trabalhadas (1º Período)])),6)&gt;ROUND(CARENCIA,6),
                           -tblHorasMar[Jornada Diária]+(tblHorasMar[Horas Trabalhadas (2º Período)]+tblHorasMar[Horas Trabalhadas (1º Período)]),
                           0),
                      IF(ROUND((tblHorasMar[Jornada Diária]-(tblHorasMar[Horas Trabalhadas (2º Período)]+tblHorasMar[Horas Trabalhadas (1º Período)])),6)&lt;ROUND(-CARENCIA,6),
                           -tblHorasMar[Jornada Diária]+(tblHorasMar[Horas Trabalhadas (2º Período)]+tblHorasMar[Horas Trabalhadas (1º Período)]),
                           0)),
              tblHorasMar[Horas Trabalhadas (2º Período)]+tblHorasMar[Horas Trabalhadas (1º Período)]),
         IF(AND(IF(ISERROR(VLOOKUP(tblHorasMar[Evento 
(1º Período)],tblEvento[[Evento]:[Libera o Período]],4,FALSE)),FALSE,IF(VLOOKUP(tblHorasMar[Evento 
(1º Período)],tblEvento[[Evento]:[Libera o Período]],4,FALSE)="Não",TRUE,FALSE)),IF(ISERROR(VLOOKUP(tblHorasMar[Evento 
(2º Período)],tblEvento[[Evento]:[Libera o Período]],4,FALSE)),FALSE,IF(VLOOKUP(tblHorasMar[Evento 
(2º Período)],tblEvento[[Evento]:[Libera o Período]],4,FALSE)="Não",TRUE,FALSE))),
-IF(VLOOKUP(tblHorasMar[Dia],tblDiaUtil[[Abreviatura]:[Total Jornada]],5,FALSE)&lt;&gt;"",VLOOKUP(tblHorasMar[Dia],tblDiaUtil[[Abreviatura]:[Total Jornada]],5,FALSE),JORNADA),
IF(IF(ISERROR(VLOOKUP(tblHorasMar[Evento 
(1º Período)],tblEvento[[Evento]:[Libera o Período]],4,FALSE)),FALSE,
IF(VLOOKUP(tblHorasMar[Evento 
(1º Período)],tblEvento[[Evento]:[Libera o Período]],4,FALSE)="Não",TRUE,FALSE)
),
-IF(VLOOKUP(tblHorasMar[Dia],tblDiaUtil[[Abreviatura]:[1º Período]],3,FALSE)&lt;&gt;"",VLOOKUP(tblHorasMar[Dia],tblDiaUtil[[Abreviatura]:[1º Período]],3,FALSE),JORNADA_PERIODO_1),
IF(IF(ISERROR(VLOOKUP(tblHorasMar[Evento 
(2º Período)],tblEvento[[Evento]:[Libera o Período]],4,FALSE)),FALSE,IF(VLOOKUP(tblHorasMar[Evento 
(2º Período)],tblEvento[[Evento]:[Libera o Período]],4,FALSE)="Não",TRUE,FALSE)),
-IF(VLOOKUP(tblHorasMar[Dia],tblDiaUtil[[Abreviatura]:[2º Período]],4,FALSE)&lt;&gt;"",VLOOKUP(tblHorasMar[Dia],tblDiaUtil[[Abreviatura]:[2º Período]],4,FALSE),JORNADA_PERIODO_2),0))))</f>
        <v>0</v>
      </c>
      <c r="O18" s="14">
        <f>IF(tblHorasMar[Horas Trabalhadas Além Jornada]&gt;0,
        IF(ISNUMBER(tblHorasMar[Jornada Diária]),
              IF(HOUR(tblHorasMar[Horas Trabalhadas Além Jornada])&gt;=VLOOKUP(LIMITE,tblLimiteHora[],Tabelas!$I$1,FALSE),
                    VLOOKUP(LIMITE,tblLimiteHora[],Tabelas!$J$1,FALSE),
                    tblHorasMar[Horas Trabalhadas Além Jornada]),
              tblHorasMar[Horas Trabalhadas Além Jornada]),
        tblHorasMar[Horas Trabalhadas Além Jornada])+O17</f>
        <v>0</v>
      </c>
      <c r="P18" s="14" t="str">
        <f>IF(tblHorasMar[Horas Trabalhadas Além Jornada]&lt;0,IF(OR(tblHorasMar[Evento 
(1º Período)]="",tblHorasMar[Evento 
(2º Período)]=""),tblHorasMar[Horas Trabalhadas Além Jornada],""),"")</f>
        <v/>
      </c>
      <c r="Q18" s="14" t="str">
        <f>IF(tblHorasMar[Jornada Diária]&lt;&gt;"",IF((N(tblHorasMar[Jornada Diária])-ABS(N(tblHorasMar[Horas Trabalhadas Além Jornada])))=0,1,""),"")</f>
        <v/>
      </c>
      <c r="R18" s="14" t="str">
        <f>IF(tblHorasMar[Horas Trabalhadas Além Jornada]&gt;0,
IF(AND(VLOOKUP(TEXT(tblHorasMar[Data],"dddd"),tblDiaUtil[],3,FALSE)="Sim",IF(tblHorasMar[Evento 
(1º Período)]&lt;&gt;"",IF(VLOOKUP(tblHorasMar[Evento 
(1º Período)],tblEvento[],Tabelas!$E$1,FALSE)="Sim",FALSE,TRUE),TRUE),IF(tblHorasMar[Evento 
(2º Período)]&lt;&gt;"",IF(VLOOKUP(tblHorasMar[Evento 
(2º Período)],tblEvento[],Tabelas!$E$1,FALSE)="Sim",FALSE,TRUE),TRUE)),
tblHorasMar[Horas Trabalhadas Além Jornada],""),"")</f>
        <v/>
      </c>
      <c r="S18" s="14" t="str">
        <f>IF(tblHorasMar[Horas Trabalhadas Além Jornada]&gt;0,
IF(OR(VLOOKUP(TEXT(tblHorasMar[Data],"dddd"),tblDiaUtil[],3,FALSE)="Não",IF(tblHorasMar[Evento 
(1º Período)]&lt;&gt;"",IF(VLOOKUP(tblHorasMar[Evento 
(1º Período)],tblEvento[],Tabelas!$E$1,FALSE)="Sim",TRUE,FALSE),FALSE),IF(tblHorasMar[Evento 
(2º Período)]&lt;&gt;"",IF(VLOOKUP(tblHorasMar[Evento 
(2º Período)],tblEvento[],Tabelas!$E$1,FALSE)="Sim",TRUE,FALSE),FALSE)),
tblHorasMar[Horas Trabalhadas Além Jornada],""),"")</f>
        <v/>
      </c>
      <c r="T18" s="15" t="str">
        <f>IF(tblHorasMar[Evento 
(1º Período)]&lt;&gt;""," - " &amp;VLOOKUP(tblHorasMar[Evento 
(1º Período)],tblEvento[],Tabelas!$F$1,FALSE),"")&amp;IF(AND(tblHorasMar[Evento 
(2º Período)]&lt;&gt;"",tblHorasMar[Evento 
(2º Período)]&lt;&gt;tblHorasMar[Evento 
(1º Período)])," - " &amp; VLOOKUP(tblHorasMar[Evento 
(2º Período)],tblEvento[],Tabelas!$F$1,FALSE),"")</f>
        <v/>
      </c>
    </row>
    <row r="19" spans="2:20" x14ac:dyDescent="0.25">
      <c r="B19" s="11" t="str">
        <f t="shared" si="0"/>
        <v/>
      </c>
      <c r="C19" s="12" t="str">
        <f>TEXT(tblHorasMar[Data],"ddd")</f>
        <v/>
      </c>
      <c r="D19" s="25"/>
      <c r="E19" s="1"/>
      <c r="F19" s="1"/>
      <c r="G19" s="1"/>
      <c r="H19" s="1"/>
      <c r="I19" s="53"/>
      <c r="J19" s="4">
        <f>IF($B$6&lt;&gt;"",
IF(AND(tblHorasMar[Evento 
(1º Período)]&lt;&gt;"",IF(ISERROR(VLOOKUP(tblHorasMar[Evento 
(1º Período)],tblEvento[],Tabelas!$D$1,FALSE)),FALSE,VLOOKUP(tblHorasMar[Evento 
(1º Período)],tblEvento[],Tabelas!$D$1,FALSE)="Sim")),
        IF(JORNADA_PERIODO_1&lt;&gt;"",
IF(VLOOKUP(tblHorasMar[Dia],tblDiaUtil[[Abreviatura]:[1º Período]],3,FALSE)&gt;0,VLOOKUP(tblHorasMar[Dia],tblDiaUtil[[Abreviatura]:[1º Período]],3,FALSE),JORNADA_PERIODO_1),
IF(VLOOKUP(tblHorasMar[Dia],tblDiaUtil[[Abreviatura]:[1º Período]],3,FALSE)&gt;0,VLOOKUP(tblHorasMar[Dia],tblDiaUtil[[Abreviatura]:[1º Período]],3,FALSE),JORNADA/2)),
        IF(AND(ISNUMBER(tblHorasMar[Saída - 1 (Almoço)]),ISNUMBER(tblHorasMar[Entrada - 1])),
              IF(OR(AND(tblHorasMar[Evento 
(1º Período)]&lt;&gt;"",IF(ISERROR(VLOOKUP(tblHorasMar[Evento 
(1º Período)],tblEvento[],Tabelas!$E$1,FALSE)),FALSE,VLOOKUP(tblHorasMar[Evento 
(1º Período)],tblEvento[],Tabelas!$E$1,FALSE)="Sim")),IF(VLOOKUP(TEXT(tblHorasMar[Data],"dddd"),tblDiaUtil[],2,FALSE)="Não",TRUE,FALSE)),
                   tblHorasMar[Saída - 1 (Almoço)]-tblHorasMar[Entrada - 1],
                   IF(OR(HOUR(tblHorasMar[Saída - 1 (Almoço)]-tblHorasMar[Entrada - 1])&gt;0,ROUND(tblHorasMar[Saída - 1 (Almoço)]-tblHorasMar[Entrada - 1],6)&gt;ROUND(CARENCIA,6)),
                          tblHorasMar[Saída - 1 (Almoço)]-tblHorasMar[Entrada - 1],
                          0)),
                    0)),0)</f>
        <v>0</v>
      </c>
      <c r="K19" s="4">
        <f>IF($B$6&lt;&gt;"",
IF(AND(tblHorasMar[Evento 
(2º Período)]&lt;&gt;"",IF(ISERROR(VLOOKUP(tblHorasMar[Evento 
(2º Período)],tblEvento[],Tabelas!$D$1,FALSE)),FALSE,VLOOKUP(tblHorasMar[Evento 
(2º Período)],tblEvento[],Tabelas!$D$1,FALSE)="Sim")),
        IF(JORNADA_PERIODO_2&lt;&gt;"",
IF(VLOOKUP(tblHorasMar[Dia],tblDiaUtil[[Abreviatura]:[2º Período]],4,FALSE)&gt;0,VLOOKUP(tblHorasMar[Dia],tblDiaUtil[[Abreviatura]:[2º Período]],4,FALSE),JORNADA_PERIODO_2),
IF(VLOOKUP(tblHorasMar[Dia],tblDiaUtil[[Abreviatura]:[2º Período]],4,FALSE)&gt;0,VLOOKUP(tblHorasMar[Dia],tblDiaUtil[[Abreviatura]:[2º Período]],4,FALSE),JORNADA/2)),
        IF(AND(ISNUMBER(tblHorasMar[Saída - 2]),ISNUMBER(tblHorasMar[Entrada - 2 (Almoço)])),
              IF(OR(AND(tblHorasMar[Evento 
(2º Período)]&lt;&gt;"",IF(ISERROR(VLOOKUP(tblHorasMar[Evento 
(2º Período)],tblEvento[],Tabelas!$E$1,FALSE)),FALSE,VLOOKUP(tblHorasMar[Evento 
(2º Período)],tblEvento[],Tabelas!$E$1,FALSE)="Sim")),IF(VLOOKUP(TEXT(tblHorasMar[Data],"dddd"),tblDiaUtil[],2,FALSE)="Não",TRUE,FALSE)),
                   tblHorasMar[Saída - 2]-tblHorasMar[Entrada - 2 (Almoço)],
                   IF(OR(HOUR(tblHorasMar[Saída - 2]-tblHorasMar[Entrada - 2 (Almoço)])&gt;0,MINUTE(tblHorasMar[Saída - 2]-tblHorasMar[Entrada - 2 (Almoço)])&gt;CARENCIA),
                         tblHorasMar[Saída - 2]-tblHorasMar[Entrada - 2 (Almoço)],
                         0)),
       0)),0)</f>
        <v>0</v>
      </c>
      <c r="L19" s="4">
        <f>tblHorasMar[Horas Trabalhadas (1º Período)]+tblHorasMar[Horas Trabalhadas (2º Período)]</f>
        <v>0</v>
      </c>
      <c r="M19" s="4" t="str">
        <f>IF(tblHorasMar[Data]&lt;&gt;"",
        IF(
AND(VLOOKUP(TEXT(tblHorasMar[Data],"dddd"),tblDiaUtil[],3,FALSE)="Sim",IF(tblHorasMar[Evento 
(1º Período)]&lt;&gt;"",IF(VLOOKUP(tblHorasMar[Evento 
(1º Período)],tblEvento[],Tabelas!$E$1,FALSE)="Sim",FALSE,TRUE),TRUE),IF(tblHorasMar[Evento 
(2º Período)]&lt;&gt;"",IF(VLOOKUP(tblHorasMar[Evento 
(2º Período)],tblEvento[],Tabelas!$E$1,FALSE)="Sim",FALSE,TRUE),TRUE)),
              IF(VLOOKUP(tblHorasMar[Dia],tblDiaUtil[[Abreviatura]:[1º Período]],3,FALSE)&gt;0,VLOOKUP(tblHorasMar[Dia],tblDiaUtil[[Abreviatura]:[1º Período]],3,FALSE),JORNADA),
              ""),
         "")</f>
        <v/>
      </c>
      <c r="N19" s="14">
        <f>IF(OR(tblHorasMar[Horas Trabalhadas (1º Período)]&lt;&gt;0,tblHorasMar[Horas Trabalhadas (2º Período)]&lt;&gt;0),
        IF(ISNUMBER(tblHorasMar[Jornada Diária]),
              IF(tblHorasMar[Jornada Diária]&gt;(tblHorasMar[Horas Trabalhadas (2º Período)]+tblHorasMar[Horas Trabalhadas (1º Período)]),
                     IF(ROUND((tblHorasMar[Jornada Diária]-(tblHorasMar[Horas Trabalhadas (2º Período)]+tblHorasMar[Horas Trabalhadas (1º Período)])),6)&gt;ROUND(CARENCIA,6),
                           -tblHorasMar[Jornada Diária]+(tblHorasMar[Horas Trabalhadas (2º Período)]+tblHorasMar[Horas Trabalhadas (1º Período)]),
                           0),
                      IF(ROUND((tblHorasMar[Jornada Diária]-(tblHorasMar[Horas Trabalhadas (2º Período)]+tblHorasMar[Horas Trabalhadas (1º Período)])),6)&lt;ROUND(-CARENCIA,6),
                           -tblHorasMar[Jornada Diária]+(tblHorasMar[Horas Trabalhadas (2º Período)]+tblHorasMar[Horas Trabalhadas (1º Período)]),
                           0)),
              tblHorasMar[Horas Trabalhadas (2º Período)]+tblHorasMar[Horas Trabalhadas (1º Período)]),
         IF(AND(IF(ISERROR(VLOOKUP(tblHorasMar[Evento 
(1º Período)],tblEvento[[Evento]:[Libera o Período]],4,FALSE)),FALSE,IF(VLOOKUP(tblHorasMar[Evento 
(1º Período)],tblEvento[[Evento]:[Libera o Período]],4,FALSE)="Não",TRUE,FALSE)),IF(ISERROR(VLOOKUP(tblHorasMar[Evento 
(2º Período)],tblEvento[[Evento]:[Libera o Período]],4,FALSE)),FALSE,IF(VLOOKUP(tblHorasMar[Evento 
(2º Período)],tblEvento[[Evento]:[Libera o Período]],4,FALSE)="Não",TRUE,FALSE))),
-IF(VLOOKUP(tblHorasMar[Dia],tblDiaUtil[[Abreviatura]:[Total Jornada]],5,FALSE)&lt;&gt;"",VLOOKUP(tblHorasMar[Dia],tblDiaUtil[[Abreviatura]:[Total Jornada]],5,FALSE),JORNADA),
IF(IF(ISERROR(VLOOKUP(tblHorasMar[Evento 
(1º Período)],tblEvento[[Evento]:[Libera o Período]],4,FALSE)),FALSE,
IF(VLOOKUP(tblHorasMar[Evento 
(1º Período)],tblEvento[[Evento]:[Libera o Período]],4,FALSE)="Não",TRUE,FALSE)
),
-IF(VLOOKUP(tblHorasMar[Dia],tblDiaUtil[[Abreviatura]:[1º Período]],3,FALSE)&lt;&gt;"",VLOOKUP(tblHorasMar[Dia],tblDiaUtil[[Abreviatura]:[1º Período]],3,FALSE),JORNADA_PERIODO_1),
IF(IF(ISERROR(VLOOKUP(tblHorasMar[Evento 
(2º Período)],tblEvento[[Evento]:[Libera o Período]],4,FALSE)),FALSE,IF(VLOOKUP(tblHorasMar[Evento 
(2º Período)],tblEvento[[Evento]:[Libera o Período]],4,FALSE)="Não",TRUE,FALSE)),
-IF(VLOOKUP(tblHorasMar[Dia],tblDiaUtil[[Abreviatura]:[2º Período]],4,FALSE)&lt;&gt;"",VLOOKUP(tblHorasMar[Dia],tblDiaUtil[[Abreviatura]:[2º Período]],4,FALSE),JORNADA_PERIODO_2),0))))</f>
        <v>0</v>
      </c>
      <c r="O19" s="14">
        <f>IF(tblHorasMar[Horas Trabalhadas Além Jornada]&gt;0,
        IF(ISNUMBER(tblHorasMar[Jornada Diária]),
              IF(HOUR(tblHorasMar[Horas Trabalhadas Além Jornada])&gt;=VLOOKUP(LIMITE,tblLimiteHora[],Tabelas!$I$1,FALSE),
                    VLOOKUP(LIMITE,tblLimiteHora[],Tabelas!$J$1,FALSE),
                    tblHorasMar[Horas Trabalhadas Além Jornada]),
              tblHorasMar[Horas Trabalhadas Além Jornada]),
        tblHorasMar[Horas Trabalhadas Além Jornada])+O18</f>
        <v>0</v>
      </c>
      <c r="P19" s="14" t="str">
        <f>IF(tblHorasMar[Horas Trabalhadas Além Jornada]&lt;0,IF(OR(tblHorasMar[Evento 
(1º Período)]="",tblHorasMar[Evento 
(2º Período)]=""),tblHorasMar[Horas Trabalhadas Além Jornada],""),"")</f>
        <v/>
      </c>
      <c r="Q19" s="14" t="str">
        <f>IF(tblHorasMar[Jornada Diária]&lt;&gt;"",IF((N(tblHorasMar[Jornada Diária])-ABS(N(tblHorasMar[Horas Trabalhadas Além Jornada])))=0,1,""),"")</f>
        <v/>
      </c>
      <c r="R19" s="14" t="str">
        <f>IF(tblHorasMar[Horas Trabalhadas Além Jornada]&gt;0,
IF(AND(VLOOKUP(TEXT(tblHorasMar[Data],"dddd"),tblDiaUtil[],3,FALSE)="Sim",IF(tblHorasMar[Evento 
(1º Período)]&lt;&gt;"",IF(VLOOKUP(tblHorasMar[Evento 
(1º Período)],tblEvento[],Tabelas!$E$1,FALSE)="Sim",FALSE,TRUE),TRUE),IF(tblHorasMar[Evento 
(2º Período)]&lt;&gt;"",IF(VLOOKUP(tblHorasMar[Evento 
(2º Período)],tblEvento[],Tabelas!$E$1,FALSE)="Sim",FALSE,TRUE),TRUE)),
tblHorasMar[Horas Trabalhadas Além Jornada],""),"")</f>
        <v/>
      </c>
      <c r="S19" s="14" t="str">
        <f>IF(tblHorasMar[Horas Trabalhadas Além Jornada]&gt;0,
IF(OR(VLOOKUP(TEXT(tblHorasMar[Data],"dddd"),tblDiaUtil[],3,FALSE)="Não",IF(tblHorasMar[Evento 
(1º Período)]&lt;&gt;"",IF(VLOOKUP(tblHorasMar[Evento 
(1º Período)],tblEvento[],Tabelas!$E$1,FALSE)="Sim",TRUE,FALSE),FALSE),IF(tblHorasMar[Evento 
(2º Período)]&lt;&gt;"",IF(VLOOKUP(tblHorasMar[Evento 
(2º Período)],tblEvento[],Tabelas!$E$1,FALSE)="Sim",TRUE,FALSE),FALSE)),
tblHorasMar[Horas Trabalhadas Além Jornada],""),"")</f>
        <v/>
      </c>
      <c r="T19" s="15" t="str">
        <f>IF(tblHorasMar[Evento 
(1º Período)]&lt;&gt;""," - " &amp;VLOOKUP(tblHorasMar[Evento 
(1º Período)],tblEvento[],Tabelas!$F$1,FALSE),"")&amp;IF(AND(tblHorasMar[Evento 
(2º Período)]&lt;&gt;"",tblHorasMar[Evento 
(2º Período)]&lt;&gt;tblHorasMar[Evento 
(1º Período)])," - " &amp; VLOOKUP(tblHorasMar[Evento 
(2º Período)],tblEvento[],Tabelas!$F$1,FALSE),"")</f>
        <v/>
      </c>
    </row>
    <row r="20" spans="2:20" x14ac:dyDescent="0.25">
      <c r="B20" s="11" t="str">
        <f t="shared" si="0"/>
        <v/>
      </c>
      <c r="C20" s="12" t="str">
        <f>TEXT(tblHorasMar[Data],"ddd")</f>
        <v/>
      </c>
      <c r="D20" s="25"/>
      <c r="E20" s="1"/>
      <c r="F20" s="1"/>
      <c r="G20" s="1"/>
      <c r="H20" s="1"/>
      <c r="I20" s="53"/>
      <c r="J20" s="4">
        <f>IF($B$6&lt;&gt;"",
IF(AND(tblHorasMar[Evento 
(1º Período)]&lt;&gt;"",IF(ISERROR(VLOOKUP(tblHorasMar[Evento 
(1º Período)],tblEvento[],Tabelas!$D$1,FALSE)),FALSE,VLOOKUP(tblHorasMar[Evento 
(1º Período)],tblEvento[],Tabelas!$D$1,FALSE)="Sim")),
        IF(JORNADA_PERIODO_1&lt;&gt;"",
IF(VLOOKUP(tblHorasMar[Dia],tblDiaUtil[[Abreviatura]:[1º Período]],3,FALSE)&gt;0,VLOOKUP(tblHorasMar[Dia],tblDiaUtil[[Abreviatura]:[1º Período]],3,FALSE),JORNADA_PERIODO_1),
IF(VLOOKUP(tblHorasMar[Dia],tblDiaUtil[[Abreviatura]:[1º Período]],3,FALSE)&gt;0,VLOOKUP(tblHorasMar[Dia],tblDiaUtil[[Abreviatura]:[1º Período]],3,FALSE),JORNADA/2)),
        IF(AND(ISNUMBER(tblHorasMar[Saída - 1 (Almoço)]),ISNUMBER(tblHorasMar[Entrada - 1])),
              IF(OR(AND(tblHorasMar[Evento 
(1º Período)]&lt;&gt;"",IF(ISERROR(VLOOKUP(tblHorasMar[Evento 
(1º Período)],tblEvento[],Tabelas!$E$1,FALSE)),FALSE,VLOOKUP(tblHorasMar[Evento 
(1º Período)],tblEvento[],Tabelas!$E$1,FALSE)="Sim")),IF(VLOOKUP(TEXT(tblHorasMar[Data],"dddd"),tblDiaUtil[],2,FALSE)="Não",TRUE,FALSE)),
                   tblHorasMar[Saída - 1 (Almoço)]-tblHorasMar[Entrada - 1],
                   IF(OR(HOUR(tblHorasMar[Saída - 1 (Almoço)]-tblHorasMar[Entrada - 1])&gt;0,ROUND(tblHorasMar[Saída - 1 (Almoço)]-tblHorasMar[Entrada - 1],6)&gt;ROUND(CARENCIA,6)),
                          tblHorasMar[Saída - 1 (Almoço)]-tblHorasMar[Entrada - 1],
                          0)),
                    0)),0)</f>
        <v>0</v>
      </c>
      <c r="K20" s="4">
        <f>IF($B$6&lt;&gt;"",
IF(AND(tblHorasMar[Evento 
(2º Período)]&lt;&gt;"",IF(ISERROR(VLOOKUP(tblHorasMar[Evento 
(2º Período)],tblEvento[],Tabelas!$D$1,FALSE)),FALSE,VLOOKUP(tblHorasMar[Evento 
(2º Período)],tblEvento[],Tabelas!$D$1,FALSE)="Sim")),
        IF(JORNADA_PERIODO_2&lt;&gt;"",
IF(VLOOKUP(tblHorasMar[Dia],tblDiaUtil[[Abreviatura]:[2º Período]],4,FALSE)&gt;0,VLOOKUP(tblHorasMar[Dia],tblDiaUtil[[Abreviatura]:[2º Período]],4,FALSE),JORNADA_PERIODO_2),
IF(VLOOKUP(tblHorasMar[Dia],tblDiaUtil[[Abreviatura]:[2º Período]],4,FALSE)&gt;0,VLOOKUP(tblHorasMar[Dia],tblDiaUtil[[Abreviatura]:[2º Período]],4,FALSE),JORNADA/2)),
        IF(AND(ISNUMBER(tblHorasMar[Saída - 2]),ISNUMBER(tblHorasMar[Entrada - 2 (Almoço)])),
              IF(OR(AND(tblHorasMar[Evento 
(2º Período)]&lt;&gt;"",IF(ISERROR(VLOOKUP(tblHorasMar[Evento 
(2º Período)],tblEvento[],Tabelas!$E$1,FALSE)),FALSE,VLOOKUP(tblHorasMar[Evento 
(2º Período)],tblEvento[],Tabelas!$E$1,FALSE)="Sim")),IF(VLOOKUP(TEXT(tblHorasMar[Data],"dddd"),tblDiaUtil[],2,FALSE)="Não",TRUE,FALSE)),
                   tblHorasMar[Saída - 2]-tblHorasMar[Entrada - 2 (Almoço)],
                   IF(OR(HOUR(tblHorasMar[Saída - 2]-tblHorasMar[Entrada - 2 (Almoço)])&gt;0,MINUTE(tblHorasMar[Saída - 2]-tblHorasMar[Entrada - 2 (Almoço)])&gt;CARENCIA),
                         tblHorasMar[Saída - 2]-tblHorasMar[Entrada - 2 (Almoço)],
                         0)),
       0)),0)</f>
        <v>0</v>
      </c>
      <c r="L20" s="4">
        <f>tblHorasMar[Horas Trabalhadas (1º Período)]+tblHorasMar[Horas Trabalhadas (2º Período)]</f>
        <v>0</v>
      </c>
      <c r="M20" s="4" t="str">
        <f>IF(tblHorasMar[Data]&lt;&gt;"",
        IF(
AND(VLOOKUP(TEXT(tblHorasMar[Data],"dddd"),tblDiaUtil[],3,FALSE)="Sim",IF(tblHorasMar[Evento 
(1º Período)]&lt;&gt;"",IF(VLOOKUP(tblHorasMar[Evento 
(1º Período)],tblEvento[],Tabelas!$E$1,FALSE)="Sim",FALSE,TRUE),TRUE),IF(tblHorasMar[Evento 
(2º Período)]&lt;&gt;"",IF(VLOOKUP(tblHorasMar[Evento 
(2º Período)],tblEvento[],Tabelas!$E$1,FALSE)="Sim",FALSE,TRUE),TRUE)),
              IF(VLOOKUP(tblHorasMar[Dia],tblDiaUtil[[Abreviatura]:[1º Período]],3,FALSE)&gt;0,VLOOKUP(tblHorasMar[Dia],tblDiaUtil[[Abreviatura]:[1º Período]],3,FALSE),JORNADA),
              ""),
         "")</f>
        <v/>
      </c>
      <c r="N20" s="14">
        <f>IF(OR(tblHorasMar[Horas Trabalhadas (1º Período)]&lt;&gt;0,tblHorasMar[Horas Trabalhadas (2º Período)]&lt;&gt;0),
        IF(ISNUMBER(tblHorasMar[Jornada Diária]),
              IF(tblHorasMar[Jornada Diária]&gt;(tblHorasMar[Horas Trabalhadas (2º Período)]+tblHorasMar[Horas Trabalhadas (1º Período)]),
                     IF(ROUND((tblHorasMar[Jornada Diária]-(tblHorasMar[Horas Trabalhadas (2º Período)]+tblHorasMar[Horas Trabalhadas (1º Período)])),6)&gt;ROUND(CARENCIA,6),
                           -tblHorasMar[Jornada Diária]+(tblHorasMar[Horas Trabalhadas (2º Período)]+tblHorasMar[Horas Trabalhadas (1º Período)]),
                           0),
                      IF(ROUND((tblHorasMar[Jornada Diária]-(tblHorasMar[Horas Trabalhadas (2º Período)]+tblHorasMar[Horas Trabalhadas (1º Período)])),6)&lt;ROUND(-CARENCIA,6),
                           -tblHorasMar[Jornada Diária]+(tblHorasMar[Horas Trabalhadas (2º Período)]+tblHorasMar[Horas Trabalhadas (1º Período)]),
                           0)),
              tblHorasMar[Horas Trabalhadas (2º Período)]+tblHorasMar[Horas Trabalhadas (1º Período)]),
         IF(AND(IF(ISERROR(VLOOKUP(tblHorasMar[Evento 
(1º Período)],tblEvento[[Evento]:[Libera o Período]],4,FALSE)),FALSE,IF(VLOOKUP(tblHorasMar[Evento 
(1º Período)],tblEvento[[Evento]:[Libera o Período]],4,FALSE)="Não",TRUE,FALSE)),IF(ISERROR(VLOOKUP(tblHorasMar[Evento 
(2º Período)],tblEvento[[Evento]:[Libera o Período]],4,FALSE)),FALSE,IF(VLOOKUP(tblHorasMar[Evento 
(2º Período)],tblEvento[[Evento]:[Libera o Período]],4,FALSE)="Não",TRUE,FALSE))),
-IF(VLOOKUP(tblHorasMar[Dia],tblDiaUtil[[Abreviatura]:[Total Jornada]],5,FALSE)&lt;&gt;"",VLOOKUP(tblHorasMar[Dia],tblDiaUtil[[Abreviatura]:[Total Jornada]],5,FALSE),JORNADA),
IF(IF(ISERROR(VLOOKUP(tblHorasMar[Evento 
(1º Período)],tblEvento[[Evento]:[Libera o Período]],4,FALSE)),FALSE,
IF(VLOOKUP(tblHorasMar[Evento 
(1º Período)],tblEvento[[Evento]:[Libera o Período]],4,FALSE)="Não",TRUE,FALSE)
),
-IF(VLOOKUP(tblHorasMar[Dia],tblDiaUtil[[Abreviatura]:[1º Período]],3,FALSE)&lt;&gt;"",VLOOKUP(tblHorasMar[Dia],tblDiaUtil[[Abreviatura]:[1º Período]],3,FALSE),JORNADA_PERIODO_1),
IF(IF(ISERROR(VLOOKUP(tblHorasMar[Evento 
(2º Período)],tblEvento[[Evento]:[Libera o Período]],4,FALSE)),FALSE,IF(VLOOKUP(tblHorasMar[Evento 
(2º Período)],tblEvento[[Evento]:[Libera o Período]],4,FALSE)="Não",TRUE,FALSE)),
-IF(VLOOKUP(tblHorasMar[Dia],tblDiaUtil[[Abreviatura]:[2º Período]],4,FALSE)&lt;&gt;"",VLOOKUP(tblHorasMar[Dia],tblDiaUtil[[Abreviatura]:[2º Período]],4,FALSE),JORNADA_PERIODO_2),0))))</f>
        <v>0</v>
      </c>
      <c r="O20" s="14">
        <f>IF(tblHorasMar[Horas Trabalhadas Além Jornada]&gt;0,
        IF(ISNUMBER(tblHorasMar[Jornada Diária]),
              IF(HOUR(tblHorasMar[Horas Trabalhadas Além Jornada])&gt;=VLOOKUP(LIMITE,tblLimiteHora[],Tabelas!$I$1,FALSE),
                    VLOOKUP(LIMITE,tblLimiteHora[],Tabelas!$J$1,FALSE),
                    tblHorasMar[Horas Trabalhadas Além Jornada]),
              tblHorasMar[Horas Trabalhadas Além Jornada]),
        tblHorasMar[Horas Trabalhadas Além Jornada])+O19</f>
        <v>0</v>
      </c>
      <c r="P20" s="14" t="str">
        <f>IF(tblHorasMar[Horas Trabalhadas Além Jornada]&lt;0,IF(OR(tblHorasMar[Evento 
(1º Período)]="",tblHorasMar[Evento 
(2º Período)]=""),tblHorasMar[Horas Trabalhadas Além Jornada],""),"")</f>
        <v/>
      </c>
      <c r="Q20" s="14" t="str">
        <f>IF(tblHorasMar[Jornada Diária]&lt;&gt;"",IF((N(tblHorasMar[Jornada Diária])-ABS(N(tblHorasMar[Horas Trabalhadas Além Jornada])))=0,1,""),"")</f>
        <v/>
      </c>
      <c r="R20" s="14" t="str">
        <f>IF(tblHorasMar[Horas Trabalhadas Além Jornada]&gt;0,
IF(AND(VLOOKUP(TEXT(tblHorasMar[Data],"dddd"),tblDiaUtil[],3,FALSE)="Sim",IF(tblHorasMar[Evento 
(1º Período)]&lt;&gt;"",IF(VLOOKUP(tblHorasMar[Evento 
(1º Período)],tblEvento[],Tabelas!$E$1,FALSE)="Sim",FALSE,TRUE),TRUE),IF(tblHorasMar[Evento 
(2º Período)]&lt;&gt;"",IF(VLOOKUP(tblHorasMar[Evento 
(2º Período)],tblEvento[],Tabelas!$E$1,FALSE)="Sim",FALSE,TRUE),TRUE)),
tblHorasMar[Horas Trabalhadas Além Jornada],""),"")</f>
        <v/>
      </c>
      <c r="S20" s="14" t="str">
        <f>IF(tblHorasMar[Horas Trabalhadas Além Jornada]&gt;0,
IF(OR(VLOOKUP(TEXT(tblHorasMar[Data],"dddd"),tblDiaUtil[],3,FALSE)="Não",IF(tblHorasMar[Evento 
(1º Período)]&lt;&gt;"",IF(VLOOKUP(tblHorasMar[Evento 
(1º Período)],tblEvento[],Tabelas!$E$1,FALSE)="Sim",TRUE,FALSE),FALSE),IF(tblHorasMar[Evento 
(2º Período)]&lt;&gt;"",IF(VLOOKUP(tblHorasMar[Evento 
(2º Período)],tblEvento[],Tabelas!$E$1,FALSE)="Sim",TRUE,FALSE),FALSE)),
tblHorasMar[Horas Trabalhadas Além Jornada],""),"")</f>
        <v/>
      </c>
      <c r="T20" s="15" t="str">
        <f>IF(tblHorasMar[Evento 
(1º Período)]&lt;&gt;""," - " &amp;VLOOKUP(tblHorasMar[Evento 
(1º Período)],tblEvento[],Tabelas!$F$1,FALSE),"")&amp;IF(AND(tblHorasMar[Evento 
(2º Período)]&lt;&gt;"",tblHorasMar[Evento 
(2º Período)]&lt;&gt;tblHorasMar[Evento 
(1º Período)])," - " &amp; VLOOKUP(tblHorasMar[Evento 
(2º Período)],tblEvento[],Tabelas!$F$1,FALSE),"")</f>
        <v/>
      </c>
    </row>
    <row r="21" spans="2:20" x14ac:dyDescent="0.25">
      <c r="B21" s="11" t="str">
        <f t="shared" si="0"/>
        <v/>
      </c>
      <c r="C21" s="12" t="str">
        <f>TEXT(tblHorasMar[Data],"ddd")</f>
        <v/>
      </c>
      <c r="D21" s="25"/>
      <c r="E21" s="1"/>
      <c r="F21" s="1"/>
      <c r="G21" s="1"/>
      <c r="H21" s="1"/>
      <c r="I21" s="53"/>
      <c r="J21" s="4">
        <f>IF($B$6&lt;&gt;"",
IF(AND(tblHorasMar[Evento 
(1º Período)]&lt;&gt;"",IF(ISERROR(VLOOKUP(tblHorasMar[Evento 
(1º Período)],tblEvento[],Tabelas!$D$1,FALSE)),FALSE,VLOOKUP(tblHorasMar[Evento 
(1º Período)],tblEvento[],Tabelas!$D$1,FALSE)="Sim")),
        IF(JORNADA_PERIODO_1&lt;&gt;"",
IF(VLOOKUP(tblHorasMar[Dia],tblDiaUtil[[Abreviatura]:[1º Período]],3,FALSE)&gt;0,VLOOKUP(tblHorasMar[Dia],tblDiaUtil[[Abreviatura]:[1º Período]],3,FALSE),JORNADA_PERIODO_1),
IF(VLOOKUP(tblHorasMar[Dia],tblDiaUtil[[Abreviatura]:[1º Período]],3,FALSE)&gt;0,VLOOKUP(tblHorasMar[Dia],tblDiaUtil[[Abreviatura]:[1º Período]],3,FALSE),JORNADA/2)),
        IF(AND(ISNUMBER(tblHorasMar[Saída - 1 (Almoço)]),ISNUMBER(tblHorasMar[Entrada - 1])),
              IF(OR(AND(tblHorasMar[Evento 
(1º Período)]&lt;&gt;"",IF(ISERROR(VLOOKUP(tblHorasMar[Evento 
(1º Período)],tblEvento[],Tabelas!$E$1,FALSE)),FALSE,VLOOKUP(tblHorasMar[Evento 
(1º Período)],tblEvento[],Tabelas!$E$1,FALSE)="Sim")),IF(VLOOKUP(TEXT(tblHorasMar[Data],"dddd"),tblDiaUtil[],2,FALSE)="Não",TRUE,FALSE)),
                   tblHorasMar[Saída - 1 (Almoço)]-tblHorasMar[Entrada - 1],
                   IF(OR(HOUR(tblHorasMar[Saída - 1 (Almoço)]-tblHorasMar[Entrada - 1])&gt;0,ROUND(tblHorasMar[Saída - 1 (Almoço)]-tblHorasMar[Entrada - 1],6)&gt;ROUND(CARENCIA,6)),
                          tblHorasMar[Saída - 1 (Almoço)]-tblHorasMar[Entrada - 1],
                          0)),
                    0)),0)</f>
        <v>0</v>
      </c>
      <c r="K21" s="4">
        <f>IF($B$6&lt;&gt;"",
IF(AND(tblHorasMar[Evento 
(2º Período)]&lt;&gt;"",IF(ISERROR(VLOOKUP(tblHorasMar[Evento 
(2º Período)],tblEvento[],Tabelas!$D$1,FALSE)),FALSE,VLOOKUP(tblHorasMar[Evento 
(2º Período)],tblEvento[],Tabelas!$D$1,FALSE)="Sim")),
        IF(JORNADA_PERIODO_2&lt;&gt;"",
IF(VLOOKUP(tblHorasMar[Dia],tblDiaUtil[[Abreviatura]:[2º Período]],4,FALSE)&gt;0,VLOOKUP(tblHorasMar[Dia],tblDiaUtil[[Abreviatura]:[2º Período]],4,FALSE),JORNADA_PERIODO_2),
IF(VLOOKUP(tblHorasMar[Dia],tblDiaUtil[[Abreviatura]:[2º Período]],4,FALSE)&gt;0,VLOOKUP(tblHorasMar[Dia],tblDiaUtil[[Abreviatura]:[2º Período]],4,FALSE),JORNADA/2)),
        IF(AND(ISNUMBER(tblHorasMar[Saída - 2]),ISNUMBER(tblHorasMar[Entrada - 2 (Almoço)])),
              IF(OR(AND(tblHorasMar[Evento 
(2º Período)]&lt;&gt;"",IF(ISERROR(VLOOKUP(tblHorasMar[Evento 
(2º Período)],tblEvento[],Tabelas!$E$1,FALSE)),FALSE,VLOOKUP(tblHorasMar[Evento 
(2º Período)],tblEvento[],Tabelas!$E$1,FALSE)="Sim")),IF(VLOOKUP(TEXT(tblHorasMar[Data],"dddd"),tblDiaUtil[],2,FALSE)="Não",TRUE,FALSE)),
                   tblHorasMar[Saída - 2]-tblHorasMar[Entrada - 2 (Almoço)],
                   IF(OR(HOUR(tblHorasMar[Saída - 2]-tblHorasMar[Entrada - 2 (Almoço)])&gt;0,MINUTE(tblHorasMar[Saída - 2]-tblHorasMar[Entrada - 2 (Almoço)])&gt;CARENCIA),
                         tblHorasMar[Saída - 2]-tblHorasMar[Entrada - 2 (Almoço)],
                         0)),
       0)),0)</f>
        <v>0</v>
      </c>
      <c r="L21" s="4">
        <f>tblHorasMar[Horas Trabalhadas (1º Período)]+tblHorasMar[Horas Trabalhadas (2º Período)]</f>
        <v>0</v>
      </c>
      <c r="M21" s="4" t="str">
        <f>IF(tblHorasMar[Data]&lt;&gt;"",
        IF(
AND(VLOOKUP(TEXT(tblHorasMar[Data],"dddd"),tblDiaUtil[],3,FALSE)="Sim",IF(tblHorasMar[Evento 
(1º Período)]&lt;&gt;"",IF(VLOOKUP(tblHorasMar[Evento 
(1º Período)],tblEvento[],Tabelas!$E$1,FALSE)="Sim",FALSE,TRUE),TRUE),IF(tblHorasMar[Evento 
(2º Período)]&lt;&gt;"",IF(VLOOKUP(tblHorasMar[Evento 
(2º Período)],tblEvento[],Tabelas!$E$1,FALSE)="Sim",FALSE,TRUE),TRUE)),
              IF(VLOOKUP(tblHorasMar[Dia],tblDiaUtil[[Abreviatura]:[1º Período]],3,FALSE)&gt;0,VLOOKUP(tblHorasMar[Dia],tblDiaUtil[[Abreviatura]:[1º Período]],3,FALSE),JORNADA),
              ""),
         "")</f>
        <v/>
      </c>
      <c r="N21" s="14">
        <f>IF(OR(tblHorasMar[Horas Trabalhadas (1º Período)]&lt;&gt;0,tblHorasMar[Horas Trabalhadas (2º Período)]&lt;&gt;0),
        IF(ISNUMBER(tblHorasMar[Jornada Diária]),
              IF(tblHorasMar[Jornada Diária]&gt;(tblHorasMar[Horas Trabalhadas (2º Período)]+tblHorasMar[Horas Trabalhadas (1º Período)]),
                     IF(ROUND((tblHorasMar[Jornada Diária]-(tblHorasMar[Horas Trabalhadas (2º Período)]+tblHorasMar[Horas Trabalhadas (1º Período)])),6)&gt;ROUND(CARENCIA,6),
                           -tblHorasMar[Jornada Diária]+(tblHorasMar[Horas Trabalhadas (2º Período)]+tblHorasMar[Horas Trabalhadas (1º Período)]),
                           0),
                      IF(ROUND((tblHorasMar[Jornada Diária]-(tblHorasMar[Horas Trabalhadas (2º Período)]+tblHorasMar[Horas Trabalhadas (1º Período)])),6)&lt;ROUND(-CARENCIA,6),
                           -tblHorasMar[Jornada Diária]+(tblHorasMar[Horas Trabalhadas (2º Período)]+tblHorasMar[Horas Trabalhadas (1º Período)]),
                           0)),
              tblHorasMar[Horas Trabalhadas (2º Período)]+tblHorasMar[Horas Trabalhadas (1º Período)]),
         IF(AND(IF(ISERROR(VLOOKUP(tblHorasMar[Evento 
(1º Período)],tblEvento[[Evento]:[Libera o Período]],4,FALSE)),FALSE,IF(VLOOKUP(tblHorasMar[Evento 
(1º Período)],tblEvento[[Evento]:[Libera o Período]],4,FALSE)="Não",TRUE,FALSE)),IF(ISERROR(VLOOKUP(tblHorasMar[Evento 
(2º Período)],tblEvento[[Evento]:[Libera o Período]],4,FALSE)),FALSE,IF(VLOOKUP(tblHorasMar[Evento 
(2º Período)],tblEvento[[Evento]:[Libera o Período]],4,FALSE)="Não",TRUE,FALSE))),
-IF(VLOOKUP(tblHorasMar[Dia],tblDiaUtil[[Abreviatura]:[Total Jornada]],5,FALSE)&lt;&gt;"",VLOOKUP(tblHorasMar[Dia],tblDiaUtil[[Abreviatura]:[Total Jornada]],5,FALSE),JORNADA),
IF(IF(ISERROR(VLOOKUP(tblHorasMar[Evento 
(1º Período)],tblEvento[[Evento]:[Libera o Período]],4,FALSE)),FALSE,
IF(VLOOKUP(tblHorasMar[Evento 
(1º Período)],tblEvento[[Evento]:[Libera o Período]],4,FALSE)="Não",TRUE,FALSE)
),
-IF(VLOOKUP(tblHorasMar[Dia],tblDiaUtil[[Abreviatura]:[1º Período]],3,FALSE)&lt;&gt;"",VLOOKUP(tblHorasMar[Dia],tblDiaUtil[[Abreviatura]:[1º Período]],3,FALSE),JORNADA_PERIODO_1),
IF(IF(ISERROR(VLOOKUP(tblHorasMar[Evento 
(2º Período)],tblEvento[[Evento]:[Libera o Período]],4,FALSE)),FALSE,IF(VLOOKUP(tblHorasMar[Evento 
(2º Período)],tblEvento[[Evento]:[Libera o Período]],4,FALSE)="Não",TRUE,FALSE)),
-IF(VLOOKUP(tblHorasMar[Dia],tblDiaUtil[[Abreviatura]:[2º Período]],4,FALSE)&lt;&gt;"",VLOOKUP(tblHorasMar[Dia],tblDiaUtil[[Abreviatura]:[2º Período]],4,FALSE),JORNADA_PERIODO_2),0))))</f>
        <v>0</v>
      </c>
      <c r="O21" s="14">
        <f>IF(tblHorasMar[Horas Trabalhadas Além Jornada]&gt;0,
        IF(ISNUMBER(tblHorasMar[Jornada Diária]),
              IF(HOUR(tblHorasMar[Horas Trabalhadas Além Jornada])&gt;=VLOOKUP(LIMITE,tblLimiteHora[],Tabelas!$I$1,FALSE),
                    VLOOKUP(LIMITE,tblLimiteHora[],Tabelas!$J$1,FALSE),
                    tblHorasMar[Horas Trabalhadas Além Jornada]),
              tblHorasMar[Horas Trabalhadas Além Jornada]),
        tblHorasMar[Horas Trabalhadas Além Jornada])+O20</f>
        <v>0</v>
      </c>
      <c r="P21" s="14" t="str">
        <f>IF(tblHorasMar[Horas Trabalhadas Além Jornada]&lt;0,IF(OR(tblHorasMar[Evento 
(1º Período)]="",tblHorasMar[Evento 
(2º Período)]=""),tblHorasMar[Horas Trabalhadas Além Jornada],""),"")</f>
        <v/>
      </c>
      <c r="Q21" s="14" t="str">
        <f>IF(tblHorasMar[Jornada Diária]&lt;&gt;"",IF((N(tblHorasMar[Jornada Diária])-ABS(N(tblHorasMar[Horas Trabalhadas Além Jornada])))=0,1,""),"")</f>
        <v/>
      </c>
      <c r="R21" s="14" t="str">
        <f>IF(tblHorasMar[Horas Trabalhadas Além Jornada]&gt;0,
IF(AND(VLOOKUP(TEXT(tblHorasMar[Data],"dddd"),tblDiaUtil[],3,FALSE)="Sim",IF(tblHorasMar[Evento 
(1º Período)]&lt;&gt;"",IF(VLOOKUP(tblHorasMar[Evento 
(1º Período)],tblEvento[],Tabelas!$E$1,FALSE)="Sim",FALSE,TRUE),TRUE),IF(tblHorasMar[Evento 
(2º Período)]&lt;&gt;"",IF(VLOOKUP(tblHorasMar[Evento 
(2º Período)],tblEvento[],Tabelas!$E$1,FALSE)="Sim",FALSE,TRUE),TRUE)),
tblHorasMar[Horas Trabalhadas Além Jornada],""),"")</f>
        <v/>
      </c>
      <c r="S21" s="14" t="str">
        <f>IF(tblHorasMar[Horas Trabalhadas Além Jornada]&gt;0,
IF(OR(VLOOKUP(TEXT(tblHorasMar[Data],"dddd"),tblDiaUtil[],3,FALSE)="Não",IF(tblHorasMar[Evento 
(1º Período)]&lt;&gt;"",IF(VLOOKUP(tblHorasMar[Evento 
(1º Período)],tblEvento[],Tabelas!$E$1,FALSE)="Sim",TRUE,FALSE),FALSE),IF(tblHorasMar[Evento 
(2º Período)]&lt;&gt;"",IF(VLOOKUP(tblHorasMar[Evento 
(2º Período)],tblEvento[],Tabelas!$E$1,FALSE)="Sim",TRUE,FALSE),FALSE)),
tblHorasMar[Horas Trabalhadas Além Jornada],""),"")</f>
        <v/>
      </c>
      <c r="T21" s="15" t="str">
        <f>IF(tblHorasMar[Evento 
(1º Período)]&lt;&gt;""," - " &amp;VLOOKUP(tblHorasMar[Evento 
(1º Período)],tblEvento[],Tabelas!$F$1,FALSE),"")&amp;IF(AND(tblHorasMar[Evento 
(2º Período)]&lt;&gt;"",tblHorasMar[Evento 
(2º Período)]&lt;&gt;tblHorasMar[Evento 
(1º Período)])," - " &amp; VLOOKUP(tblHorasMar[Evento 
(2º Período)],tblEvento[],Tabelas!$F$1,FALSE),"")</f>
        <v/>
      </c>
    </row>
    <row r="22" spans="2:20" x14ac:dyDescent="0.25">
      <c r="B22" s="11" t="str">
        <f t="shared" si="0"/>
        <v/>
      </c>
      <c r="C22" s="12" t="str">
        <f>TEXT(tblHorasMar[Data],"ddd")</f>
        <v/>
      </c>
      <c r="D22" s="25"/>
      <c r="E22" s="1"/>
      <c r="F22" s="1"/>
      <c r="G22" s="1"/>
      <c r="H22" s="1"/>
      <c r="I22" s="53"/>
      <c r="J22" s="4">
        <f>IF($B$6&lt;&gt;"",
IF(AND(tblHorasMar[Evento 
(1º Período)]&lt;&gt;"",IF(ISERROR(VLOOKUP(tblHorasMar[Evento 
(1º Período)],tblEvento[],Tabelas!$D$1,FALSE)),FALSE,VLOOKUP(tblHorasMar[Evento 
(1º Período)],tblEvento[],Tabelas!$D$1,FALSE)="Sim")),
        IF(JORNADA_PERIODO_1&lt;&gt;"",
IF(VLOOKUP(tblHorasMar[Dia],tblDiaUtil[[Abreviatura]:[1º Período]],3,FALSE)&gt;0,VLOOKUP(tblHorasMar[Dia],tblDiaUtil[[Abreviatura]:[1º Período]],3,FALSE),JORNADA_PERIODO_1),
IF(VLOOKUP(tblHorasMar[Dia],tblDiaUtil[[Abreviatura]:[1º Período]],3,FALSE)&gt;0,VLOOKUP(tblHorasMar[Dia],tblDiaUtil[[Abreviatura]:[1º Período]],3,FALSE),JORNADA/2)),
        IF(AND(ISNUMBER(tblHorasMar[Saída - 1 (Almoço)]),ISNUMBER(tblHorasMar[Entrada - 1])),
              IF(OR(AND(tblHorasMar[Evento 
(1º Período)]&lt;&gt;"",IF(ISERROR(VLOOKUP(tblHorasMar[Evento 
(1º Período)],tblEvento[],Tabelas!$E$1,FALSE)),FALSE,VLOOKUP(tblHorasMar[Evento 
(1º Período)],tblEvento[],Tabelas!$E$1,FALSE)="Sim")),IF(VLOOKUP(TEXT(tblHorasMar[Data],"dddd"),tblDiaUtil[],2,FALSE)="Não",TRUE,FALSE)),
                   tblHorasMar[Saída - 1 (Almoço)]-tblHorasMar[Entrada - 1],
                   IF(OR(HOUR(tblHorasMar[Saída - 1 (Almoço)]-tblHorasMar[Entrada - 1])&gt;0,ROUND(tblHorasMar[Saída - 1 (Almoço)]-tblHorasMar[Entrada - 1],6)&gt;ROUND(CARENCIA,6)),
                          tblHorasMar[Saída - 1 (Almoço)]-tblHorasMar[Entrada - 1],
                          0)),
                    0)),0)</f>
        <v>0</v>
      </c>
      <c r="K22" s="4">
        <f>IF($B$6&lt;&gt;"",
IF(AND(tblHorasMar[Evento 
(2º Período)]&lt;&gt;"",IF(ISERROR(VLOOKUP(tblHorasMar[Evento 
(2º Período)],tblEvento[],Tabelas!$D$1,FALSE)),FALSE,VLOOKUP(tblHorasMar[Evento 
(2º Período)],tblEvento[],Tabelas!$D$1,FALSE)="Sim")),
        IF(JORNADA_PERIODO_2&lt;&gt;"",
IF(VLOOKUP(tblHorasMar[Dia],tblDiaUtil[[Abreviatura]:[2º Período]],4,FALSE)&gt;0,VLOOKUP(tblHorasMar[Dia],tblDiaUtil[[Abreviatura]:[2º Período]],4,FALSE),JORNADA_PERIODO_2),
IF(VLOOKUP(tblHorasMar[Dia],tblDiaUtil[[Abreviatura]:[2º Período]],4,FALSE)&gt;0,VLOOKUP(tblHorasMar[Dia],tblDiaUtil[[Abreviatura]:[2º Período]],4,FALSE),JORNADA/2)),
        IF(AND(ISNUMBER(tblHorasMar[Saída - 2]),ISNUMBER(tblHorasMar[Entrada - 2 (Almoço)])),
              IF(OR(AND(tblHorasMar[Evento 
(2º Período)]&lt;&gt;"",IF(ISERROR(VLOOKUP(tblHorasMar[Evento 
(2º Período)],tblEvento[],Tabelas!$E$1,FALSE)),FALSE,VLOOKUP(tblHorasMar[Evento 
(2º Período)],tblEvento[],Tabelas!$E$1,FALSE)="Sim")),IF(VLOOKUP(TEXT(tblHorasMar[Data],"dddd"),tblDiaUtil[],2,FALSE)="Não",TRUE,FALSE)),
                   tblHorasMar[Saída - 2]-tblHorasMar[Entrada - 2 (Almoço)],
                   IF(OR(HOUR(tblHorasMar[Saída - 2]-tblHorasMar[Entrada - 2 (Almoço)])&gt;0,MINUTE(tblHorasMar[Saída - 2]-tblHorasMar[Entrada - 2 (Almoço)])&gt;CARENCIA),
                         tblHorasMar[Saída - 2]-tblHorasMar[Entrada - 2 (Almoço)],
                         0)),
       0)),0)</f>
        <v>0</v>
      </c>
      <c r="L22" s="4">
        <f>tblHorasMar[Horas Trabalhadas (1º Período)]+tblHorasMar[Horas Trabalhadas (2º Período)]</f>
        <v>0</v>
      </c>
      <c r="M22" s="4" t="str">
        <f>IF(tblHorasMar[Data]&lt;&gt;"",
        IF(
AND(VLOOKUP(TEXT(tblHorasMar[Data],"dddd"),tblDiaUtil[],3,FALSE)="Sim",IF(tblHorasMar[Evento 
(1º Período)]&lt;&gt;"",IF(VLOOKUP(tblHorasMar[Evento 
(1º Período)],tblEvento[],Tabelas!$E$1,FALSE)="Sim",FALSE,TRUE),TRUE),IF(tblHorasMar[Evento 
(2º Período)]&lt;&gt;"",IF(VLOOKUP(tblHorasMar[Evento 
(2º Período)],tblEvento[],Tabelas!$E$1,FALSE)="Sim",FALSE,TRUE),TRUE)),
              IF(VLOOKUP(tblHorasMar[Dia],tblDiaUtil[[Abreviatura]:[1º Período]],3,FALSE)&gt;0,VLOOKUP(tblHorasMar[Dia],tblDiaUtil[[Abreviatura]:[1º Período]],3,FALSE),JORNADA),
              ""),
         "")</f>
        <v/>
      </c>
      <c r="N22" s="14">
        <f>IF(OR(tblHorasMar[Horas Trabalhadas (1º Período)]&lt;&gt;0,tblHorasMar[Horas Trabalhadas (2º Período)]&lt;&gt;0),
        IF(ISNUMBER(tblHorasMar[Jornada Diária]),
              IF(tblHorasMar[Jornada Diária]&gt;(tblHorasMar[Horas Trabalhadas (2º Período)]+tblHorasMar[Horas Trabalhadas (1º Período)]),
                     IF(ROUND((tblHorasMar[Jornada Diária]-(tblHorasMar[Horas Trabalhadas (2º Período)]+tblHorasMar[Horas Trabalhadas (1º Período)])),6)&gt;ROUND(CARENCIA,6),
                           -tblHorasMar[Jornada Diária]+(tblHorasMar[Horas Trabalhadas (2º Período)]+tblHorasMar[Horas Trabalhadas (1º Período)]),
                           0),
                      IF(ROUND((tblHorasMar[Jornada Diária]-(tblHorasMar[Horas Trabalhadas (2º Período)]+tblHorasMar[Horas Trabalhadas (1º Período)])),6)&lt;ROUND(-CARENCIA,6),
                           -tblHorasMar[Jornada Diária]+(tblHorasMar[Horas Trabalhadas (2º Período)]+tblHorasMar[Horas Trabalhadas (1º Período)]),
                           0)),
              tblHorasMar[Horas Trabalhadas (2º Período)]+tblHorasMar[Horas Trabalhadas (1º Período)]),
         IF(AND(IF(ISERROR(VLOOKUP(tblHorasMar[Evento 
(1º Período)],tblEvento[[Evento]:[Libera o Período]],4,FALSE)),FALSE,IF(VLOOKUP(tblHorasMar[Evento 
(1º Período)],tblEvento[[Evento]:[Libera o Período]],4,FALSE)="Não",TRUE,FALSE)),IF(ISERROR(VLOOKUP(tblHorasMar[Evento 
(2º Período)],tblEvento[[Evento]:[Libera o Período]],4,FALSE)),FALSE,IF(VLOOKUP(tblHorasMar[Evento 
(2º Período)],tblEvento[[Evento]:[Libera o Período]],4,FALSE)="Não",TRUE,FALSE))),
-IF(VLOOKUP(tblHorasMar[Dia],tblDiaUtil[[Abreviatura]:[Total Jornada]],5,FALSE)&lt;&gt;"",VLOOKUP(tblHorasMar[Dia],tblDiaUtil[[Abreviatura]:[Total Jornada]],5,FALSE),JORNADA),
IF(IF(ISERROR(VLOOKUP(tblHorasMar[Evento 
(1º Período)],tblEvento[[Evento]:[Libera o Período]],4,FALSE)),FALSE,
IF(VLOOKUP(tblHorasMar[Evento 
(1º Período)],tblEvento[[Evento]:[Libera o Período]],4,FALSE)="Não",TRUE,FALSE)
),
-IF(VLOOKUP(tblHorasMar[Dia],tblDiaUtil[[Abreviatura]:[1º Período]],3,FALSE)&lt;&gt;"",VLOOKUP(tblHorasMar[Dia],tblDiaUtil[[Abreviatura]:[1º Período]],3,FALSE),JORNADA_PERIODO_1),
IF(IF(ISERROR(VLOOKUP(tblHorasMar[Evento 
(2º Período)],tblEvento[[Evento]:[Libera o Período]],4,FALSE)),FALSE,IF(VLOOKUP(tblHorasMar[Evento 
(2º Período)],tblEvento[[Evento]:[Libera o Período]],4,FALSE)="Não",TRUE,FALSE)),
-IF(VLOOKUP(tblHorasMar[Dia],tblDiaUtil[[Abreviatura]:[2º Período]],4,FALSE)&lt;&gt;"",VLOOKUP(tblHorasMar[Dia],tblDiaUtil[[Abreviatura]:[2º Período]],4,FALSE),JORNADA_PERIODO_2),0))))</f>
        <v>0</v>
      </c>
      <c r="O22" s="14">
        <f>IF(tblHorasMar[Horas Trabalhadas Além Jornada]&gt;0,
        IF(ISNUMBER(tblHorasMar[Jornada Diária]),
              IF(HOUR(tblHorasMar[Horas Trabalhadas Além Jornada])&gt;=VLOOKUP(LIMITE,tblLimiteHora[],Tabelas!$I$1,FALSE),
                    VLOOKUP(LIMITE,tblLimiteHora[],Tabelas!$J$1,FALSE),
                    tblHorasMar[Horas Trabalhadas Além Jornada]),
              tblHorasMar[Horas Trabalhadas Além Jornada]),
        tblHorasMar[Horas Trabalhadas Além Jornada])+O21</f>
        <v>0</v>
      </c>
      <c r="P22" s="14" t="str">
        <f>IF(tblHorasMar[Horas Trabalhadas Além Jornada]&lt;0,IF(OR(tblHorasMar[Evento 
(1º Período)]="",tblHorasMar[Evento 
(2º Período)]=""),tblHorasMar[Horas Trabalhadas Além Jornada],""),"")</f>
        <v/>
      </c>
      <c r="Q22" s="14" t="str">
        <f>IF(tblHorasMar[Jornada Diária]&lt;&gt;"",IF((N(tblHorasMar[Jornada Diária])-ABS(N(tblHorasMar[Horas Trabalhadas Além Jornada])))=0,1,""),"")</f>
        <v/>
      </c>
      <c r="R22" s="14" t="str">
        <f>IF(tblHorasMar[Horas Trabalhadas Além Jornada]&gt;0,
IF(AND(VLOOKUP(TEXT(tblHorasMar[Data],"dddd"),tblDiaUtil[],3,FALSE)="Sim",IF(tblHorasMar[Evento 
(1º Período)]&lt;&gt;"",IF(VLOOKUP(tblHorasMar[Evento 
(1º Período)],tblEvento[],Tabelas!$E$1,FALSE)="Sim",FALSE,TRUE),TRUE),IF(tblHorasMar[Evento 
(2º Período)]&lt;&gt;"",IF(VLOOKUP(tblHorasMar[Evento 
(2º Período)],tblEvento[],Tabelas!$E$1,FALSE)="Sim",FALSE,TRUE),TRUE)),
tblHorasMar[Horas Trabalhadas Além Jornada],""),"")</f>
        <v/>
      </c>
      <c r="S22" s="14" t="str">
        <f>IF(tblHorasMar[Horas Trabalhadas Além Jornada]&gt;0,
IF(OR(VLOOKUP(TEXT(tblHorasMar[Data],"dddd"),tblDiaUtil[],3,FALSE)="Não",IF(tblHorasMar[Evento 
(1º Período)]&lt;&gt;"",IF(VLOOKUP(tblHorasMar[Evento 
(1º Período)],tblEvento[],Tabelas!$E$1,FALSE)="Sim",TRUE,FALSE),FALSE),IF(tblHorasMar[Evento 
(2º Período)]&lt;&gt;"",IF(VLOOKUP(tblHorasMar[Evento 
(2º Período)],tblEvento[],Tabelas!$E$1,FALSE)="Sim",TRUE,FALSE),FALSE)),
tblHorasMar[Horas Trabalhadas Além Jornada],""),"")</f>
        <v/>
      </c>
      <c r="T22" s="15" t="str">
        <f>IF(tblHorasMar[Evento 
(1º Período)]&lt;&gt;""," - " &amp;VLOOKUP(tblHorasMar[Evento 
(1º Período)],tblEvento[],Tabelas!$F$1,FALSE),"")&amp;IF(AND(tblHorasMar[Evento 
(2º Período)]&lt;&gt;"",tblHorasMar[Evento 
(2º Período)]&lt;&gt;tblHorasMar[Evento 
(1º Período)])," - " &amp; VLOOKUP(tblHorasMar[Evento 
(2º Período)],tblEvento[],Tabelas!$F$1,FALSE),"")</f>
        <v/>
      </c>
    </row>
    <row r="23" spans="2:20" x14ac:dyDescent="0.25">
      <c r="B23" s="11" t="str">
        <f t="shared" si="0"/>
        <v/>
      </c>
      <c r="C23" s="12" t="str">
        <f>TEXT(tblHorasMar[Data],"ddd")</f>
        <v/>
      </c>
      <c r="D23" s="25"/>
      <c r="E23" s="1"/>
      <c r="F23" s="1"/>
      <c r="G23" s="1"/>
      <c r="H23" s="1"/>
      <c r="I23" s="53"/>
      <c r="J23" s="4">
        <f>IF($B$6&lt;&gt;"",
IF(AND(tblHorasMar[Evento 
(1º Período)]&lt;&gt;"",IF(ISERROR(VLOOKUP(tblHorasMar[Evento 
(1º Período)],tblEvento[],Tabelas!$D$1,FALSE)),FALSE,VLOOKUP(tblHorasMar[Evento 
(1º Período)],tblEvento[],Tabelas!$D$1,FALSE)="Sim")),
        IF(JORNADA_PERIODO_1&lt;&gt;"",
IF(VLOOKUP(tblHorasMar[Dia],tblDiaUtil[[Abreviatura]:[1º Período]],3,FALSE)&gt;0,VLOOKUP(tblHorasMar[Dia],tblDiaUtil[[Abreviatura]:[1º Período]],3,FALSE),JORNADA_PERIODO_1),
IF(VLOOKUP(tblHorasMar[Dia],tblDiaUtil[[Abreviatura]:[1º Período]],3,FALSE)&gt;0,VLOOKUP(tblHorasMar[Dia],tblDiaUtil[[Abreviatura]:[1º Período]],3,FALSE),JORNADA/2)),
        IF(AND(ISNUMBER(tblHorasMar[Saída - 1 (Almoço)]),ISNUMBER(tblHorasMar[Entrada - 1])),
              IF(OR(AND(tblHorasMar[Evento 
(1º Período)]&lt;&gt;"",IF(ISERROR(VLOOKUP(tblHorasMar[Evento 
(1º Período)],tblEvento[],Tabelas!$E$1,FALSE)),FALSE,VLOOKUP(tblHorasMar[Evento 
(1º Período)],tblEvento[],Tabelas!$E$1,FALSE)="Sim")),IF(VLOOKUP(TEXT(tblHorasMar[Data],"dddd"),tblDiaUtil[],2,FALSE)="Não",TRUE,FALSE)),
                   tblHorasMar[Saída - 1 (Almoço)]-tblHorasMar[Entrada - 1],
                   IF(OR(HOUR(tblHorasMar[Saída - 1 (Almoço)]-tblHorasMar[Entrada - 1])&gt;0,ROUND(tblHorasMar[Saída - 1 (Almoço)]-tblHorasMar[Entrada - 1],6)&gt;ROUND(CARENCIA,6)),
                          tblHorasMar[Saída - 1 (Almoço)]-tblHorasMar[Entrada - 1],
                          0)),
                    0)),0)</f>
        <v>0</v>
      </c>
      <c r="K23" s="4">
        <f>IF($B$6&lt;&gt;"",
IF(AND(tblHorasMar[Evento 
(2º Período)]&lt;&gt;"",IF(ISERROR(VLOOKUP(tblHorasMar[Evento 
(2º Período)],tblEvento[],Tabelas!$D$1,FALSE)),FALSE,VLOOKUP(tblHorasMar[Evento 
(2º Período)],tblEvento[],Tabelas!$D$1,FALSE)="Sim")),
        IF(JORNADA_PERIODO_2&lt;&gt;"",
IF(VLOOKUP(tblHorasMar[Dia],tblDiaUtil[[Abreviatura]:[2º Período]],4,FALSE)&gt;0,VLOOKUP(tblHorasMar[Dia],tblDiaUtil[[Abreviatura]:[2º Período]],4,FALSE),JORNADA_PERIODO_2),
IF(VLOOKUP(tblHorasMar[Dia],tblDiaUtil[[Abreviatura]:[2º Período]],4,FALSE)&gt;0,VLOOKUP(tblHorasMar[Dia],tblDiaUtil[[Abreviatura]:[2º Período]],4,FALSE),JORNADA/2)),
        IF(AND(ISNUMBER(tblHorasMar[Saída - 2]),ISNUMBER(tblHorasMar[Entrada - 2 (Almoço)])),
              IF(OR(AND(tblHorasMar[Evento 
(2º Período)]&lt;&gt;"",IF(ISERROR(VLOOKUP(tblHorasMar[Evento 
(2º Período)],tblEvento[],Tabelas!$E$1,FALSE)),FALSE,VLOOKUP(tblHorasMar[Evento 
(2º Período)],tblEvento[],Tabelas!$E$1,FALSE)="Sim")),IF(VLOOKUP(TEXT(tblHorasMar[Data],"dddd"),tblDiaUtil[],2,FALSE)="Não",TRUE,FALSE)),
                   tblHorasMar[Saída - 2]-tblHorasMar[Entrada - 2 (Almoço)],
                   IF(OR(HOUR(tblHorasMar[Saída - 2]-tblHorasMar[Entrada - 2 (Almoço)])&gt;0,MINUTE(tblHorasMar[Saída - 2]-tblHorasMar[Entrada - 2 (Almoço)])&gt;CARENCIA),
                         tblHorasMar[Saída - 2]-tblHorasMar[Entrada - 2 (Almoço)],
                         0)),
       0)),0)</f>
        <v>0</v>
      </c>
      <c r="L23" s="4">
        <f>tblHorasMar[Horas Trabalhadas (1º Período)]+tblHorasMar[Horas Trabalhadas (2º Período)]</f>
        <v>0</v>
      </c>
      <c r="M23" s="4" t="str">
        <f>IF(tblHorasMar[Data]&lt;&gt;"",
        IF(
AND(VLOOKUP(TEXT(tblHorasMar[Data],"dddd"),tblDiaUtil[],3,FALSE)="Sim",IF(tblHorasMar[Evento 
(1º Período)]&lt;&gt;"",IF(VLOOKUP(tblHorasMar[Evento 
(1º Período)],tblEvento[],Tabelas!$E$1,FALSE)="Sim",FALSE,TRUE),TRUE),IF(tblHorasMar[Evento 
(2º Período)]&lt;&gt;"",IF(VLOOKUP(tblHorasMar[Evento 
(2º Período)],tblEvento[],Tabelas!$E$1,FALSE)="Sim",FALSE,TRUE),TRUE)),
              IF(VLOOKUP(tblHorasMar[Dia],tblDiaUtil[[Abreviatura]:[1º Período]],3,FALSE)&gt;0,VLOOKUP(tblHorasMar[Dia],tblDiaUtil[[Abreviatura]:[1º Período]],3,FALSE),JORNADA),
              ""),
         "")</f>
        <v/>
      </c>
      <c r="N23" s="14">
        <f>IF(OR(tblHorasMar[Horas Trabalhadas (1º Período)]&lt;&gt;0,tblHorasMar[Horas Trabalhadas (2º Período)]&lt;&gt;0),
        IF(ISNUMBER(tblHorasMar[Jornada Diária]),
              IF(tblHorasMar[Jornada Diária]&gt;(tblHorasMar[Horas Trabalhadas (2º Período)]+tblHorasMar[Horas Trabalhadas (1º Período)]),
                     IF(ROUND((tblHorasMar[Jornada Diária]-(tblHorasMar[Horas Trabalhadas (2º Período)]+tblHorasMar[Horas Trabalhadas (1º Período)])),6)&gt;ROUND(CARENCIA,6),
                           -tblHorasMar[Jornada Diária]+(tblHorasMar[Horas Trabalhadas (2º Período)]+tblHorasMar[Horas Trabalhadas (1º Período)]),
                           0),
                      IF(ROUND((tblHorasMar[Jornada Diária]-(tblHorasMar[Horas Trabalhadas (2º Período)]+tblHorasMar[Horas Trabalhadas (1º Período)])),6)&lt;ROUND(-CARENCIA,6),
                           -tblHorasMar[Jornada Diária]+(tblHorasMar[Horas Trabalhadas (2º Período)]+tblHorasMar[Horas Trabalhadas (1º Período)]),
                           0)),
              tblHorasMar[Horas Trabalhadas (2º Período)]+tblHorasMar[Horas Trabalhadas (1º Período)]),
         IF(AND(IF(ISERROR(VLOOKUP(tblHorasMar[Evento 
(1º Período)],tblEvento[[Evento]:[Libera o Período]],4,FALSE)),FALSE,IF(VLOOKUP(tblHorasMar[Evento 
(1º Período)],tblEvento[[Evento]:[Libera o Período]],4,FALSE)="Não",TRUE,FALSE)),IF(ISERROR(VLOOKUP(tblHorasMar[Evento 
(2º Período)],tblEvento[[Evento]:[Libera o Período]],4,FALSE)),FALSE,IF(VLOOKUP(tblHorasMar[Evento 
(2º Período)],tblEvento[[Evento]:[Libera o Período]],4,FALSE)="Não",TRUE,FALSE))),
-IF(VLOOKUP(tblHorasMar[Dia],tblDiaUtil[[Abreviatura]:[Total Jornada]],5,FALSE)&lt;&gt;"",VLOOKUP(tblHorasMar[Dia],tblDiaUtil[[Abreviatura]:[Total Jornada]],5,FALSE),JORNADA),
IF(IF(ISERROR(VLOOKUP(tblHorasMar[Evento 
(1º Período)],tblEvento[[Evento]:[Libera o Período]],4,FALSE)),FALSE,
IF(VLOOKUP(tblHorasMar[Evento 
(1º Período)],tblEvento[[Evento]:[Libera o Período]],4,FALSE)="Não",TRUE,FALSE)
),
-IF(VLOOKUP(tblHorasMar[Dia],tblDiaUtil[[Abreviatura]:[1º Período]],3,FALSE)&lt;&gt;"",VLOOKUP(tblHorasMar[Dia],tblDiaUtil[[Abreviatura]:[1º Período]],3,FALSE),JORNADA_PERIODO_1),
IF(IF(ISERROR(VLOOKUP(tblHorasMar[Evento 
(2º Período)],tblEvento[[Evento]:[Libera o Período]],4,FALSE)),FALSE,IF(VLOOKUP(tblHorasMar[Evento 
(2º Período)],tblEvento[[Evento]:[Libera o Período]],4,FALSE)="Não",TRUE,FALSE)),
-IF(VLOOKUP(tblHorasMar[Dia],tblDiaUtil[[Abreviatura]:[2º Período]],4,FALSE)&lt;&gt;"",VLOOKUP(tblHorasMar[Dia],tblDiaUtil[[Abreviatura]:[2º Período]],4,FALSE),JORNADA_PERIODO_2),0))))</f>
        <v>0</v>
      </c>
      <c r="O23" s="14">
        <f>IF(tblHorasMar[Horas Trabalhadas Além Jornada]&gt;0,
        IF(ISNUMBER(tblHorasMar[Jornada Diária]),
              IF(HOUR(tblHorasMar[Horas Trabalhadas Além Jornada])&gt;=VLOOKUP(LIMITE,tblLimiteHora[],Tabelas!$I$1,FALSE),
                    VLOOKUP(LIMITE,tblLimiteHora[],Tabelas!$J$1,FALSE),
                    tblHorasMar[Horas Trabalhadas Além Jornada]),
              tblHorasMar[Horas Trabalhadas Além Jornada]),
        tblHorasMar[Horas Trabalhadas Além Jornada])+O22</f>
        <v>0</v>
      </c>
      <c r="P23" s="14" t="str">
        <f>IF(tblHorasMar[Horas Trabalhadas Além Jornada]&lt;0,IF(OR(tblHorasMar[Evento 
(1º Período)]="",tblHorasMar[Evento 
(2º Período)]=""),tblHorasMar[Horas Trabalhadas Além Jornada],""),"")</f>
        <v/>
      </c>
      <c r="Q23" s="14" t="str">
        <f>IF(tblHorasMar[Jornada Diária]&lt;&gt;"",IF((N(tblHorasMar[Jornada Diária])-ABS(N(tblHorasMar[Horas Trabalhadas Além Jornada])))=0,1,""),"")</f>
        <v/>
      </c>
      <c r="R23" s="14" t="str">
        <f>IF(tblHorasMar[Horas Trabalhadas Além Jornada]&gt;0,
IF(AND(VLOOKUP(TEXT(tblHorasMar[Data],"dddd"),tblDiaUtil[],3,FALSE)="Sim",IF(tblHorasMar[Evento 
(1º Período)]&lt;&gt;"",IF(VLOOKUP(tblHorasMar[Evento 
(1º Período)],tblEvento[],Tabelas!$E$1,FALSE)="Sim",FALSE,TRUE),TRUE),IF(tblHorasMar[Evento 
(2º Período)]&lt;&gt;"",IF(VLOOKUP(tblHorasMar[Evento 
(2º Período)],tblEvento[],Tabelas!$E$1,FALSE)="Sim",FALSE,TRUE),TRUE)),
tblHorasMar[Horas Trabalhadas Além Jornada],""),"")</f>
        <v/>
      </c>
      <c r="S23" s="14" t="str">
        <f>IF(tblHorasMar[Horas Trabalhadas Além Jornada]&gt;0,
IF(OR(VLOOKUP(TEXT(tblHorasMar[Data],"dddd"),tblDiaUtil[],3,FALSE)="Não",IF(tblHorasMar[Evento 
(1º Período)]&lt;&gt;"",IF(VLOOKUP(tblHorasMar[Evento 
(1º Período)],tblEvento[],Tabelas!$E$1,FALSE)="Sim",TRUE,FALSE),FALSE),IF(tblHorasMar[Evento 
(2º Período)]&lt;&gt;"",IF(VLOOKUP(tblHorasMar[Evento 
(2º Período)],tblEvento[],Tabelas!$E$1,FALSE)="Sim",TRUE,FALSE),FALSE)),
tblHorasMar[Horas Trabalhadas Além Jornada],""),"")</f>
        <v/>
      </c>
      <c r="T23" s="15" t="str">
        <f>IF(tblHorasMar[Evento 
(1º Período)]&lt;&gt;""," - " &amp;VLOOKUP(tblHorasMar[Evento 
(1º Período)],tblEvento[],Tabelas!$F$1,FALSE),"")&amp;IF(AND(tblHorasMar[Evento 
(2º Período)]&lt;&gt;"",tblHorasMar[Evento 
(2º Período)]&lt;&gt;tblHorasMar[Evento 
(1º Período)])," - " &amp; VLOOKUP(tblHorasMar[Evento 
(2º Período)],tblEvento[],Tabelas!$F$1,FALSE),"")</f>
        <v/>
      </c>
    </row>
    <row r="24" spans="2:20" x14ac:dyDescent="0.25">
      <c r="B24" s="11" t="str">
        <f t="shared" si="0"/>
        <v/>
      </c>
      <c r="C24" s="12" t="str">
        <f>TEXT(tblHorasMar[Data],"ddd")</f>
        <v/>
      </c>
      <c r="D24" s="25"/>
      <c r="E24" s="1"/>
      <c r="F24" s="1"/>
      <c r="G24" s="1"/>
      <c r="H24" s="1"/>
      <c r="I24" s="53"/>
      <c r="J24" s="4">
        <f>IF($B$6&lt;&gt;"",
IF(AND(tblHorasMar[Evento 
(1º Período)]&lt;&gt;"",IF(ISERROR(VLOOKUP(tblHorasMar[Evento 
(1º Período)],tblEvento[],Tabelas!$D$1,FALSE)),FALSE,VLOOKUP(tblHorasMar[Evento 
(1º Período)],tblEvento[],Tabelas!$D$1,FALSE)="Sim")),
        IF(JORNADA_PERIODO_1&lt;&gt;"",
IF(VLOOKUP(tblHorasMar[Dia],tblDiaUtil[[Abreviatura]:[1º Período]],3,FALSE)&gt;0,VLOOKUP(tblHorasMar[Dia],tblDiaUtil[[Abreviatura]:[1º Período]],3,FALSE),JORNADA_PERIODO_1),
IF(VLOOKUP(tblHorasMar[Dia],tblDiaUtil[[Abreviatura]:[1º Período]],3,FALSE)&gt;0,VLOOKUP(tblHorasMar[Dia],tblDiaUtil[[Abreviatura]:[1º Período]],3,FALSE),JORNADA/2)),
        IF(AND(ISNUMBER(tblHorasMar[Saída - 1 (Almoço)]),ISNUMBER(tblHorasMar[Entrada - 1])),
              IF(OR(AND(tblHorasMar[Evento 
(1º Período)]&lt;&gt;"",IF(ISERROR(VLOOKUP(tblHorasMar[Evento 
(1º Período)],tblEvento[],Tabelas!$E$1,FALSE)),FALSE,VLOOKUP(tblHorasMar[Evento 
(1º Período)],tblEvento[],Tabelas!$E$1,FALSE)="Sim")),IF(VLOOKUP(TEXT(tblHorasMar[Data],"dddd"),tblDiaUtil[],2,FALSE)="Não",TRUE,FALSE)),
                   tblHorasMar[Saída - 1 (Almoço)]-tblHorasMar[Entrada - 1],
                   IF(OR(HOUR(tblHorasMar[Saída - 1 (Almoço)]-tblHorasMar[Entrada - 1])&gt;0,ROUND(tblHorasMar[Saída - 1 (Almoço)]-tblHorasMar[Entrada - 1],6)&gt;ROUND(CARENCIA,6)),
                          tblHorasMar[Saída - 1 (Almoço)]-tblHorasMar[Entrada - 1],
                          0)),
                    0)),0)</f>
        <v>0</v>
      </c>
      <c r="K24" s="4">
        <f>IF($B$6&lt;&gt;"",
IF(AND(tblHorasMar[Evento 
(2º Período)]&lt;&gt;"",IF(ISERROR(VLOOKUP(tblHorasMar[Evento 
(2º Período)],tblEvento[],Tabelas!$D$1,FALSE)),FALSE,VLOOKUP(tblHorasMar[Evento 
(2º Período)],tblEvento[],Tabelas!$D$1,FALSE)="Sim")),
        IF(JORNADA_PERIODO_2&lt;&gt;"",
IF(VLOOKUP(tblHorasMar[Dia],tblDiaUtil[[Abreviatura]:[2º Período]],4,FALSE)&gt;0,VLOOKUP(tblHorasMar[Dia],tblDiaUtil[[Abreviatura]:[2º Período]],4,FALSE),JORNADA_PERIODO_2),
IF(VLOOKUP(tblHorasMar[Dia],tblDiaUtil[[Abreviatura]:[2º Período]],4,FALSE)&gt;0,VLOOKUP(tblHorasMar[Dia],tblDiaUtil[[Abreviatura]:[2º Período]],4,FALSE),JORNADA/2)),
        IF(AND(ISNUMBER(tblHorasMar[Saída - 2]),ISNUMBER(tblHorasMar[Entrada - 2 (Almoço)])),
              IF(OR(AND(tblHorasMar[Evento 
(2º Período)]&lt;&gt;"",IF(ISERROR(VLOOKUP(tblHorasMar[Evento 
(2º Período)],tblEvento[],Tabelas!$E$1,FALSE)),FALSE,VLOOKUP(tblHorasMar[Evento 
(2º Período)],tblEvento[],Tabelas!$E$1,FALSE)="Sim")),IF(VLOOKUP(TEXT(tblHorasMar[Data],"dddd"),tblDiaUtil[],2,FALSE)="Não",TRUE,FALSE)),
                   tblHorasMar[Saída - 2]-tblHorasMar[Entrada - 2 (Almoço)],
                   IF(OR(HOUR(tblHorasMar[Saída - 2]-tblHorasMar[Entrada - 2 (Almoço)])&gt;0,MINUTE(tblHorasMar[Saída - 2]-tblHorasMar[Entrada - 2 (Almoço)])&gt;CARENCIA),
                         tblHorasMar[Saída - 2]-tblHorasMar[Entrada - 2 (Almoço)],
                         0)),
       0)),0)</f>
        <v>0</v>
      </c>
      <c r="L24" s="4">
        <f>tblHorasMar[Horas Trabalhadas (1º Período)]+tblHorasMar[Horas Trabalhadas (2º Período)]</f>
        <v>0</v>
      </c>
      <c r="M24" s="4" t="str">
        <f>IF(tblHorasMar[Data]&lt;&gt;"",
        IF(
AND(VLOOKUP(TEXT(tblHorasMar[Data],"dddd"),tblDiaUtil[],3,FALSE)="Sim",IF(tblHorasMar[Evento 
(1º Período)]&lt;&gt;"",IF(VLOOKUP(tblHorasMar[Evento 
(1º Período)],tblEvento[],Tabelas!$E$1,FALSE)="Sim",FALSE,TRUE),TRUE),IF(tblHorasMar[Evento 
(2º Período)]&lt;&gt;"",IF(VLOOKUP(tblHorasMar[Evento 
(2º Período)],tblEvento[],Tabelas!$E$1,FALSE)="Sim",FALSE,TRUE),TRUE)),
              IF(VLOOKUP(tblHorasMar[Dia],tblDiaUtil[[Abreviatura]:[1º Período]],3,FALSE)&gt;0,VLOOKUP(tblHorasMar[Dia],tblDiaUtil[[Abreviatura]:[1º Período]],3,FALSE),JORNADA),
              ""),
         "")</f>
        <v/>
      </c>
      <c r="N24" s="14">
        <f>IF(OR(tblHorasMar[Horas Trabalhadas (1º Período)]&lt;&gt;0,tblHorasMar[Horas Trabalhadas (2º Período)]&lt;&gt;0),
        IF(ISNUMBER(tblHorasMar[Jornada Diária]),
              IF(tblHorasMar[Jornada Diária]&gt;(tblHorasMar[Horas Trabalhadas (2º Período)]+tblHorasMar[Horas Trabalhadas (1º Período)]),
                     IF(ROUND((tblHorasMar[Jornada Diária]-(tblHorasMar[Horas Trabalhadas (2º Período)]+tblHorasMar[Horas Trabalhadas (1º Período)])),6)&gt;ROUND(CARENCIA,6),
                           -tblHorasMar[Jornada Diária]+(tblHorasMar[Horas Trabalhadas (2º Período)]+tblHorasMar[Horas Trabalhadas (1º Período)]),
                           0),
                      IF(ROUND((tblHorasMar[Jornada Diária]-(tblHorasMar[Horas Trabalhadas (2º Período)]+tblHorasMar[Horas Trabalhadas (1º Período)])),6)&lt;ROUND(-CARENCIA,6),
                           -tblHorasMar[Jornada Diária]+(tblHorasMar[Horas Trabalhadas (2º Período)]+tblHorasMar[Horas Trabalhadas (1º Período)]),
                           0)),
              tblHorasMar[Horas Trabalhadas (2º Período)]+tblHorasMar[Horas Trabalhadas (1º Período)]),
         IF(AND(IF(ISERROR(VLOOKUP(tblHorasMar[Evento 
(1º Período)],tblEvento[[Evento]:[Libera o Período]],4,FALSE)),FALSE,IF(VLOOKUP(tblHorasMar[Evento 
(1º Período)],tblEvento[[Evento]:[Libera o Período]],4,FALSE)="Não",TRUE,FALSE)),IF(ISERROR(VLOOKUP(tblHorasMar[Evento 
(2º Período)],tblEvento[[Evento]:[Libera o Período]],4,FALSE)),FALSE,IF(VLOOKUP(tblHorasMar[Evento 
(2º Período)],tblEvento[[Evento]:[Libera o Período]],4,FALSE)="Não",TRUE,FALSE))),
-IF(VLOOKUP(tblHorasMar[Dia],tblDiaUtil[[Abreviatura]:[Total Jornada]],5,FALSE)&lt;&gt;"",VLOOKUP(tblHorasMar[Dia],tblDiaUtil[[Abreviatura]:[Total Jornada]],5,FALSE),JORNADA),
IF(IF(ISERROR(VLOOKUP(tblHorasMar[Evento 
(1º Período)],tblEvento[[Evento]:[Libera o Período]],4,FALSE)),FALSE,
IF(VLOOKUP(tblHorasMar[Evento 
(1º Período)],tblEvento[[Evento]:[Libera o Período]],4,FALSE)="Não",TRUE,FALSE)
),
-IF(VLOOKUP(tblHorasMar[Dia],tblDiaUtil[[Abreviatura]:[1º Período]],3,FALSE)&lt;&gt;"",VLOOKUP(tblHorasMar[Dia],tblDiaUtil[[Abreviatura]:[1º Período]],3,FALSE),JORNADA_PERIODO_1),
IF(IF(ISERROR(VLOOKUP(tblHorasMar[Evento 
(2º Período)],tblEvento[[Evento]:[Libera o Período]],4,FALSE)),FALSE,IF(VLOOKUP(tblHorasMar[Evento 
(2º Período)],tblEvento[[Evento]:[Libera o Período]],4,FALSE)="Não",TRUE,FALSE)),
-IF(VLOOKUP(tblHorasMar[Dia],tblDiaUtil[[Abreviatura]:[2º Período]],4,FALSE)&lt;&gt;"",VLOOKUP(tblHorasMar[Dia],tblDiaUtil[[Abreviatura]:[2º Período]],4,FALSE),JORNADA_PERIODO_2),0))))</f>
        <v>0</v>
      </c>
      <c r="O24" s="14">
        <f>IF(tblHorasMar[Horas Trabalhadas Além Jornada]&gt;0,
        IF(ISNUMBER(tblHorasMar[Jornada Diária]),
              IF(HOUR(tblHorasMar[Horas Trabalhadas Além Jornada])&gt;=VLOOKUP(LIMITE,tblLimiteHora[],Tabelas!$I$1,FALSE),
                    VLOOKUP(LIMITE,tblLimiteHora[],Tabelas!$J$1,FALSE),
                    tblHorasMar[Horas Trabalhadas Além Jornada]),
              tblHorasMar[Horas Trabalhadas Além Jornada]),
        tblHorasMar[Horas Trabalhadas Além Jornada])+O23</f>
        <v>0</v>
      </c>
      <c r="P24" s="14" t="str">
        <f>IF(tblHorasMar[Horas Trabalhadas Além Jornada]&lt;0,IF(OR(tblHorasMar[Evento 
(1º Período)]="",tblHorasMar[Evento 
(2º Período)]=""),tblHorasMar[Horas Trabalhadas Além Jornada],""),"")</f>
        <v/>
      </c>
      <c r="Q24" s="14" t="str">
        <f>IF(tblHorasMar[Jornada Diária]&lt;&gt;"",IF((N(tblHorasMar[Jornada Diária])-ABS(N(tblHorasMar[Horas Trabalhadas Além Jornada])))=0,1,""),"")</f>
        <v/>
      </c>
      <c r="R24" s="14" t="str">
        <f>IF(tblHorasMar[Horas Trabalhadas Além Jornada]&gt;0,
IF(AND(VLOOKUP(TEXT(tblHorasMar[Data],"dddd"),tblDiaUtil[],3,FALSE)="Sim",IF(tblHorasMar[Evento 
(1º Período)]&lt;&gt;"",IF(VLOOKUP(tblHorasMar[Evento 
(1º Período)],tblEvento[],Tabelas!$E$1,FALSE)="Sim",FALSE,TRUE),TRUE),IF(tblHorasMar[Evento 
(2º Período)]&lt;&gt;"",IF(VLOOKUP(tblHorasMar[Evento 
(2º Período)],tblEvento[],Tabelas!$E$1,FALSE)="Sim",FALSE,TRUE),TRUE)),
tblHorasMar[Horas Trabalhadas Além Jornada],""),"")</f>
        <v/>
      </c>
      <c r="S24" s="14" t="str">
        <f>IF(tblHorasMar[Horas Trabalhadas Além Jornada]&gt;0,
IF(OR(VLOOKUP(TEXT(tblHorasMar[Data],"dddd"),tblDiaUtil[],3,FALSE)="Não",IF(tblHorasMar[Evento 
(1º Período)]&lt;&gt;"",IF(VLOOKUP(tblHorasMar[Evento 
(1º Período)],tblEvento[],Tabelas!$E$1,FALSE)="Sim",TRUE,FALSE),FALSE),IF(tblHorasMar[Evento 
(2º Período)]&lt;&gt;"",IF(VLOOKUP(tblHorasMar[Evento 
(2º Período)],tblEvento[],Tabelas!$E$1,FALSE)="Sim",TRUE,FALSE),FALSE)),
tblHorasMar[Horas Trabalhadas Além Jornada],""),"")</f>
        <v/>
      </c>
      <c r="T24" s="15" t="str">
        <f>IF(tblHorasMar[Evento 
(1º Período)]&lt;&gt;""," - " &amp;VLOOKUP(tblHorasMar[Evento 
(1º Período)],tblEvento[],Tabelas!$F$1,FALSE),"")&amp;IF(AND(tblHorasMar[Evento 
(2º Período)]&lt;&gt;"",tblHorasMar[Evento 
(2º Período)]&lt;&gt;tblHorasMar[Evento 
(1º Período)])," - " &amp; VLOOKUP(tblHorasMar[Evento 
(2º Período)],tblEvento[],Tabelas!$F$1,FALSE),"")</f>
        <v/>
      </c>
    </row>
    <row r="25" spans="2:20" x14ac:dyDescent="0.25">
      <c r="B25" s="11" t="str">
        <f t="shared" si="0"/>
        <v/>
      </c>
      <c r="C25" s="12" t="str">
        <f>TEXT(tblHorasMar[Data],"ddd")</f>
        <v/>
      </c>
      <c r="D25" s="25"/>
      <c r="E25" s="1"/>
      <c r="F25" s="1"/>
      <c r="G25" s="1"/>
      <c r="H25" s="1"/>
      <c r="I25" s="53"/>
      <c r="J25" s="4">
        <f>IF($B$6&lt;&gt;"",
IF(AND(tblHorasMar[Evento 
(1º Período)]&lt;&gt;"",IF(ISERROR(VLOOKUP(tblHorasMar[Evento 
(1º Período)],tblEvento[],Tabelas!$D$1,FALSE)),FALSE,VLOOKUP(tblHorasMar[Evento 
(1º Período)],tblEvento[],Tabelas!$D$1,FALSE)="Sim")),
        IF(JORNADA_PERIODO_1&lt;&gt;"",
IF(VLOOKUP(tblHorasMar[Dia],tblDiaUtil[[Abreviatura]:[1º Período]],3,FALSE)&gt;0,VLOOKUP(tblHorasMar[Dia],tblDiaUtil[[Abreviatura]:[1º Período]],3,FALSE),JORNADA_PERIODO_1),
IF(VLOOKUP(tblHorasMar[Dia],tblDiaUtil[[Abreviatura]:[1º Período]],3,FALSE)&gt;0,VLOOKUP(tblHorasMar[Dia],tblDiaUtil[[Abreviatura]:[1º Período]],3,FALSE),JORNADA/2)),
        IF(AND(ISNUMBER(tblHorasMar[Saída - 1 (Almoço)]),ISNUMBER(tblHorasMar[Entrada - 1])),
              IF(OR(AND(tblHorasMar[Evento 
(1º Período)]&lt;&gt;"",IF(ISERROR(VLOOKUP(tblHorasMar[Evento 
(1º Período)],tblEvento[],Tabelas!$E$1,FALSE)),FALSE,VLOOKUP(tblHorasMar[Evento 
(1º Período)],tblEvento[],Tabelas!$E$1,FALSE)="Sim")),IF(VLOOKUP(TEXT(tblHorasMar[Data],"dddd"),tblDiaUtil[],2,FALSE)="Não",TRUE,FALSE)),
                   tblHorasMar[Saída - 1 (Almoço)]-tblHorasMar[Entrada - 1],
                   IF(OR(HOUR(tblHorasMar[Saída - 1 (Almoço)]-tblHorasMar[Entrada - 1])&gt;0,ROUND(tblHorasMar[Saída - 1 (Almoço)]-tblHorasMar[Entrada - 1],6)&gt;ROUND(CARENCIA,6)),
                          tblHorasMar[Saída - 1 (Almoço)]-tblHorasMar[Entrada - 1],
                          0)),
                    0)),0)</f>
        <v>0</v>
      </c>
      <c r="K25" s="4">
        <f>IF($B$6&lt;&gt;"",
IF(AND(tblHorasMar[Evento 
(2º Período)]&lt;&gt;"",IF(ISERROR(VLOOKUP(tblHorasMar[Evento 
(2º Período)],tblEvento[],Tabelas!$D$1,FALSE)),FALSE,VLOOKUP(tblHorasMar[Evento 
(2º Período)],tblEvento[],Tabelas!$D$1,FALSE)="Sim")),
        IF(JORNADA_PERIODO_2&lt;&gt;"",
IF(VLOOKUP(tblHorasMar[Dia],tblDiaUtil[[Abreviatura]:[2º Período]],4,FALSE)&gt;0,VLOOKUP(tblHorasMar[Dia],tblDiaUtil[[Abreviatura]:[2º Período]],4,FALSE),JORNADA_PERIODO_2),
IF(VLOOKUP(tblHorasMar[Dia],tblDiaUtil[[Abreviatura]:[2º Período]],4,FALSE)&gt;0,VLOOKUP(tblHorasMar[Dia],tblDiaUtil[[Abreviatura]:[2º Período]],4,FALSE),JORNADA/2)),
        IF(AND(ISNUMBER(tblHorasMar[Saída - 2]),ISNUMBER(tblHorasMar[Entrada - 2 (Almoço)])),
              IF(OR(AND(tblHorasMar[Evento 
(2º Período)]&lt;&gt;"",IF(ISERROR(VLOOKUP(tblHorasMar[Evento 
(2º Período)],tblEvento[],Tabelas!$E$1,FALSE)),FALSE,VLOOKUP(tblHorasMar[Evento 
(2º Período)],tblEvento[],Tabelas!$E$1,FALSE)="Sim")),IF(VLOOKUP(TEXT(tblHorasMar[Data],"dddd"),tblDiaUtil[],2,FALSE)="Não",TRUE,FALSE)),
                   tblHorasMar[Saída - 2]-tblHorasMar[Entrada - 2 (Almoço)],
                   IF(OR(HOUR(tblHorasMar[Saída - 2]-tblHorasMar[Entrada - 2 (Almoço)])&gt;0,MINUTE(tblHorasMar[Saída - 2]-tblHorasMar[Entrada - 2 (Almoço)])&gt;CARENCIA),
                         tblHorasMar[Saída - 2]-tblHorasMar[Entrada - 2 (Almoço)],
                         0)),
       0)),0)</f>
        <v>0</v>
      </c>
      <c r="L25" s="4">
        <f>tblHorasMar[Horas Trabalhadas (1º Período)]+tblHorasMar[Horas Trabalhadas (2º Período)]</f>
        <v>0</v>
      </c>
      <c r="M25" s="4" t="str">
        <f>IF(tblHorasMar[Data]&lt;&gt;"",
        IF(
AND(VLOOKUP(TEXT(tblHorasMar[Data],"dddd"),tblDiaUtil[],3,FALSE)="Sim",IF(tblHorasMar[Evento 
(1º Período)]&lt;&gt;"",IF(VLOOKUP(tblHorasMar[Evento 
(1º Período)],tblEvento[],Tabelas!$E$1,FALSE)="Sim",FALSE,TRUE),TRUE),IF(tblHorasMar[Evento 
(2º Período)]&lt;&gt;"",IF(VLOOKUP(tblHorasMar[Evento 
(2º Período)],tblEvento[],Tabelas!$E$1,FALSE)="Sim",FALSE,TRUE),TRUE)),
              IF(VLOOKUP(tblHorasMar[Dia],tblDiaUtil[[Abreviatura]:[1º Período]],3,FALSE)&gt;0,VLOOKUP(tblHorasMar[Dia],tblDiaUtil[[Abreviatura]:[1º Período]],3,FALSE),JORNADA),
              ""),
         "")</f>
        <v/>
      </c>
      <c r="N25" s="14">
        <f>IF(OR(tblHorasMar[Horas Trabalhadas (1º Período)]&lt;&gt;0,tblHorasMar[Horas Trabalhadas (2º Período)]&lt;&gt;0),
        IF(ISNUMBER(tblHorasMar[Jornada Diária]),
              IF(tblHorasMar[Jornada Diária]&gt;(tblHorasMar[Horas Trabalhadas (2º Período)]+tblHorasMar[Horas Trabalhadas (1º Período)]),
                     IF(ROUND((tblHorasMar[Jornada Diária]-(tblHorasMar[Horas Trabalhadas (2º Período)]+tblHorasMar[Horas Trabalhadas (1º Período)])),6)&gt;ROUND(CARENCIA,6),
                           -tblHorasMar[Jornada Diária]+(tblHorasMar[Horas Trabalhadas (2º Período)]+tblHorasMar[Horas Trabalhadas (1º Período)]),
                           0),
                      IF(ROUND((tblHorasMar[Jornada Diária]-(tblHorasMar[Horas Trabalhadas (2º Período)]+tblHorasMar[Horas Trabalhadas (1º Período)])),6)&lt;ROUND(-CARENCIA,6),
                           -tblHorasMar[Jornada Diária]+(tblHorasMar[Horas Trabalhadas (2º Período)]+tblHorasMar[Horas Trabalhadas (1º Período)]),
                           0)),
              tblHorasMar[Horas Trabalhadas (2º Período)]+tblHorasMar[Horas Trabalhadas (1º Período)]),
         IF(AND(IF(ISERROR(VLOOKUP(tblHorasMar[Evento 
(1º Período)],tblEvento[[Evento]:[Libera o Período]],4,FALSE)),FALSE,IF(VLOOKUP(tblHorasMar[Evento 
(1º Período)],tblEvento[[Evento]:[Libera o Período]],4,FALSE)="Não",TRUE,FALSE)),IF(ISERROR(VLOOKUP(tblHorasMar[Evento 
(2º Período)],tblEvento[[Evento]:[Libera o Período]],4,FALSE)),FALSE,IF(VLOOKUP(tblHorasMar[Evento 
(2º Período)],tblEvento[[Evento]:[Libera o Período]],4,FALSE)="Não",TRUE,FALSE))),
-IF(VLOOKUP(tblHorasMar[Dia],tblDiaUtil[[Abreviatura]:[Total Jornada]],5,FALSE)&lt;&gt;"",VLOOKUP(tblHorasMar[Dia],tblDiaUtil[[Abreviatura]:[Total Jornada]],5,FALSE),JORNADA),
IF(IF(ISERROR(VLOOKUP(tblHorasMar[Evento 
(1º Período)],tblEvento[[Evento]:[Libera o Período]],4,FALSE)),FALSE,
IF(VLOOKUP(tblHorasMar[Evento 
(1º Período)],tblEvento[[Evento]:[Libera o Período]],4,FALSE)="Não",TRUE,FALSE)
),
-IF(VLOOKUP(tblHorasMar[Dia],tblDiaUtil[[Abreviatura]:[1º Período]],3,FALSE)&lt;&gt;"",VLOOKUP(tblHorasMar[Dia],tblDiaUtil[[Abreviatura]:[1º Período]],3,FALSE),JORNADA_PERIODO_1),
IF(IF(ISERROR(VLOOKUP(tblHorasMar[Evento 
(2º Período)],tblEvento[[Evento]:[Libera o Período]],4,FALSE)),FALSE,IF(VLOOKUP(tblHorasMar[Evento 
(2º Período)],tblEvento[[Evento]:[Libera o Período]],4,FALSE)="Não",TRUE,FALSE)),
-IF(VLOOKUP(tblHorasMar[Dia],tblDiaUtil[[Abreviatura]:[2º Período]],4,FALSE)&lt;&gt;"",VLOOKUP(tblHorasMar[Dia],tblDiaUtil[[Abreviatura]:[2º Período]],4,FALSE),JORNADA_PERIODO_2),0))))</f>
        <v>0</v>
      </c>
      <c r="O25" s="14">
        <f>IF(tblHorasMar[Horas Trabalhadas Além Jornada]&gt;0,
        IF(ISNUMBER(tblHorasMar[Jornada Diária]),
              IF(HOUR(tblHorasMar[Horas Trabalhadas Além Jornada])&gt;=VLOOKUP(LIMITE,tblLimiteHora[],Tabelas!$I$1,FALSE),
                    VLOOKUP(LIMITE,tblLimiteHora[],Tabelas!$J$1,FALSE),
                    tblHorasMar[Horas Trabalhadas Além Jornada]),
              tblHorasMar[Horas Trabalhadas Além Jornada]),
        tblHorasMar[Horas Trabalhadas Além Jornada])+O24</f>
        <v>0</v>
      </c>
      <c r="P25" s="14" t="str">
        <f>IF(tblHorasMar[Horas Trabalhadas Além Jornada]&lt;0,IF(OR(tblHorasMar[Evento 
(1º Período)]="",tblHorasMar[Evento 
(2º Período)]=""),tblHorasMar[Horas Trabalhadas Além Jornada],""),"")</f>
        <v/>
      </c>
      <c r="Q25" s="14" t="str">
        <f>IF(tblHorasMar[Jornada Diária]&lt;&gt;"",IF((N(tblHorasMar[Jornada Diária])-ABS(N(tblHorasMar[Horas Trabalhadas Além Jornada])))=0,1,""),"")</f>
        <v/>
      </c>
      <c r="R25" s="14" t="str">
        <f>IF(tblHorasMar[Horas Trabalhadas Além Jornada]&gt;0,
IF(AND(VLOOKUP(TEXT(tblHorasMar[Data],"dddd"),tblDiaUtil[],3,FALSE)="Sim",IF(tblHorasMar[Evento 
(1º Período)]&lt;&gt;"",IF(VLOOKUP(tblHorasMar[Evento 
(1º Período)],tblEvento[],Tabelas!$E$1,FALSE)="Sim",FALSE,TRUE),TRUE),IF(tblHorasMar[Evento 
(2º Período)]&lt;&gt;"",IF(VLOOKUP(tblHorasMar[Evento 
(2º Período)],tblEvento[],Tabelas!$E$1,FALSE)="Sim",FALSE,TRUE),TRUE)),
tblHorasMar[Horas Trabalhadas Além Jornada],""),"")</f>
        <v/>
      </c>
      <c r="S25" s="14" t="str">
        <f>IF(tblHorasMar[Horas Trabalhadas Além Jornada]&gt;0,
IF(OR(VLOOKUP(TEXT(tblHorasMar[Data],"dddd"),tblDiaUtil[],3,FALSE)="Não",IF(tblHorasMar[Evento 
(1º Período)]&lt;&gt;"",IF(VLOOKUP(tblHorasMar[Evento 
(1º Período)],tblEvento[],Tabelas!$E$1,FALSE)="Sim",TRUE,FALSE),FALSE),IF(tblHorasMar[Evento 
(2º Período)]&lt;&gt;"",IF(VLOOKUP(tblHorasMar[Evento 
(2º Período)],tblEvento[],Tabelas!$E$1,FALSE)="Sim",TRUE,FALSE),FALSE)),
tblHorasMar[Horas Trabalhadas Além Jornada],""),"")</f>
        <v/>
      </c>
      <c r="T25" s="15" t="str">
        <f>IF(tblHorasMar[Evento 
(1º Período)]&lt;&gt;""," - " &amp;VLOOKUP(tblHorasMar[Evento 
(1º Período)],tblEvento[],Tabelas!$F$1,FALSE),"")&amp;IF(AND(tblHorasMar[Evento 
(2º Período)]&lt;&gt;"",tblHorasMar[Evento 
(2º Período)]&lt;&gt;tblHorasMar[Evento 
(1º Período)])," - " &amp; VLOOKUP(tblHorasMar[Evento 
(2º Período)],tblEvento[],Tabelas!$F$1,FALSE),"")</f>
        <v/>
      </c>
    </row>
    <row r="26" spans="2:20" x14ac:dyDescent="0.25">
      <c r="B26" s="11" t="str">
        <f t="shared" si="0"/>
        <v/>
      </c>
      <c r="C26" s="12" t="str">
        <f>TEXT(tblHorasMar[Data],"ddd")</f>
        <v/>
      </c>
      <c r="D26" s="25"/>
      <c r="E26" s="1"/>
      <c r="F26" s="1"/>
      <c r="G26" s="1"/>
      <c r="H26" s="1"/>
      <c r="I26" s="53"/>
      <c r="J26" s="4">
        <f>IF($B$6&lt;&gt;"",
IF(AND(tblHorasMar[Evento 
(1º Período)]&lt;&gt;"",IF(ISERROR(VLOOKUP(tblHorasMar[Evento 
(1º Período)],tblEvento[],Tabelas!$D$1,FALSE)),FALSE,VLOOKUP(tblHorasMar[Evento 
(1º Período)],tblEvento[],Tabelas!$D$1,FALSE)="Sim")),
        IF(JORNADA_PERIODO_1&lt;&gt;"",
IF(VLOOKUP(tblHorasMar[Dia],tblDiaUtil[[Abreviatura]:[1º Período]],3,FALSE)&gt;0,VLOOKUP(tblHorasMar[Dia],tblDiaUtil[[Abreviatura]:[1º Período]],3,FALSE),JORNADA_PERIODO_1),
IF(VLOOKUP(tblHorasMar[Dia],tblDiaUtil[[Abreviatura]:[1º Período]],3,FALSE)&gt;0,VLOOKUP(tblHorasMar[Dia],tblDiaUtil[[Abreviatura]:[1º Período]],3,FALSE),JORNADA/2)),
        IF(AND(ISNUMBER(tblHorasMar[Saída - 1 (Almoço)]),ISNUMBER(tblHorasMar[Entrada - 1])),
              IF(OR(AND(tblHorasMar[Evento 
(1º Período)]&lt;&gt;"",IF(ISERROR(VLOOKUP(tblHorasMar[Evento 
(1º Período)],tblEvento[],Tabelas!$E$1,FALSE)),FALSE,VLOOKUP(tblHorasMar[Evento 
(1º Período)],tblEvento[],Tabelas!$E$1,FALSE)="Sim")),IF(VLOOKUP(TEXT(tblHorasMar[Data],"dddd"),tblDiaUtil[],2,FALSE)="Não",TRUE,FALSE)),
                   tblHorasMar[Saída - 1 (Almoço)]-tblHorasMar[Entrada - 1],
                   IF(OR(HOUR(tblHorasMar[Saída - 1 (Almoço)]-tblHorasMar[Entrada - 1])&gt;0,ROUND(tblHorasMar[Saída - 1 (Almoço)]-tblHorasMar[Entrada - 1],6)&gt;ROUND(CARENCIA,6)),
                          tblHorasMar[Saída - 1 (Almoço)]-tblHorasMar[Entrada - 1],
                          0)),
                    0)),0)</f>
        <v>0</v>
      </c>
      <c r="K26" s="4">
        <f>IF($B$6&lt;&gt;"",
IF(AND(tblHorasMar[Evento 
(2º Período)]&lt;&gt;"",IF(ISERROR(VLOOKUP(tblHorasMar[Evento 
(2º Período)],tblEvento[],Tabelas!$D$1,FALSE)),FALSE,VLOOKUP(tblHorasMar[Evento 
(2º Período)],tblEvento[],Tabelas!$D$1,FALSE)="Sim")),
        IF(JORNADA_PERIODO_2&lt;&gt;"",
IF(VLOOKUP(tblHorasMar[Dia],tblDiaUtil[[Abreviatura]:[2º Período]],4,FALSE)&gt;0,VLOOKUP(tblHorasMar[Dia],tblDiaUtil[[Abreviatura]:[2º Período]],4,FALSE),JORNADA_PERIODO_2),
IF(VLOOKUP(tblHorasMar[Dia],tblDiaUtil[[Abreviatura]:[2º Período]],4,FALSE)&gt;0,VLOOKUP(tblHorasMar[Dia],tblDiaUtil[[Abreviatura]:[2º Período]],4,FALSE),JORNADA/2)),
        IF(AND(ISNUMBER(tblHorasMar[Saída - 2]),ISNUMBER(tblHorasMar[Entrada - 2 (Almoço)])),
              IF(OR(AND(tblHorasMar[Evento 
(2º Período)]&lt;&gt;"",IF(ISERROR(VLOOKUP(tblHorasMar[Evento 
(2º Período)],tblEvento[],Tabelas!$E$1,FALSE)),FALSE,VLOOKUP(tblHorasMar[Evento 
(2º Período)],tblEvento[],Tabelas!$E$1,FALSE)="Sim")),IF(VLOOKUP(TEXT(tblHorasMar[Data],"dddd"),tblDiaUtil[],2,FALSE)="Não",TRUE,FALSE)),
                   tblHorasMar[Saída - 2]-tblHorasMar[Entrada - 2 (Almoço)],
                   IF(OR(HOUR(tblHorasMar[Saída - 2]-tblHorasMar[Entrada - 2 (Almoço)])&gt;0,MINUTE(tblHorasMar[Saída - 2]-tblHorasMar[Entrada - 2 (Almoço)])&gt;CARENCIA),
                         tblHorasMar[Saída - 2]-tblHorasMar[Entrada - 2 (Almoço)],
                         0)),
       0)),0)</f>
        <v>0</v>
      </c>
      <c r="L26" s="4">
        <f>tblHorasMar[Horas Trabalhadas (1º Período)]+tblHorasMar[Horas Trabalhadas (2º Período)]</f>
        <v>0</v>
      </c>
      <c r="M26" s="4" t="str">
        <f>IF(tblHorasMar[Data]&lt;&gt;"",
        IF(
AND(VLOOKUP(TEXT(tblHorasMar[Data],"dddd"),tblDiaUtil[],3,FALSE)="Sim",IF(tblHorasMar[Evento 
(1º Período)]&lt;&gt;"",IF(VLOOKUP(tblHorasMar[Evento 
(1º Período)],tblEvento[],Tabelas!$E$1,FALSE)="Sim",FALSE,TRUE),TRUE),IF(tblHorasMar[Evento 
(2º Período)]&lt;&gt;"",IF(VLOOKUP(tblHorasMar[Evento 
(2º Período)],tblEvento[],Tabelas!$E$1,FALSE)="Sim",FALSE,TRUE),TRUE)),
              IF(VLOOKUP(tblHorasMar[Dia],tblDiaUtil[[Abreviatura]:[1º Período]],3,FALSE)&gt;0,VLOOKUP(tblHorasMar[Dia],tblDiaUtil[[Abreviatura]:[1º Período]],3,FALSE),JORNADA),
              ""),
         "")</f>
        <v/>
      </c>
      <c r="N26" s="14">
        <f>IF(OR(tblHorasMar[Horas Trabalhadas (1º Período)]&lt;&gt;0,tblHorasMar[Horas Trabalhadas (2º Período)]&lt;&gt;0),
        IF(ISNUMBER(tblHorasMar[Jornada Diária]),
              IF(tblHorasMar[Jornada Diária]&gt;(tblHorasMar[Horas Trabalhadas (2º Período)]+tblHorasMar[Horas Trabalhadas (1º Período)]),
                     IF(ROUND((tblHorasMar[Jornada Diária]-(tblHorasMar[Horas Trabalhadas (2º Período)]+tblHorasMar[Horas Trabalhadas (1º Período)])),6)&gt;ROUND(CARENCIA,6),
                           -tblHorasMar[Jornada Diária]+(tblHorasMar[Horas Trabalhadas (2º Período)]+tblHorasMar[Horas Trabalhadas (1º Período)]),
                           0),
                      IF(ROUND((tblHorasMar[Jornada Diária]-(tblHorasMar[Horas Trabalhadas (2º Período)]+tblHorasMar[Horas Trabalhadas (1º Período)])),6)&lt;ROUND(-CARENCIA,6),
                           -tblHorasMar[Jornada Diária]+(tblHorasMar[Horas Trabalhadas (2º Período)]+tblHorasMar[Horas Trabalhadas (1º Período)]),
                           0)),
              tblHorasMar[Horas Trabalhadas (2º Período)]+tblHorasMar[Horas Trabalhadas (1º Período)]),
         IF(AND(IF(ISERROR(VLOOKUP(tblHorasMar[Evento 
(1º Período)],tblEvento[[Evento]:[Libera o Período]],4,FALSE)),FALSE,IF(VLOOKUP(tblHorasMar[Evento 
(1º Período)],tblEvento[[Evento]:[Libera o Período]],4,FALSE)="Não",TRUE,FALSE)),IF(ISERROR(VLOOKUP(tblHorasMar[Evento 
(2º Período)],tblEvento[[Evento]:[Libera o Período]],4,FALSE)),FALSE,IF(VLOOKUP(tblHorasMar[Evento 
(2º Período)],tblEvento[[Evento]:[Libera o Período]],4,FALSE)="Não",TRUE,FALSE))),
-IF(VLOOKUP(tblHorasMar[Dia],tblDiaUtil[[Abreviatura]:[Total Jornada]],5,FALSE)&lt;&gt;"",VLOOKUP(tblHorasMar[Dia],tblDiaUtil[[Abreviatura]:[Total Jornada]],5,FALSE),JORNADA),
IF(IF(ISERROR(VLOOKUP(tblHorasMar[Evento 
(1º Período)],tblEvento[[Evento]:[Libera o Período]],4,FALSE)),FALSE,
IF(VLOOKUP(tblHorasMar[Evento 
(1º Período)],tblEvento[[Evento]:[Libera o Período]],4,FALSE)="Não",TRUE,FALSE)
),
-IF(VLOOKUP(tblHorasMar[Dia],tblDiaUtil[[Abreviatura]:[1º Período]],3,FALSE)&lt;&gt;"",VLOOKUP(tblHorasMar[Dia],tblDiaUtil[[Abreviatura]:[1º Período]],3,FALSE),JORNADA_PERIODO_1),
IF(IF(ISERROR(VLOOKUP(tblHorasMar[Evento 
(2º Período)],tblEvento[[Evento]:[Libera o Período]],4,FALSE)),FALSE,IF(VLOOKUP(tblHorasMar[Evento 
(2º Período)],tblEvento[[Evento]:[Libera o Período]],4,FALSE)="Não",TRUE,FALSE)),
-IF(VLOOKUP(tblHorasMar[Dia],tblDiaUtil[[Abreviatura]:[2º Período]],4,FALSE)&lt;&gt;"",VLOOKUP(tblHorasMar[Dia],tblDiaUtil[[Abreviatura]:[2º Período]],4,FALSE),JORNADA_PERIODO_2),0))))</f>
        <v>0</v>
      </c>
      <c r="O26" s="14">
        <f>IF(tblHorasMar[Horas Trabalhadas Além Jornada]&gt;0,
        IF(ISNUMBER(tblHorasMar[Jornada Diária]),
              IF(HOUR(tblHorasMar[Horas Trabalhadas Além Jornada])&gt;=VLOOKUP(LIMITE,tblLimiteHora[],Tabelas!$I$1,FALSE),
                    VLOOKUP(LIMITE,tblLimiteHora[],Tabelas!$J$1,FALSE),
                    tblHorasMar[Horas Trabalhadas Além Jornada]),
              tblHorasMar[Horas Trabalhadas Além Jornada]),
        tblHorasMar[Horas Trabalhadas Além Jornada])+O25</f>
        <v>0</v>
      </c>
      <c r="P26" s="14" t="str">
        <f>IF(tblHorasMar[Horas Trabalhadas Além Jornada]&lt;0,IF(OR(tblHorasMar[Evento 
(1º Período)]="",tblHorasMar[Evento 
(2º Período)]=""),tblHorasMar[Horas Trabalhadas Além Jornada],""),"")</f>
        <v/>
      </c>
      <c r="Q26" s="14" t="str">
        <f>IF(tblHorasMar[Jornada Diária]&lt;&gt;"",IF((N(tblHorasMar[Jornada Diária])-ABS(N(tblHorasMar[Horas Trabalhadas Além Jornada])))=0,1,""),"")</f>
        <v/>
      </c>
      <c r="R26" s="14" t="str">
        <f>IF(tblHorasMar[Horas Trabalhadas Além Jornada]&gt;0,
IF(AND(VLOOKUP(TEXT(tblHorasMar[Data],"dddd"),tblDiaUtil[],3,FALSE)="Sim",IF(tblHorasMar[Evento 
(1º Período)]&lt;&gt;"",IF(VLOOKUP(tblHorasMar[Evento 
(1º Período)],tblEvento[],Tabelas!$E$1,FALSE)="Sim",FALSE,TRUE),TRUE),IF(tblHorasMar[Evento 
(2º Período)]&lt;&gt;"",IF(VLOOKUP(tblHorasMar[Evento 
(2º Período)],tblEvento[],Tabelas!$E$1,FALSE)="Sim",FALSE,TRUE),TRUE)),
tblHorasMar[Horas Trabalhadas Além Jornada],""),"")</f>
        <v/>
      </c>
      <c r="S26" s="14" t="str">
        <f>IF(tblHorasMar[Horas Trabalhadas Além Jornada]&gt;0,
IF(OR(VLOOKUP(TEXT(tblHorasMar[Data],"dddd"),tblDiaUtil[],3,FALSE)="Não",IF(tblHorasMar[Evento 
(1º Período)]&lt;&gt;"",IF(VLOOKUP(tblHorasMar[Evento 
(1º Período)],tblEvento[],Tabelas!$E$1,FALSE)="Sim",TRUE,FALSE),FALSE),IF(tblHorasMar[Evento 
(2º Período)]&lt;&gt;"",IF(VLOOKUP(tblHorasMar[Evento 
(2º Período)],tblEvento[],Tabelas!$E$1,FALSE)="Sim",TRUE,FALSE),FALSE)),
tblHorasMar[Horas Trabalhadas Além Jornada],""),"")</f>
        <v/>
      </c>
      <c r="T26" s="15" t="str">
        <f>IF(tblHorasMar[Evento 
(1º Período)]&lt;&gt;""," - " &amp;VLOOKUP(tblHorasMar[Evento 
(1º Período)],tblEvento[],Tabelas!$F$1,FALSE),"")&amp;IF(AND(tblHorasMar[Evento 
(2º Período)]&lt;&gt;"",tblHorasMar[Evento 
(2º Período)]&lt;&gt;tblHorasMar[Evento 
(1º Período)])," - " &amp; VLOOKUP(tblHorasMar[Evento 
(2º Período)],tblEvento[],Tabelas!$F$1,FALSE),"")</f>
        <v/>
      </c>
    </row>
    <row r="27" spans="2:20" x14ac:dyDescent="0.25">
      <c r="B27" s="11" t="str">
        <f t="shared" si="0"/>
        <v/>
      </c>
      <c r="C27" s="12" t="str">
        <f>TEXT(tblHorasMar[Data],"ddd")</f>
        <v/>
      </c>
      <c r="D27" s="25"/>
      <c r="E27" s="1"/>
      <c r="F27" s="1"/>
      <c r="G27" s="1"/>
      <c r="H27" s="1"/>
      <c r="I27" s="53"/>
      <c r="J27" s="4">
        <f>IF($B$6&lt;&gt;"",
IF(AND(tblHorasMar[Evento 
(1º Período)]&lt;&gt;"",IF(ISERROR(VLOOKUP(tblHorasMar[Evento 
(1º Período)],tblEvento[],Tabelas!$D$1,FALSE)),FALSE,VLOOKUP(tblHorasMar[Evento 
(1º Período)],tblEvento[],Tabelas!$D$1,FALSE)="Sim")),
        IF(JORNADA_PERIODO_1&lt;&gt;"",
IF(VLOOKUP(tblHorasMar[Dia],tblDiaUtil[[Abreviatura]:[1º Período]],3,FALSE)&gt;0,VLOOKUP(tblHorasMar[Dia],tblDiaUtil[[Abreviatura]:[1º Período]],3,FALSE),JORNADA_PERIODO_1),
IF(VLOOKUP(tblHorasMar[Dia],tblDiaUtil[[Abreviatura]:[1º Período]],3,FALSE)&gt;0,VLOOKUP(tblHorasMar[Dia],tblDiaUtil[[Abreviatura]:[1º Período]],3,FALSE),JORNADA/2)),
        IF(AND(ISNUMBER(tblHorasMar[Saída - 1 (Almoço)]),ISNUMBER(tblHorasMar[Entrada - 1])),
              IF(OR(AND(tblHorasMar[Evento 
(1º Período)]&lt;&gt;"",IF(ISERROR(VLOOKUP(tblHorasMar[Evento 
(1º Período)],tblEvento[],Tabelas!$E$1,FALSE)),FALSE,VLOOKUP(tblHorasMar[Evento 
(1º Período)],tblEvento[],Tabelas!$E$1,FALSE)="Sim")),IF(VLOOKUP(TEXT(tblHorasMar[Data],"dddd"),tblDiaUtil[],2,FALSE)="Não",TRUE,FALSE)),
                   tblHorasMar[Saída - 1 (Almoço)]-tblHorasMar[Entrada - 1],
                   IF(OR(HOUR(tblHorasMar[Saída - 1 (Almoço)]-tblHorasMar[Entrada - 1])&gt;0,ROUND(tblHorasMar[Saída - 1 (Almoço)]-tblHorasMar[Entrada - 1],6)&gt;ROUND(CARENCIA,6)),
                          tblHorasMar[Saída - 1 (Almoço)]-tblHorasMar[Entrada - 1],
                          0)),
                    0)),0)</f>
        <v>0</v>
      </c>
      <c r="K27" s="4">
        <f>IF($B$6&lt;&gt;"",
IF(AND(tblHorasMar[Evento 
(2º Período)]&lt;&gt;"",IF(ISERROR(VLOOKUP(tblHorasMar[Evento 
(2º Período)],tblEvento[],Tabelas!$D$1,FALSE)),FALSE,VLOOKUP(tblHorasMar[Evento 
(2º Período)],tblEvento[],Tabelas!$D$1,FALSE)="Sim")),
        IF(JORNADA_PERIODO_2&lt;&gt;"",
IF(VLOOKUP(tblHorasMar[Dia],tblDiaUtil[[Abreviatura]:[2º Período]],4,FALSE)&gt;0,VLOOKUP(tblHorasMar[Dia],tblDiaUtil[[Abreviatura]:[2º Período]],4,FALSE),JORNADA_PERIODO_2),
IF(VLOOKUP(tblHorasMar[Dia],tblDiaUtil[[Abreviatura]:[2º Período]],4,FALSE)&gt;0,VLOOKUP(tblHorasMar[Dia],tblDiaUtil[[Abreviatura]:[2º Período]],4,FALSE),JORNADA/2)),
        IF(AND(ISNUMBER(tblHorasMar[Saída - 2]),ISNUMBER(tblHorasMar[Entrada - 2 (Almoço)])),
              IF(OR(AND(tblHorasMar[Evento 
(2º Período)]&lt;&gt;"",IF(ISERROR(VLOOKUP(tblHorasMar[Evento 
(2º Período)],tblEvento[],Tabelas!$E$1,FALSE)),FALSE,VLOOKUP(tblHorasMar[Evento 
(2º Período)],tblEvento[],Tabelas!$E$1,FALSE)="Sim")),IF(VLOOKUP(TEXT(tblHorasMar[Data],"dddd"),tblDiaUtil[],2,FALSE)="Não",TRUE,FALSE)),
                   tblHorasMar[Saída - 2]-tblHorasMar[Entrada - 2 (Almoço)],
                   IF(OR(HOUR(tblHorasMar[Saída - 2]-tblHorasMar[Entrada - 2 (Almoço)])&gt;0,MINUTE(tblHorasMar[Saída - 2]-tblHorasMar[Entrada - 2 (Almoço)])&gt;CARENCIA),
                         tblHorasMar[Saída - 2]-tblHorasMar[Entrada - 2 (Almoço)],
                         0)),
       0)),0)</f>
        <v>0</v>
      </c>
      <c r="L27" s="4">
        <f>tblHorasMar[Horas Trabalhadas (1º Período)]+tblHorasMar[Horas Trabalhadas (2º Período)]</f>
        <v>0</v>
      </c>
      <c r="M27" s="4" t="str">
        <f>IF(tblHorasMar[Data]&lt;&gt;"",
        IF(
AND(VLOOKUP(TEXT(tblHorasMar[Data],"dddd"),tblDiaUtil[],3,FALSE)="Sim",IF(tblHorasMar[Evento 
(1º Período)]&lt;&gt;"",IF(VLOOKUP(tblHorasMar[Evento 
(1º Período)],tblEvento[],Tabelas!$E$1,FALSE)="Sim",FALSE,TRUE),TRUE),IF(tblHorasMar[Evento 
(2º Período)]&lt;&gt;"",IF(VLOOKUP(tblHorasMar[Evento 
(2º Período)],tblEvento[],Tabelas!$E$1,FALSE)="Sim",FALSE,TRUE),TRUE)),
              IF(VLOOKUP(tblHorasMar[Dia],tblDiaUtil[[Abreviatura]:[1º Período]],3,FALSE)&gt;0,VLOOKUP(tblHorasMar[Dia],tblDiaUtil[[Abreviatura]:[1º Período]],3,FALSE),JORNADA),
              ""),
         "")</f>
        <v/>
      </c>
      <c r="N27" s="14">
        <f>IF(OR(tblHorasMar[Horas Trabalhadas (1º Período)]&lt;&gt;0,tblHorasMar[Horas Trabalhadas (2º Período)]&lt;&gt;0),
        IF(ISNUMBER(tblHorasMar[Jornada Diária]),
              IF(tblHorasMar[Jornada Diária]&gt;(tblHorasMar[Horas Trabalhadas (2º Período)]+tblHorasMar[Horas Trabalhadas (1º Período)]),
                     IF(ROUND((tblHorasMar[Jornada Diária]-(tblHorasMar[Horas Trabalhadas (2º Período)]+tblHorasMar[Horas Trabalhadas (1º Período)])),6)&gt;ROUND(CARENCIA,6),
                           -tblHorasMar[Jornada Diária]+(tblHorasMar[Horas Trabalhadas (2º Período)]+tblHorasMar[Horas Trabalhadas (1º Período)]),
                           0),
                      IF(ROUND((tblHorasMar[Jornada Diária]-(tblHorasMar[Horas Trabalhadas (2º Período)]+tblHorasMar[Horas Trabalhadas (1º Período)])),6)&lt;ROUND(-CARENCIA,6),
                           -tblHorasMar[Jornada Diária]+(tblHorasMar[Horas Trabalhadas (2º Período)]+tblHorasMar[Horas Trabalhadas (1º Período)]),
                           0)),
              tblHorasMar[Horas Trabalhadas (2º Período)]+tblHorasMar[Horas Trabalhadas (1º Período)]),
         IF(AND(IF(ISERROR(VLOOKUP(tblHorasMar[Evento 
(1º Período)],tblEvento[[Evento]:[Libera o Período]],4,FALSE)),FALSE,IF(VLOOKUP(tblHorasMar[Evento 
(1º Período)],tblEvento[[Evento]:[Libera o Período]],4,FALSE)="Não",TRUE,FALSE)),IF(ISERROR(VLOOKUP(tblHorasMar[Evento 
(2º Período)],tblEvento[[Evento]:[Libera o Período]],4,FALSE)),FALSE,IF(VLOOKUP(tblHorasMar[Evento 
(2º Período)],tblEvento[[Evento]:[Libera o Período]],4,FALSE)="Não",TRUE,FALSE))),
-IF(VLOOKUP(tblHorasMar[Dia],tblDiaUtil[[Abreviatura]:[Total Jornada]],5,FALSE)&lt;&gt;"",VLOOKUP(tblHorasMar[Dia],tblDiaUtil[[Abreviatura]:[Total Jornada]],5,FALSE),JORNADA),
IF(IF(ISERROR(VLOOKUP(tblHorasMar[Evento 
(1º Período)],tblEvento[[Evento]:[Libera o Período]],4,FALSE)),FALSE,
IF(VLOOKUP(tblHorasMar[Evento 
(1º Período)],tblEvento[[Evento]:[Libera o Período]],4,FALSE)="Não",TRUE,FALSE)
),
-IF(VLOOKUP(tblHorasMar[Dia],tblDiaUtil[[Abreviatura]:[1º Período]],3,FALSE)&lt;&gt;"",VLOOKUP(tblHorasMar[Dia],tblDiaUtil[[Abreviatura]:[1º Período]],3,FALSE),JORNADA_PERIODO_1),
IF(IF(ISERROR(VLOOKUP(tblHorasMar[Evento 
(2º Período)],tblEvento[[Evento]:[Libera o Período]],4,FALSE)),FALSE,IF(VLOOKUP(tblHorasMar[Evento 
(2º Período)],tblEvento[[Evento]:[Libera o Período]],4,FALSE)="Não",TRUE,FALSE)),
-IF(VLOOKUP(tblHorasMar[Dia],tblDiaUtil[[Abreviatura]:[2º Período]],4,FALSE)&lt;&gt;"",VLOOKUP(tblHorasMar[Dia],tblDiaUtil[[Abreviatura]:[2º Período]],4,FALSE),JORNADA_PERIODO_2),0))))</f>
        <v>0</v>
      </c>
      <c r="O27" s="14">
        <f>IF(tblHorasMar[Horas Trabalhadas Além Jornada]&gt;0,
        IF(ISNUMBER(tblHorasMar[Jornada Diária]),
              IF(HOUR(tblHorasMar[Horas Trabalhadas Além Jornada])&gt;=VLOOKUP(LIMITE,tblLimiteHora[],Tabelas!$I$1,FALSE),
                    VLOOKUP(LIMITE,tblLimiteHora[],Tabelas!$J$1,FALSE),
                    tblHorasMar[Horas Trabalhadas Além Jornada]),
              tblHorasMar[Horas Trabalhadas Além Jornada]),
        tblHorasMar[Horas Trabalhadas Além Jornada])+O26</f>
        <v>0</v>
      </c>
      <c r="P27" s="14" t="str">
        <f>IF(tblHorasMar[Horas Trabalhadas Além Jornada]&lt;0,IF(OR(tblHorasMar[Evento 
(1º Período)]="",tblHorasMar[Evento 
(2º Período)]=""),tblHorasMar[Horas Trabalhadas Além Jornada],""),"")</f>
        <v/>
      </c>
      <c r="Q27" s="14" t="str">
        <f>IF(tblHorasMar[Jornada Diária]&lt;&gt;"",IF((N(tblHorasMar[Jornada Diária])-ABS(N(tblHorasMar[Horas Trabalhadas Além Jornada])))=0,1,""),"")</f>
        <v/>
      </c>
      <c r="R27" s="14" t="str">
        <f>IF(tblHorasMar[Horas Trabalhadas Além Jornada]&gt;0,
IF(AND(VLOOKUP(TEXT(tblHorasMar[Data],"dddd"),tblDiaUtil[],3,FALSE)="Sim",IF(tblHorasMar[Evento 
(1º Período)]&lt;&gt;"",IF(VLOOKUP(tblHorasMar[Evento 
(1º Período)],tblEvento[],Tabelas!$E$1,FALSE)="Sim",FALSE,TRUE),TRUE),IF(tblHorasMar[Evento 
(2º Período)]&lt;&gt;"",IF(VLOOKUP(tblHorasMar[Evento 
(2º Período)],tblEvento[],Tabelas!$E$1,FALSE)="Sim",FALSE,TRUE),TRUE)),
tblHorasMar[Horas Trabalhadas Além Jornada],""),"")</f>
        <v/>
      </c>
      <c r="S27" s="14" t="str">
        <f>IF(tblHorasMar[Horas Trabalhadas Além Jornada]&gt;0,
IF(OR(VLOOKUP(TEXT(tblHorasMar[Data],"dddd"),tblDiaUtil[],3,FALSE)="Não",IF(tblHorasMar[Evento 
(1º Período)]&lt;&gt;"",IF(VLOOKUP(tblHorasMar[Evento 
(1º Período)],tblEvento[],Tabelas!$E$1,FALSE)="Sim",TRUE,FALSE),FALSE),IF(tblHorasMar[Evento 
(2º Período)]&lt;&gt;"",IF(VLOOKUP(tblHorasMar[Evento 
(2º Período)],tblEvento[],Tabelas!$E$1,FALSE)="Sim",TRUE,FALSE),FALSE)),
tblHorasMar[Horas Trabalhadas Além Jornada],""),"")</f>
        <v/>
      </c>
      <c r="T27" s="15" t="str">
        <f>IF(tblHorasMar[Evento 
(1º Período)]&lt;&gt;""," - " &amp;VLOOKUP(tblHorasMar[Evento 
(1º Período)],tblEvento[],Tabelas!$F$1,FALSE),"")&amp;IF(AND(tblHorasMar[Evento 
(2º Período)]&lt;&gt;"",tblHorasMar[Evento 
(2º Período)]&lt;&gt;tblHorasMar[Evento 
(1º Período)])," - " &amp; VLOOKUP(tblHorasMar[Evento 
(2º Período)],tblEvento[],Tabelas!$F$1,FALSE),"")</f>
        <v/>
      </c>
    </row>
    <row r="28" spans="2:20" x14ac:dyDescent="0.25">
      <c r="B28" s="11" t="str">
        <f t="shared" si="0"/>
        <v/>
      </c>
      <c r="C28" s="12" t="str">
        <f>TEXT(tblHorasMar[Data],"ddd")</f>
        <v/>
      </c>
      <c r="D28" s="25"/>
      <c r="E28" s="1"/>
      <c r="F28" s="1"/>
      <c r="G28" s="1"/>
      <c r="H28" s="1"/>
      <c r="I28" s="53"/>
      <c r="J28" s="4">
        <f>IF($B$6&lt;&gt;"",
IF(AND(tblHorasMar[Evento 
(1º Período)]&lt;&gt;"",IF(ISERROR(VLOOKUP(tblHorasMar[Evento 
(1º Período)],tblEvento[],Tabelas!$D$1,FALSE)),FALSE,VLOOKUP(tblHorasMar[Evento 
(1º Período)],tblEvento[],Tabelas!$D$1,FALSE)="Sim")),
        IF(JORNADA_PERIODO_1&lt;&gt;"",
IF(VLOOKUP(tblHorasMar[Dia],tblDiaUtil[[Abreviatura]:[1º Período]],3,FALSE)&gt;0,VLOOKUP(tblHorasMar[Dia],tblDiaUtil[[Abreviatura]:[1º Período]],3,FALSE),JORNADA_PERIODO_1),
IF(VLOOKUP(tblHorasMar[Dia],tblDiaUtil[[Abreviatura]:[1º Período]],3,FALSE)&gt;0,VLOOKUP(tblHorasMar[Dia],tblDiaUtil[[Abreviatura]:[1º Período]],3,FALSE),JORNADA/2)),
        IF(AND(ISNUMBER(tblHorasMar[Saída - 1 (Almoço)]),ISNUMBER(tblHorasMar[Entrada - 1])),
              IF(OR(AND(tblHorasMar[Evento 
(1º Período)]&lt;&gt;"",IF(ISERROR(VLOOKUP(tblHorasMar[Evento 
(1º Período)],tblEvento[],Tabelas!$E$1,FALSE)),FALSE,VLOOKUP(tblHorasMar[Evento 
(1º Período)],tblEvento[],Tabelas!$E$1,FALSE)="Sim")),IF(VLOOKUP(TEXT(tblHorasMar[Data],"dddd"),tblDiaUtil[],2,FALSE)="Não",TRUE,FALSE)),
                   tblHorasMar[Saída - 1 (Almoço)]-tblHorasMar[Entrada - 1],
                   IF(OR(HOUR(tblHorasMar[Saída - 1 (Almoço)]-tblHorasMar[Entrada - 1])&gt;0,ROUND(tblHorasMar[Saída - 1 (Almoço)]-tblHorasMar[Entrada - 1],6)&gt;ROUND(CARENCIA,6)),
                          tblHorasMar[Saída - 1 (Almoço)]-tblHorasMar[Entrada - 1],
                          0)),
                    0)),0)</f>
        <v>0</v>
      </c>
      <c r="K28" s="4">
        <f>IF($B$6&lt;&gt;"",
IF(AND(tblHorasMar[Evento 
(2º Período)]&lt;&gt;"",IF(ISERROR(VLOOKUP(tblHorasMar[Evento 
(2º Período)],tblEvento[],Tabelas!$D$1,FALSE)),FALSE,VLOOKUP(tblHorasMar[Evento 
(2º Período)],tblEvento[],Tabelas!$D$1,FALSE)="Sim")),
        IF(JORNADA_PERIODO_2&lt;&gt;"",
IF(VLOOKUP(tblHorasMar[Dia],tblDiaUtil[[Abreviatura]:[2º Período]],4,FALSE)&gt;0,VLOOKUP(tblHorasMar[Dia],tblDiaUtil[[Abreviatura]:[2º Período]],4,FALSE),JORNADA_PERIODO_2),
IF(VLOOKUP(tblHorasMar[Dia],tblDiaUtil[[Abreviatura]:[2º Período]],4,FALSE)&gt;0,VLOOKUP(tblHorasMar[Dia],tblDiaUtil[[Abreviatura]:[2º Período]],4,FALSE),JORNADA/2)),
        IF(AND(ISNUMBER(tblHorasMar[Saída - 2]),ISNUMBER(tblHorasMar[Entrada - 2 (Almoço)])),
              IF(OR(AND(tblHorasMar[Evento 
(2º Período)]&lt;&gt;"",IF(ISERROR(VLOOKUP(tblHorasMar[Evento 
(2º Período)],tblEvento[],Tabelas!$E$1,FALSE)),FALSE,VLOOKUP(tblHorasMar[Evento 
(2º Período)],tblEvento[],Tabelas!$E$1,FALSE)="Sim")),IF(VLOOKUP(TEXT(tblHorasMar[Data],"dddd"),tblDiaUtil[],2,FALSE)="Não",TRUE,FALSE)),
                   tblHorasMar[Saída - 2]-tblHorasMar[Entrada - 2 (Almoço)],
                   IF(OR(HOUR(tblHorasMar[Saída - 2]-tblHorasMar[Entrada - 2 (Almoço)])&gt;0,MINUTE(tblHorasMar[Saída - 2]-tblHorasMar[Entrada - 2 (Almoço)])&gt;CARENCIA),
                         tblHorasMar[Saída - 2]-tblHorasMar[Entrada - 2 (Almoço)],
                         0)),
       0)),0)</f>
        <v>0</v>
      </c>
      <c r="L28" s="4">
        <f>tblHorasMar[Horas Trabalhadas (1º Período)]+tblHorasMar[Horas Trabalhadas (2º Período)]</f>
        <v>0</v>
      </c>
      <c r="M28" s="4" t="str">
        <f>IF(tblHorasMar[Data]&lt;&gt;"",
        IF(
AND(VLOOKUP(TEXT(tblHorasMar[Data],"dddd"),tblDiaUtil[],3,FALSE)="Sim",IF(tblHorasMar[Evento 
(1º Período)]&lt;&gt;"",IF(VLOOKUP(tblHorasMar[Evento 
(1º Período)],tblEvento[],Tabelas!$E$1,FALSE)="Sim",FALSE,TRUE),TRUE),IF(tblHorasMar[Evento 
(2º Período)]&lt;&gt;"",IF(VLOOKUP(tblHorasMar[Evento 
(2º Período)],tblEvento[],Tabelas!$E$1,FALSE)="Sim",FALSE,TRUE),TRUE)),
              IF(VLOOKUP(tblHorasMar[Dia],tblDiaUtil[[Abreviatura]:[1º Período]],3,FALSE)&gt;0,VLOOKUP(tblHorasMar[Dia],tblDiaUtil[[Abreviatura]:[1º Período]],3,FALSE),JORNADA),
              ""),
         "")</f>
        <v/>
      </c>
      <c r="N28" s="14">
        <f>IF(OR(tblHorasMar[Horas Trabalhadas (1º Período)]&lt;&gt;0,tblHorasMar[Horas Trabalhadas (2º Período)]&lt;&gt;0),
        IF(ISNUMBER(tblHorasMar[Jornada Diária]),
              IF(tblHorasMar[Jornada Diária]&gt;(tblHorasMar[Horas Trabalhadas (2º Período)]+tblHorasMar[Horas Trabalhadas (1º Período)]),
                     IF(ROUND((tblHorasMar[Jornada Diária]-(tblHorasMar[Horas Trabalhadas (2º Período)]+tblHorasMar[Horas Trabalhadas (1º Período)])),6)&gt;ROUND(CARENCIA,6),
                           -tblHorasMar[Jornada Diária]+(tblHorasMar[Horas Trabalhadas (2º Período)]+tblHorasMar[Horas Trabalhadas (1º Período)]),
                           0),
                      IF(ROUND((tblHorasMar[Jornada Diária]-(tblHorasMar[Horas Trabalhadas (2º Período)]+tblHorasMar[Horas Trabalhadas (1º Período)])),6)&lt;ROUND(-CARENCIA,6),
                           -tblHorasMar[Jornada Diária]+(tblHorasMar[Horas Trabalhadas (2º Período)]+tblHorasMar[Horas Trabalhadas (1º Período)]),
                           0)),
              tblHorasMar[Horas Trabalhadas (2º Período)]+tblHorasMar[Horas Trabalhadas (1º Período)]),
         IF(AND(IF(ISERROR(VLOOKUP(tblHorasMar[Evento 
(1º Período)],tblEvento[[Evento]:[Libera o Período]],4,FALSE)),FALSE,IF(VLOOKUP(tblHorasMar[Evento 
(1º Período)],tblEvento[[Evento]:[Libera o Período]],4,FALSE)="Não",TRUE,FALSE)),IF(ISERROR(VLOOKUP(tblHorasMar[Evento 
(2º Período)],tblEvento[[Evento]:[Libera o Período]],4,FALSE)),FALSE,IF(VLOOKUP(tblHorasMar[Evento 
(2º Período)],tblEvento[[Evento]:[Libera o Período]],4,FALSE)="Não",TRUE,FALSE))),
-IF(VLOOKUP(tblHorasMar[Dia],tblDiaUtil[[Abreviatura]:[Total Jornada]],5,FALSE)&lt;&gt;"",VLOOKUP(tblHorasMar[Dia],tblDiaUtil[[Abreviatura]:[Total Jornada]],5,FALSE),JORNADA),
IF(IF(ISERROR(VLOOKUP(tblHorasMar[Evento 
(1º Período)],tblEvento[[Evento]:[Libera o Período]],4,FALSE)),FALSE,
IF(VLOOKUP(tblHorasMar[Evento 
(1º Período)],tblEvento[[Evento]:[Libera o Período]],4,FALSE)="Não",TRUE,FALSE)
),
-IF(VLOOKUP(tblHorasMar[Dia],tblDiaUtil[[Abreviatura]:[1º Período]],3,FALSE)&lt;&gt;"",VLOOKUP(tblHorasMar[Dia],tblDiaUtil[[Abreviatura]:[1º Período]],3,FALSE),JORNADA_PERIODO_1),
IF(IF(ISERROR(VLOOKUP(tblHorasMar[Evento 
(2º Período)],tblEvento[[Evento]:[Libera o Período]],4,FALSE)),FALSE,IF(VLOOKUP(tblHorasMar[Evento 
(2º Período)],tblEvento[[Evento]:[Libera o Período]],4,FALSE)="Não",TRUE,FALSE)),
-IF(VLOOKUP(tblHorasMar[Dia],tblDiaUtil[[Abreviatura]:[2º Período]],4,FALSE)&lt;&gt;"",VLOOKUP(tblHorasMar[Dia],tblDiaUtil[[Abreviatura]:[2º Período]],4,FALSE),JORNADA_PERIODO_2),0))))</f>
        <v>0</v>
      </c>
      <c r="O28" s="14">
        <f>IF(tblHorasMar[Horas Trabalhadas Além Jornada]&gt;0,
        IF(ISNUMBER(tblHorasMar[Jornada Diária]),
              IF(HOUR(tblHorasMar[Horas Trabalhadas Além Jornada])&gt;=VLOOKUP(LIMITE,tblLimiteHora[],Tabelas!$I$1,FALSE),
                    VLOOKUP(LIMITE,tblLimiteHora[],Tabelas!$J$1,FALSE),
                    tblHorasMar[Horas Trabalhadas Além Jornada]),
              tblHorasMar[Horas Trabalhadas Além Jornada]),
        tblHorasMar[Horas Trabalhadas Além Jornada])+O27</f>
        <v>0</v>
      </c>
      <c r="P28" s="14" t="str">
        <f>IF(tblHorasMar[Horas Trabalhadas Além Jornada]&lt;0,IF(OR(tblHorasMar[Evento 
(1º Período)]="",tblHorasMar[Evento 
(2º Período)]=""),tblHorasMar[Horas Trabalhadas Além Jornada],""),"")</f>
        <v/>
      </c>
      <c r="Q28" s="14" t="str">
        <f>IF(tblHorasMar[Jornada Diária]&lt;&gt;"",IF((N(tblHorasMar[Jornada Diária])-ABS(N(tblHorasMar[Horas Trabalhadas Além Jornada])))=0,1,""),"")</f>
        <v/>
      </c>
      <c r="R28" s="14" t="str">
        <f>IF(tblHorasMar[Horas Trabalhadas Além Jornada]&gt;0,
IF(AND(VLOOKUP(TEXT(tblHorasMar[Data],"dddd"),tblDiaUtil[],3,FALSE)="Sim",IF(tblHorasMar[Evento 
(1º Período)]&lt;&gt;"",IF(VLOOKUP(tblHorasMar[Evento 
(1º Período)],tblEvento[],Tabelas!$E$1,FALSE)="Sim",FALSE,TRUE),TRUE),IF(tblHorasMar[Evento 
(2º Período)]&lt;&gt;"",IF(VLOOKUP(tblHorasMar[Evento 
(2º Período)],tblEvento[],Tabelas!$E$1,FALSE)="Sim",FALSE,TRUE),TRUE)),
tblHorasMar[Horas Trabalhadas Além Jornada],""),"")</f>
        <v/>
      </c>
      <c r="S28" s="14" t="str">
        <f>IF(tblHorasMar[Horas Trabalhadas Além Jornada]&gt;0,
IF(OR(VLOOKUP(TEXT(tblHorasMar[Data],"dddd"),tblDiaUtil[],3,FALSE)="Não",IF(tblHorasMar[Evento 
(1º Período)]&lt;&gt;"",IF(VLOOKUP(tblHorasMar[Evento 
(1º Período)],tblEvento[],Tabelas!$E$1,FALSE)="Sim",TRUE,FALSE),FALSE),IF(tblHorasMar[Evento 
(2º Período)]&lt;&gt;"",IF(VLOOKUP(tblHorasMar[Evento 
(2º Período)],tblEvento[],Tabelas!$E$1,FALSE)="Sim",TRUE,FALSE),FALSE)),
tblHorasMar[Horas Trabalhadas Além Jornada],""),"")</f>
        <v/>
      </c>
      <c r="T28" s="15" t="str">
        <f>IF(tblHorasMar[Evento 
(1º Período)]&lt;&gt;""," - " &amp;VLOOKUP(tblHorasMar[Evento 
(1º Período)],tblEvento[],Tabelas!$F$1,FALSE),"")&amp;IF(AND(tblHorasMar[Evento 
(2º Período)]&lt;&gt;"",tblHorasMar[Evento 
(2º Período)]&lt;&gt;tblHorasMar[Evento 
(1º Período)])," - " &amp; VLOOKUP(tblHorasMar[Evento 
(2º Período)],tblEvento[],Tabelas!$F$1,FALSE),"")</f>
        <v/>
      </c>
    </row>
    <row r="29" spans="2:20" x14ac:dyDescent="0.25">
      <c r="B29" s="11" t="str">
        <f t="shared" si="0"/>
        <v/>
      </c>
      <c r="C29" s="12" t="str">
        <f>TEXT(tblHorasMar[Data],"ddd")</f>
        <v/>
      </c>
      <c r="D29" s="25"/>
      <c r="E29" s="1"/>
      <c r="F29" s="1"/>
      <c r="G29" s="1"/>
      <c r="H29" s="1"/>
      <c r="I29" s="53"/>
      <c r="J29" s="4">
        <f>IF($B$6&lt;&gt;"",
IF(AND(tblHorasMar[Evento 
(1º Período)]&lt;&gt;"",IF(ISERROR(VLOOKUP(tblHorasMar[Evento 
(1º Período)],tblEvento[],Tabelas!$D$1,FALSE)),FALSE,VLOOKUP(tblHorasMar[Evento 
(1º Período)],tblEvento[],Tabelas!$D$1,FALSE)="Sim")),
        IF(JORNADA_PERIODO_1&lt;&gt;"",
IF(VLOOKUP(tblHorasMar[Dia],tblDiaUtil[[Abreviatura]:[1º Período]],3,FALSE)&gt;0,VLOOKUP(tblHorasMar[Dia],tblDiaUtil[[Abreviatura]:[1º Período]],3,FALSE),JORNADA_PERIODO_1),
IF(VLOOKUP(tblHorasMar[Dia],tblDiaUtil[[Abreviatura]:[1º Período]],3,FALSE)&gt;0,VLOOKUP(tblHorasMar[Dia],tblDiaUtil[[Abreviatura]:[1º Período]],3,FALSE),JORNADA/2)),
        IF(AND(ISNUMBER(tblHorasMar[Saída - 1 (Almoço)]),ISNUMBER(tblHorasMar[Entrada - 1])),
              IF(OR(AND(tblHorasMar[Evento 
(1º Período)]&lt;&gt;"",IF(ISERROR(VLOOKUP(tblHorasMar[Evento 
(1º Período)],tblEvento[],Tabelas!$E$1,FALSE)),FALSE,VLOOKUP(tblHorasMar[Evento 
(1º Período)],tblEvento[],Tabelas!$E$1,FALSE)="Sim")),IF(VLOOKUP(TEXT(tblHorasMar[Data],"dddd"),tblDiaUtil[],2,FALSE)="Não",TRUE,FALSE)),
                   tblHorasMar[Saída - 1 (Almoço)]-tblHorasMar[Entrada - 1],
                   IF(OR(HOUR(tblHorasMar[Saída - 1 (Almoço)]-tblHorasMar[Entrada - 1])&gt;0,ROUND(tblHorasMar[Saída - 1 (Almoço)]-tblHorasMar[Entrada - 1],6)&gt;ROUND(CARENCIA,6)),
                          tblHorasMar[Saída - 1 (Almoço)]-tblHorasMar[Entrada - 1],
                          0)),
                    0)),0)</f>
        <v>0</v>
      </c>
      <c r="K29" s="4">
        <f>IF($B$6&lt;&gt;"",
IF(AND(tblHorasMar[Evento 
(2º Período)]&lt;&gt;"",IF(ISERROR(VLOOKUP(tblHorasMar[Evento 
(2º Período)],tblEvento[],Tabelas!$D$1,FALSE)),FALSE,VLOOKUP(tblHorasMar[Evento 
(2º Período)],tblEvento[],Tabelas!$D$1,FALSE)="Sim")),
        IF(JORNADA_PERIODO_2&lt;&gt;"",
IF(VLOOKUP(tblHorasMar[Dia],tblDiaUtil[[Abreviatura]:[2º Período]],4,FALSE)&gt;0,VLOOKUP(tblHorasMar[Dia],tblDiaUtil[[Abreviatura]:[2º Período]],4,FALSE),JORNADA_PERIODO_2),
IF(VLOOKUP(tblHorasMar[Dia],tblDiaUtil[[Abreviatura]:[2º Período]],4,FALSE)&gt;0,VLOOKUP(tblHorasMar[Dia],tblDiaUtil[[Abreviatura]:[2º Período]],4,FALSE),JORNADA/2)),
        IF(AND(ISNUMBER(tblHorasMar[Saída - 2]),ISNUMBER(tblHorasMar[Entrada - 2 (Almoço)])),
              IF(OR(AND(tblHorasMar[Evento 
(2º Período)]&lt;&gt;"",IF(ISERROR(VLOOKUP(tblHorasMar[Evento 
(2º Período)],tblEvento[],Tabelas!$E$1,FALSE)),FALSE,VLOOKUP(tblHorasMar[Evento 
(2º Período)],tblEvento[],Tabelas!$E$1,FALSE)="Sim")),IF(VLOOKUP(TEXT(tblHorasMar[Data],"dddd"),tblDiaUtil[],2,FALSE)="Não",TRUE,FALSE)),
                   tblHorasMar[Saída - 2]-tblHorasMar[Entrada - 2 (Almoço)],
                   IF(OR(HOUR(tblHorasMar[Saída - 2]-tblHorasMar[Entrada - 2 (Almoço)])&gt;0,MINUTE(tblHorasMar[Saída - 2]-tblHorasMar[Entrada - 2 (Almoço)])&gt;CARENCIA),
                         tblHorasMar[Saída - 2]-tblHorasMar[Entrada - 2 (Almoço)],
                         0)),
       0)),0)</f>
        <v>0</v>
      </c>
      <c r="L29" s="4">
        <f>tblHorasMar[Horas Trabalhadas (1º Período)]+tblHorasMar[Horas Trabalhadas (2º Período)]</f>
        <v>0</v>
      </c>
      <c r="M29" s="4" t="str">
        <f>IF(tblHorasMar[Data]&lt;&gt;"",
        IF(
AND(VLOOKUP(TEXT(tblHorasMar[Data],"dddd"),tblDiaUtil[],3,FALSE)="Sim",IF(tblHorasMar[Evento 
(1º Período)]&lt;&gt;"",IF(VLOOKUP(tblHorasMar[Evento 
(1º Período)],tblEvento[],Tabelas!$E$1,FALSE)="Sim",FALSE,TRUE),TRUE),IF(tblHorasMar[Evento 
(2º Período)]&lt;&gt;"",IF(VLOOKUP(tblHorasMar[Evento 
(2º Período)],tblEvento[],Tabelas!$E$1,FALSE)="Sim",FALSE,TRUE),TRUE)),
              IF(VLOOKUP(tblHorasMar[Dia],tblDiaUtil[[Abreviatura]:[1º Período]],3,FALSE)&gt;0,VLOOKUP(tblHorasMar[Dia],tblDiaUtil[[Abreviatura]:[1º Período]],3,FALSE),JORNADA),
              ""),
         "")</f>
        <v/>
      </c>
      <c r="N29" s="14">
        <f>IF(OR(tblHorasMar[Horas Trabalhadas (1º Período)]&lt;&gt;0,tblHorasMar[Horas Trabalhadas (2º Período)]&lt;&gt;0),
        IF(ISNUMBER(tblHorasMar[Jornada Diária]),
              IF(tblHorasMar[Jornada Diária]&gt;(tblHorasMar[Horas Trabalhadas (2º Período)]+tblHorasMar[Horas Trabalhadas (1º Período)]),
                     IF(ROUND((tblHorasMar[Jornada Diária]-(tblHorasMar[Horas Trabalhadas (2º Período)]+tblHorasMar[Horas Trabalhadas (1º Período)])),6)&gt;ROUND(CARENCIA,6),
                           -tblHorasMar[Jornada Diária]+(tblHorasMar[Horas Trabalhadas (2º Período)]+tblHorasMar[Horas Trabalhadas (1º Período)]),
                           0),
                      IF(ROUND((tblHorasMar[Jornada Diária]-(tblHorasMar[Horas Trabalhadas (2º Período)]+tblHorasMar[Horas Trabalhadas (1º Período)])),6)&lt;ROUND(-CARENCIA,6),
                           -tblHorasMar[Jornada Diária]+(tblHorasMar[Horas Trabalhadas (2º Período)]+tblHorasMar[Horas Trabalhadas (1º Período)]),
                           0)),
              tblHorasMar[Horas Trabalhadas (2º Período)]+tblHorasMar[Horas Trabalhadas (1º Período)]),
         IF(AND(IF(ISERROR(VLOOKUP(tblHorasMar[Evento 
(1º Período)],tblEvento[[Evento]:[Libera o Período]],4,FALSE)),FALSE,IF(VLOOKUP(tblHorasMar[Evento 
(1º Período)],tblEvento[[Evento]:[Libera o Período]],4,FALSE)="Não",TRUE,FALSE)),IF(ISERROR(VLOOKUP(tblHorasMar[Evento 
(2º Período)],tblEvento[[Evento]:[Libera o Período]],4,FALSE)),FALSE,IF(VLOOKUP(tblHorasMar[Evento 
(2º Período)],tblEvento[[Evento]:[Libera o Período]],4,FALSE)="Não",TRUE,FALSE))),
-IF(VLOOKUP(tblHorasMar[Dia],tblDiaUtil[[Abreviatura]:[Total Jornada]],5,FALSE)&lt;&gt;"",VLOOKUP(tblHorasMar[Dia],tblDiaUtil[[Abreviatura]:[Total Jornada]],5,FALSE),JORNADA),
IF(IF(ISERROR(VLOOKUP(tblHorasMar[Evento 
(1º Período)],tblEvento[[Evento]:[Libera o Período]],4,FALSE)),FALSE,
IF(VLOOKUP(tblHorasMar[Evento 
(1º Período)],tblEvento[[Evento]:[Libera o Período]],4,FALSE)="Não",TRUE,FALSE)
),
-IF(VLOOKUP(tblHorasMar[Dia],tblDiaUtil[[Abreviatura]:[1º Período]],3,FALSE)&lt;&gt;"",VLOOKUP(tblHorasMar[Dia],tblDiaUtil[[Abreviatura]:[1º Período]],3,FALSE),JORNADA_PERIODO_1),
IF(IF(ISERROR(VLOOKUP(tblHorasMar[Evento 
(2º Período)],tblEvento[[Evento]:[Libera o Período]],4,FALSE)),FALSE,IF(VLOOKUP(tblHorasMar[Evento 
(2º Período)],tblEvento[[Evento]:[Libera o Período]],4,FALSE)="Não",TRUE,FALSE)),
-IF(VLOOKUP(tblHorasMar[Dia],tblDiaUtil[[Abreviatura]:[2º Período]],4,FALSE)&lt;&gt;"",VLOOKUP(tblHorasMar[Dia],tblDiaUtil[[Abreviatura]:[2º Período]],4,FALSE),JORNADA_PERIODO_2),0))))</f>
        <v>0</v>
      </c>
      <c r="O29" s="14">
        <f>IF(tblHorasMar[Horas Trabalhadas Além Jornada]&gt;0,
        IF(ISNUMBER(tblHorasMar[Jornada Diária]),
              IF(HOUR(tblHorasMar[Horas Trabalhadas Além Jornada])&gt;=VLOOKUP(LIMITE,tblLimiteHora[],Tabelas!$I$1,FALSE),
                    VLOOKUP(LIMITE,tblLimiteHora[],Tabelas!$J$1,FALSE),
                    tblHorasMar[Horas Trabalhadas Além Jornada]),
              tblHorasMar[Horas Trabalhadas Além Jornada]),
        tblHorasMar[Horas Trabalhadas Além Jornada])+O28</f>
        <v>0</v>
      </c>
      <c r="P29" s="14" t="str">
        <f>IF(tblHorasMar[Horas Trabalhadas Além Jornada]&lt;0,IF(OR(tblHorasMar[Evento 
(1º Período)]="",tblHorasMar[Evento 
(2º Período)]=""),tblHorasMar[Horas Trabalhadas Além Jornada],""),"")</f>
        <v/>
      </c>
      <c r="Q29" s="14" t="str">
        <f>IF(tblHorasMar[Jornada Diária]&lt;&gt;"",IF((N(tblHorasMar[Jornada Diária])-ABS(N(tblHorasMar[Horas Trabalhadas Além Jornada])))=0,1,""),"")</f>
        <v/>
      </c>
      <c r="R29" s="14" t="str">
        <f>IF(tblHorasMar[Horas Trabalhadas Além Jornada]&gt;0,
IF(AND(VLOOKUP(TEXT(tblHorasMar[Data],"dddd"),tblDiaUtil[],3,FALSE)="Sim",IF(tblHorasMar[Evento 
(1º Período)]&lt;&gt;"",IF(VLOOKUP(tblHorasMar[Evento 
(1º Período)],tblEvento[],Tabelas!$E$1,FALSE)="Sim",FALSE,TRUE),TRUE),IF(tblHorasMar[Evento 
(2º Período)]&lt;&gt;"",IF(VLOOKUP(tblHorasMar[Evento 
(2º Período)],tblEvento[],Tabelas!$E$1,FALSE)="Sim",FALSE,TRUE),TRUE)),
tblHorasMar[Horas Trabalhadas Além Jornada],""),"")</f>
        <v/>
      </c>
      <c r="S29" s="14" t="str">
        <f>IF(tblHorasMar[Horas Trabalhadas Além Jornada]&gt;0,
IF(OR(VLOOKUP(TEXT(tblHorasMar[Data],"dddd"),tblDiaUtil[],3,FALSE)="Não",IF(tblHorasMar[Evento 
(1º Período)]&lt;&gt;"",IF(VLOOKUP(tblHorasMar[Evento 
(1º Período)],tblEvento[],Tabelas!$E$1,FALSE)="Sim",TRUE,FALSE),FALSE),IF(tblHorasMar[Evento 
(2º Período)]&lt;&gt;"",IF(VLOOKUP(tblHorasMar[Evento 
(2º Período)],tblEvento[],Tabelas!$E$1,FALSE)="Sim",TRUE,FALSE),FALSE)),
tblHorasMar[Horas Trabalhadas Além Jornada],""),"")</f>
        <v/>
      </c>
      <c r="T29" s="15" t="str">
        <f>IF(tblHorasMar[Evento 
(1º Período)]&lt;&gt;""," - " &amp;VLOOKUP(tblHorasMar[Evento 
(1º Período)],tblEvento[],Tabelas!$F$1,FALSE),"")&amp;IF(AND(tblHorasMar[Evento 
(2º Período)]&lt;&gt;"",tblHorasMar[Evento 
(2º Período)]&lt;&gt;tblHorasMar[Evento 
(1º Período)])," - " &amp; VLOOKUP(tblHorasMar[Evento 
(2º Período)],tblEvento[],Tabelas!$F$1,FALSE),"")</f>
        <v/>
      </c>
    </row>
    <row r="30" spans="2:20" x14ac:dyDescent="0.25">
      <c r="B30" s="11" t="str">
        <f t="shared" si="0"/>
        <v/>
      </c>
      <c r="C30" s="12" t="str">
        <f>TEXT(tblHorasMar[Data],"ddd")</f>
        <v/>
      </c>
      <c r="D30" s="25"/>
      <c r="E30" s="1"/>
      <c r="F30" s="1"/>
      <c r="G30" s="1"/>
      <c r="H30" s="1"/>
      <c r="I30" s="53"/>
      <c r="J30" s="4">
        <f>IF($B$6&lt;&gt;"",
IF(AND(tblHorasMar[Evento 
(1º Período)]&lt;&gt;"",IF(ISERROR(VLOOKUP(tblHorasMar[Evento 
(1º Período)],tblEvento[],Tabelas!$D$1,FALSE)),FALSE,VLOOKUP(tblHorasMar[Evento 
(1º Período)],tblEvento[],Tabelas!$D$1,FALSE)="Sim")),
        IF(JORNADA_PERIODO_1&lt;&gt;"",
IF(VLOOKUP(tblHorasMar[Dia],tblDiaUtil[[Abreviatura]:[1º Período]],3,FALSE)&gt;0,VLOOKUP(tblHorasMar[Dia],tblDiaUtil[[Abreviatura]:[1º Período]],3,FALSE),JORNADA_PERIODO_1),
IF(VLOOKUP(tblHorasMar[Dia],tblDiaUtil[[Abreviatura]:[1º Período]],3,FALSE)&gt;0,VLOOKUP(tblHorasMar[Dia],tblDiaUtil[[Abreviatura]:[1º Período]],3,FALSE),JORNADA/2)),
        IF(AND(ISNUMBER(tblHorasMar[Saída - 1 (Almoço)]),ISNUMBER(tblHorasMar[Entrada - 1])),
              IF(OR(AND(tblHorasMar[Evento 
(1º Período)]&lt;&gt;"",IF(ISERROR(VLOOKUP(tblHorasMar[Evento 
(1º Período)],tblEvento[],Tabelas!$E$1,FALSE)),FALSE,VLOOKUP(tblHorasMar[Evento 
(1º Período)],tblEvento[],Tabelas!$E$1,FALSE)="Sim")),IF(VLOOKUP(TEXT(tblHorasMar[Data],"dddd"),tblDiaUtil[],2,FALSE)="Não",TRUE,FALSE)),
                   tblHorasMar[Saída - 1 (Almoço)]-tblHorasMar[Entrada - 1],
                   IF(OR(HOUR(tblHorasMar[Saída - 1 (Almoço)]-tblHorasMar[Entrada - 1])&gt;0,ROUND(tblHorasMar[Saída - 1 (Almoço)]-tblHorasMar[Entrada - 1],6)&gt;ROUND(CARENCIA,6)),
                          tblHorasMar[Saída - 1 (Almoço)]-tblHorasMar[Entrada - 1],
                          0)),
                    0)),0)</f>
        <v>0</v>
      </c>
      <c r="K30" s="4">
        <f>IF($B$6&lt;&gt;"",
IF(AND(tblHorasMar[Evento 
(2º Período)]&lt;&gt;"",IF(ISERROR(VLOOKUP(tblHorasMar[Evento 
(2º Período)],tblEvento[],Tabelas!$D$1,FALSE)),FALSE,VLOOKUP(tblHorasMar[Evento 
(2º Período)],tblEvento[],Tabelas!$D$1,FALSE)="Sim")),
        IF(JORNADA_PERIODO_2&lt;&gt;"",
IF(VLOOKUP(tblHorasMar[Dia],tblDiaUtil[[Abreviatura]:[2º Período]],4,FALSE)&gt;0,VLOOKUP(tblHorasMar[Dia],tblDiaUtil[[Abreviatura]:[2º Período]],4,FALSE),JORNADA_PERIODO_2),
IF(VLOOKUP(tblHorasMar[Dia],tblDiaUtil[[Abreviatura]:[2º Período]],4,FALSE)&gt;0,VLOOKUP(tblHorasMar[Dia],tblDiaUtil[[Abreviatura]:[2º Período]],4,FALSE),JORNADA/2)),
        IF(AND(ISNUMBER(tblHorasMar[Saída - 2]),ISNUMBER(tblHorasMar[Entrada - 2 (Almoço)])),
              IF(OR(AND(tblHorasMar[Evento 
(2º Período)]&lt;&gt;"",IF(ISERROR(VLOOKUP(tblHorasMar[Evento 
(2º Período)],tblEvento[],Tabelas!$E$1,FALSE)),FALSE,VLOOKUP(tblHorasMar[Evento 
(2º Período)],tblEvento[],Tabelas!$E$1,FALSE)="Sim")),IF(VLOOKUP(TEXT(tblHorasMar[Data],"dddd"),tblDiaUtil[],2,FALSE)="Não",TRUE,FALSE)),
                   tblHorasMar[Saída - 2]-tblHorasMar[Entrada - 2 (Almoço)],
                   IF(OR(HOUR(tblHorasMar[Saída - 2]-tblHorasMar[Entrada - 2 (Almoço)])&gt;0,MINUTE(tblHorasMar[Saída - 2]-tblHorasMar[Entrada - 2 (Almoço)])&gt;CARENCIA),
                         tblHorasMar[Saída - 2]-tblHorasMar[Entrada - 2 (Almoço)],
                         0)),
       0)),0)</f>
        <v>0</v>
      </c>
      <c r="L30" s="4">
        <f>tblHorasMar[Horas Trabalhadas (1º Período)]+tblHorasMar[Horas Trabalhadas (2º Período)]</f>
        <v>0</v>
      </c>
      <c r="M30" s="4" t="str">
        <f>IF(tblHorasMar[Data]&lt;&gt;"",
        IF(
AND(VLOOKUP(TEXT(tblHorasMar[Data],"dddd"),tblDiaUtil[],3,FALSE)="Sim",IF(tblHorasMar[Evento 
(1º Período)]&lt;&gt;"",IF(VLOOKUP(tblHorasMar[Evento 
(1º Período)],tblEvento[],Tabelas!$E$1,FALSE)="Sim",FALSE,TRUE),TRUE),IF(tblHorasMar[Evento 
(2º Período)]&lt;&gt;"",IF(VLOOKUP(tblHorasMar[Evento 
(2º Período)],tblEvento[],Tabelas!$E$1,FALSE)="Sim",FALSE,TRUE),TRUE)),
              IF(VLOOKUP(tblHorasMar[Dia],tblDiaUtil[[Abreviatura]:[1º Período]],3,FALSE)&gt;0,VLOOKUP(tblHorasMar[Dia],tblDiaUtil[[Abreviatura]:[1º Período]],3,FALSE),JORNADA),
              ""),
         "")</f>
        <v/>
      </c>
      <c r="N30" s="14">
        <f>IF(OR(tblHorasMar[Horas Trabalhadas (1º Período)]&lt;&gt;0,tblHorasMar[Horas Trabalhadas (2º Período)]&lt;&gt;0),
        IF(ISNUMBER(tblHorasMar[Jornada Diária]),
              IF(tblHorasMar[Jornada Diária]&gt;(tblHorasMar[Horas Trabalhadas (2º Período)]+tblHorasMar[Horas Trabalhadas (1º Período)]),
                     IF(ROUND((tblHorasMar[Jornada Diária]-(tblHorasMar[Horas Trabalhadas (2º Período)]+tblHorasMar[Horas Trabalhadas (1º Período)])),6)&gt;ROUND(CARENCIA,6),
                           -tblHorasMar[Jornada Diária]+(tblHorasMar[Horas Trabalhadas (2º Período)]+tblHorasMar[Horas Trabalhadas (1º Período)]),
                           0),
                      IF(ROUND((tblHorasMar[Jornada Diária]-(tblHorasMar[Horas Trabalhadas (2º Período)]+tblHorasMar[Horas Trabalhadas (1º Período)])),6)&lt;ROUND(-CARENCIA,6),
                           -tblHorasMar[Jornada Diária]+(tblHorasMar[Horas Trabalhadas (2º Período)]+tblHorasMar[Horas Trabalhadas (1º Período)]),
                           0)),
              tblHorasMar[Horas Trabalhadas (2º Período)]+tblHorasMar[Horas Trabalhadas (1º Período)]),
         IF(AND(IF(ISERROR(VLOOKUP(tblHorasMar[Evento 
(1º Período)],tblEvento[[Evento]:[Libera o Período]],4,FALSE)),FALSE,IF(VLOOKUP(tblHorasMar[Evento 
(1º Período)],tblEvento[[Evento]:[Libera o Período]],4,FALSE)="Não",TRUE,FALSE)),IF(ISERROR(VLOOKUP(tblHorasMar[Evento 
(2º Período)],tblEvento[[Evento]:[Libera o Período]],4,FALSE)),FALSE,IF(VLOOKUP(tblHorasMar[Evento 
(2º Período)],tblEvento[[Evento]:[Libera o Período]],4,FALSE)="Não",TRUE,FALSE))),
-IF(VLOOKUP(tblHorasMar[Dia],tblDiaUtil[[Abreviatura]:[Total Jornada]],5,FALSE)&lt;&gt;"",VLOOKUP(tblHorasMar[Dia],tblDiaUtil[[Abreviatura]:[Total Jornada]],5,FALSE),JORNADA),
IF(IF(ISERROR(VLOOKUP(tblHorasMar[Evento 
(1º Período)],tblEvento[[Evento]:[Libera o Período]],4,FALSE)),FALSE,
IF(VLOOKUP(tblHorasMar[Evento 
(1º Período)],tblEvento[[Evento]:[Libera o Período]],4,FALSE)="Não",TRUE,FALSE)
),
-IF(VLOOKUP(tblHorasMar[Dia],tblDiaUtil[[Abreviatura]:[1º Período]],3,FALSE)&lt;&gt;"",VLOOKUP(tblHorasMar[Dia],tblDiaUtil[[Abreviatura]:[1º Período]],3,FALSE),JORNADA_PERIODO_1),
IF(IF(ISERROR(VLOOKUP(tblHorasMar[Evento 
(2º Período)],tblEvento[[Evento]:[Libera o Período]],4,FALSE)),FALSE,IF(VLOOKUP(tblHorasMar[Evento 
(2º Período)],tblEvento[[Evento]:[Libera o Período]],4,FALSE)="Não",TRUE,FALSE)),
-IF(VLOOKUP(tblHorasMar[Dia],tblDiaUtil[[Abreviatura]:[2º Período]],4,FALSE)&lt;&gt;"",VLOOKUP(tblHorasMar[Dia],tblDiaUtil[[Abreviatura]:[2º Período]],4,FALSE),JORNADA_PERIODO_2),0))))</f>
        <v>0</v>
      </c>
      <c r="O30" s="14">
        <f>IF(tblHorasMar[Horas Trabalhadas Além Jornada]&gt;0,
        IF(ISNUMBER(tblHorasMar[Jornada Diária]),
              IF(HOUR(tblHorasMar[Horas Trabalhadas Além Jornada])&gt;=VLOOKUP(LIMITE,tblLimiteHora[],Tabelas!$I$1,FALSE),
                    VLOOKUP(LIMITE,tblLimiteHora[],Tabelas!$J$1,FALSE),
                    tblHorasMar[Horas Trabalhadas Além Jornada]),
              tblHorasMar[Horas Trabalhadas Além Jornada]),
        tblHorasMar[Horas Trabalhadas Além Jornada])+O29</f>
        <v>0</v>
      </c>
      <c r="P30" s="14" t="str">
        <f>IF(tblHorasMar[Horas Trabalhadas Além Jornada]&lt;0,IF(OR(tblHorasMar[Evento 
(1º Período)]="",tblHorasMar[Evento 
(2º Período)]=""),tblHorasMar[Horas Trabalhadas Além Jornada],""),"")</f>
        <v/>
      </c>
      <c r="Q30" s="14" t="str">
        <f>IF(tblHorasMar[Jornada Diária]&lt;&gt;"",IF((N(tblHorasMar[Jornada Diária])-ABS(N(tblHorasMar[Horas Trabalhadas Além Jornada])))=0,1,""),"")</f>
        <v/>
      </c>
      <c r="R30" s="14" t="str">
        <f>IF(tblHorasMar[Horas Trabalhadas Além Jornada]&gt;0,
IF(AND(VLOOKUP(TEXT(tblHorasMar[Data],"dddd"),tblDiaUtil[],3,FALSE)="Sim",IF(tblHorasMar[Evento 
(1º Período)]&lt;&gt;"",IF(VLOOKUP(tblHorasMar[Evento 
(1º Período)],tblEvento[],Tabelas!$E$1,FALSE)="Sim",FALSE,TRUE),TRUE),IF(tblHorasMar[Evento 
(2º Período)]&lt;&gt;"",IF(VLOOKUP(tblHorasMar[Evento 
(2º Período)],tblEvento[],Tabelas!$E$1,FALSE)="Sim",FALSE,TRUE),TRUE)),
tblHorasMar[Horas Trabalhadas Além Jornada],""),"")</f>
        <v/>
      </c>
      <c r="S30" s="14" t="str">
        <f>IF(tblHorasMar[Horas Trabalhadas Além Jornada]&gt;0,
IF(OR(VLOOKUP(TEXT(tblHorasMar[Data],"dddd"),tblDiaUtil[],3,FALSE)="Não",IF(tblHorasMar[Evento 
(1º Período)]&lt;&gt;"",IF(VLOOKUP(tblHorasMar[Evento 
(1º Período)],tblEvento[],Tabelas!$E$1,FALSE)="Sim",TRUE,FALSE),FALSE),IF(tblHorasMar[Evento 
(2º Período)]&lt;&gt;"",IF(VLOOKUP(tblHorasMar[Evento 
(2º Período)],tblEvento[],Tabelas!$E$1,FALSE)="Sim",TRUE,FALSE),FALSE)),
tblHorasMar[Horas Trabalhadas Além Jornada],""),"")</f>
        <v/>
      </c>
      <c r="T30" s="15" t="str">
        <f>IF(tblHorasMar[Evento 
(1º Período)]&lt;&gt;""," - " &amp;VLOOKUP(tblHorasMar[Evento 
(1º Período)],tblEvento[],Tabelas!$F$1,FALSE),"")&amp;IF(AND(tblHorasMar[Evento 
(2º Período)]&lt;&gt;"",tblHorasMar[Evento 
(2º Período)]&lt;&gt;tblHorasMar[Evento 
(1º Período)])," - " &amp; VLOOKUP(tblHorasMar[Evento 
(2º Período)],tblEvento[],Tabelas!$F$1,FALSE),"")</f>
        <v/>
      </c>
    </row>
    <row r="31" spans="2:20" x14ac:dyDescent="0.25">
      <c r="B31" s="11" t="str">
        <f t="shared" si="0"/>
        <v/>
      </c>
      <c r="C31" s="12" t="str">
        <f>TEXT(tblHorasMar[Data],"ddd")</f>
        <v/>
      </c>
      <c r="D31" s="25"/>
      <c r="E31" s="1"/>
      <c r="F31" s="1"/>
      <c r="G31" s="1"/>
      <c r="H31" s="1"/>
      <c r="I31" s="53"/>
      <c r="J31" s="4">
        <f>IF($B$6&lt;&gt;"",
IF(AND(tblHorasMar[Evento 
(1º Período)]&lt;&gt;"",IF(ISERROR(VLOOKUP(tblHorasMar[Evento 
(1º Período)],tblEvento[],Tabelas!$D$1,FALSE)),FALSE,VLOOKUP(tblHorasMar[Evento 
(1º Período)],tblEvento[],Tabelas!$D$1,FALSE)="Sim")),
        IF(JORNADA_PERIODO_1&lt;&gt;"",
IF(VLOOKUP(tblHorasMar[Dia],tblDiaUtil[[Abreviatura]:[1º Período]],3,FALSE)&gt;0,VLOOKUP(tblHorasMar[Dia],tblDiaUtil[[Abreviatura]:[1º Período]],3,FALSE),JORNADA_PERIODO_1),
IF(VLOOKUP(tblHorasMar[Dia],tblDiaUtil[[Abreviatura]:[1º Período]],3,FALSE)&gt;0,VLOOKUP(tblHorasMar[Dia],tblDiaUtil[[Abreviatura]:[1º Período]],3,FALSE),JORNADA/2)),
        IF(AND(ISNUMBER(tblHorasMar[Saída - 1 (Almoço)]),ISNUMBER(tblHorasMar[Entrada - 1])),
              IF(OR(AND(tblHorasMar[Evento 
(1º Período)]&lt;&gt;"",IF(ISERROR(VLOOKUP(tblHorasMar[Evento 
(1º Período)],tblEvento[],Tabelas!$E$1,FALSE)),FALSE,VLOOKUP(tblHorasMar[Evento 
(1º Período)],tblEvento[],Tabelas!$E$1,FALSE)="Sim")),IF(VLOOKUP(TEXT(tblHorasMar[Data],"dddd"),tblDiaUtil[],2,FALSE)="Não",TRUE,FALSE)),
                   tblHorasMar[Saída - 1 (Almoço)]-tblHorasMar[Entrada - 1],
                   IF(OR(HOUR(tblHorasMar[Saída - 1 (Almoço)]-tblHorasMar[Entrada - 1])&gt;0,ROUND(tblHorasMar[Saída - 1 (Almoço)]-tblHorasMar[Entrada - 1],6)&gt;ROUND(CARENCIA,6)),
                          tblHorasMar[Saída - 1 (Almoço)]-tblHorasMar[Entrada - 1],
                          0)),
                    0)),0)</f>
        <v>0</v>
      </c>
      <c r="K31" s="4">
        <f>IF($B$6&lt;&gt;"",
IF(AND(tblHorasMar[Evento 
(2º Período)]&lt;&gt;"",IF(ISERROR(VLOOKUP(tblHorasMar[Evento 
(2º Período)],tblEvento[],Tabelas!$D$1,FALSE)),FALSE,VLOOKUP(tblHorasMar[Evento 
(2º Período)],tblEvento[],Tabelas!$D$1,FALSE)="Sim")),
        IF(JORNADA_PERIODO_2&lt;&gt;"",
IF(VLOOKUP(tblHorasMar[Dia],tblDiaUtil[[Abreviatura]:[2º Período]],4,FALSE)&gt;0,VLOOKUP(tblHorasMar[Dia],tblDiaUtil[[Abreviatura]:[2º Período]],4,FALSE),JORNADA_PERIODO_2),
IF(VLOOKUP(tblHorasMar[Dia],tblDiaUtil[[Abreviatura]:[2º Período]],4,FALSE)&gt;0,VLOOKUP(tblHorasMar[Dia],tblDiaUtil[[Abreviatura]:[2º Período]],4,FALSE),JORNADA/2)),
        IF(AND(ISNUMBER(tblHorasMar[Saída - 2]),ISNUMBER(tblHorasMar[Entrada - 2 (Almoço)])),
              IF(OR(AND(tblHorasMar[Evento 
(2º Período)]&lt;&gt;"",IF(ISERROR(VLOOKUP(tblHorasMar[Evento 
(2º Período)],tblEvento[],Tabelas!$E$1,FALSE)),FALSE,VLOOKUP(tblHorasMar[Evento 
(2º Período)],tblEvento[],Tabelas!$E$1,FALSE)="Sim")),IF(VLOOKUP(TEXT(tblHorasMar[Data],"dddd"),tblDiaUtil[],2,FALSE)="Não",TRUE,FALSE)),
                   tblHorasMar[Saída - 2]-tblHorasMar[Entrada - 2 (Almoço)],
                   IF(OR(HOUR(tblHorasMar[Saída - 2]-tblHorasMar[Entrada - 2 (Almoço)])&gt;0,MINUTE(tblHorasMar[Saída - 2]-tblHorasMar[Entrada - 2 (Almoço)])&gt;CARENCIA),
                         tblHorasMar[Saída - 2]-tblHorasMar[Entrada - 2 (Almoço)],
                         0)),
       0)),0)</f>
        <v>0</v>
      </c>
      <c r="L31" s="4">
        <f>tblHorasMar[Horas Trabalhadas (1º Período)]+tblHorasMar[Horas Trabalhadas (2º Período)]</f>
        <v>0</v>
      </c>
      <c r="M31" s="4" t="str">
        <f>IF(tblHorasMar[Data]&lt;&gt;"",
        IF(
AND(VLOOKUP(TEXT(tblHorasMar[Data],"dddd"),tblDiaUtil[],3,FALSE)="Sim",IF(tblHorasMar[Evento 
(1º Período)]&lt;&gt;"",IF(VLOOKUP(tblHorasMar[Evento 
(1º Período)],tblEvento[],Tabelas!$E$1,FALSE)="Sim",FALSE,TRUE),TRUE),IF(tblHorasMar[Evento 
(2º Período)]&lt;&gt;"",IF(VLOOKUP(tblHorasMar[Evento 
(2º Período)],tblEvento[],Tabelas!$E$1,FALSE)="Sim",FALSE,TRUE),TRUE)),
              IF(VLOOKUP(tblHorasMar[Dia],tblDiaUtil[[Abreviatura]:[1º Período]],3,FALSE)&gt;0,VLOOKUP(tblHorasMar[Dia],tblDiaUtil[[Abreviatura]:[1º Período]],3,FALSE),JORNADA),
              ""),
         "")</f>
        <v/>
      </c>
      <c r="N31" s="14">
        <f>IF(OR(tblHorasMar[Horas Trabalhadas (1º Período)]&lt;&gt;0,tblHorasMar[Horas Trabalhadas (2º Período)]&lt;&gt;0),
        IF(ISNUMBER(tblHorasMar[Jornada Diária]),
              IF(tblHorasMar[Jornada Diária]&gt;(tblHorasMar[Horas Trabalhadas (2º Período)]+tblHorasMar[Horas Trabalhadas (1º Período)]),
                     IF(ROUND((tblHorasMar[Jornada Diária]-(tblHorasMar[Horas Trabalhadas (2º Período)]+tblHorasMar[Horas Trabalhadas (1º Período)])),6)&gt;ROUND(CARENCIA,6),
                           -tblHorasMar[Jornada Diária]+(tblHorasMar[Horas Trabalhadas (2º Período)]+tblHorasMar[Horas Trabalhadas (1º Período)]),
                           0),
                      IF(ROUND((tblHorasMar[Jornada Diária]-(tblHorasMar[Horas Trabalhadas (2º Período)]+tblHorasMar[Horas Trabalhadas (1º Período)])),6)&lt;ROUND(-CARENCIA,6),
                           -tblHorasMar[Jornada Diária]+(tblHorasMar[Horas Trabalhadas (2º Período)]+tblHorasMar[Horas Trabalhadas (1º Período)]),
                           0)),
              tblHorasMar[Horas Trabalhadas (2º Período)]+tblHorasMar[Horas Trabalhadas (1º Período)]),
         IF(AND(IF(ISERROR(VLOOKUP(tblHorasMar[Evento 
(1º Período)],tblEvento[[Evento]:[Libera o Período]],4,FALSE)),FALSE,IF(VLOOKUP(tblHorasMar[Evento 
(1º Período)],tblEvento[[Evento]:[Libera o Período]],4,FALSE)="Não",TRUE,FALSE)),IF(ISERROR(VLOOKUP(tblHorasMar[Evento 
(2º Período)],tblEvento[[Evento]:[Libera o Período]],4,FALSE)),FALSE,IF(VLOOKUP(tblHorasMar[Evento 
(2º Período)],tblEvento[[Evento]:[Libera o Período]],4,FALSE)="Não",TRUE,FALSE))),
-IF(VLOOKUP(tblHorasMar[Dia],tblDiaUtil[[Abreviatura]:[Total Jornada]],5,FALSE)&lt;&gt;"",VLOOKUP(tblHorasMar[Dia],tblDiaUtil[[Abreviatura]:[Total Jornada]],5,FALSE),JORNADA),
IF(IF(ISERROR(VLOOKUP(tblHorasMar[Evento 
(1º Período)],tblEvento[[Evento]:[Libera o Período]],4,FALSE)),FALSE,
IF(VLOOKUP(tblHorasMar[Evento 
(1º Período)],tblEvento[[Evento]:[Libera o Período]],4,FALSE)="Não",TRUE,FALSE)
),
-IF(VLOOKUP(tblHorasMar[Dia],tblDiaUtil[[Abreviatura]:[1º Período]],3,FALSE)&lt;&gt;"",VLOOKUP(tblHorasMar[Dia],tblDiaUtil[[Abreviatura]:[1º Período]],3,FALSE),JORNADA_PERIODO_1),
IF(IF(ISERROR(VLOOKUP(tblHorasMar[Evento 
(2º Período)],tblEvento[[Evento]:[Libera o Período]],4,FALSE)),FALSE,IF(VLOOKUP(tblHorasMar[Evento 
(2º Período)],tblEvento[[Evento]:[Libera o Período]],4,FALSE)="Não",TRUE,FALSE)),
-IF(VLOOKUP(tblHorasMar[Dia],tblDiaUtil[[Abreviatura]:[2º Período]],4,FALSE)&lt;&gt;"",VLOOKUP(tblHorasMar[Dia],tblDiaUtil[[Abreviatura]:[2º Período]],4,FALSE),JORNADA_PERIODO_2),0))))</f>
        <v>0</v>
      </c>
      <c r="O31" s="14">
        <f>IF(tblHorasMar[Horas Trabalhadas Além Jornada]&gt;0,
        IF(ISNUMBER(tblHorasMar[Jornada Diária]),
              IF(HOUR(tblHorasMar[Horas Trabalhadas Além Jornada])&gt;=VLOOKUP(LIMITE,tblLimiteHora[],Tabelas!$I$1,FALSE),
                    VLOOKUP(LIMITE,tblLimiteHora[],Tabelas!$J$1,FALSE),
                    tblHorasMar[Horas Trabalhadas Além Jornada]),
              tblHorasMar[Horas Trabalhadas Além Jornada]),
        tblHorasMar[Horas Trabalhadas Além Jornada])+O30</f>
        <v>0</v>
      </c>
      <c r="P31" s="14" t="str">
        <f>IF(tblHorasMar[Horas Trabalhadas Além Jornada]&lt;0,IF(OR(tblHorasMar[Evento 
(1º Período)]="",tblHorasMar[Evento 
(2º Período)]=""),tblHorasMar[Horas Trabalhadas Além Jornada],""),"")</f>
        <v/>
      </c>
      <c r="Q31" s="14" t="str">
        <f>IF(tblHorasMar[Jornada Diária]&lt;&gt;"",IF((N(tblHorasMar[Jornada Diária])-ABS(N(tblHorasMar[Horas Trabalhadas Além Jornada])))=0,1,""),"")</f>
        <v/>
      </c>
      <c r="R31" s="14" t="str">
        <f>IF(tblHorasMar[Horas Trabalhadas Além Jornada]&gt;0,
IF(AND(VLOOKUP(TEXT(tblHorasMar[Data],"dddd"),tblDiaUtil[],3,FALSE)="Sim",IF(tblHorasMar[Evento 
(1º Período)]&lt;&gt;"",IF(VLOOKUP(tblHorasMar[Evento 
(1º Período)],tblEvento[],Tabelas!$E$1,FALSE)="Sim",FALSE,TRUE),TRUE),IF(tblHorasMar[Evento 
(2º Período)]&lt;&gt;"",IF(VLOOKUP(tblHorasMar[Evento 
(2º Período)],tblEvento[],Tabelas!$E$1,FALSE)="Sim",FALSE,TRUE),TRUE)),
tblHorasMar[Horas Trabalhadas Além Jornada],""),"")</f>
        <v/>
      </c>
      <c r="S31" s="14" t="str">
        <f>IF(tblHorasMar[Horas Trabalhadas Além Jornada]&gt;0,
IF(OR(VLOOKUP(TEXT(tblHorasMar[Data],"dddd"),tblDiaUtil[],3,FALSE)="Não",IF(tblHorasMar[Evento 
(1º Período)]&lt;&gt;"",IF(VLOOKUP(tblHorasMar[Evento 
(1º Período)],tblEvento[],Tabelas!$E$1,FALSE)="Sim",TRUE,FALSE),FALSE),IF(tblHorasMar[Evento 
(2º Período)]&lt;&gt;"",IF(VLOOKUP(tblHorasMar[Evento 
(2º Período)],tblEvento[],Tabelas!$E$1,FALSE)="Sim",TRUE,FALSE),FALSE)),
tblHorasMar[Horas Trabalhadas Além Jornada],""),"")</f>
        <v/>
      </c>
      <c r="T31" s="15" t="str">
        <f>IF(tblHorasMar[Evento 
(1º Período)]&lt;&gt;""," - " &amp;VLOOKUP(tblHorasMar[Evento 
(1º Período)],tblEvento[],Tabelas!$F$1,FALSE),"")&amp;IF(AND(tblHorasMar[Evento 
(2º Período)]&lt;&gt;"",tblHorasMar[Evento 
(2º Período)]&lt;&gt;tblHorasMar[Evento 
(1º Período)])," - " &amp; VLOOKUP(tblHorasMar[Evento 
(2º Período)],tblEvento[],Tabelas!$F$1,FALSE),"")</f>
        <v/>
      </c>
    </row>
    <row r="32" spans="2:20" x14ac:dyDescent="0.25">
      <c r="B32" s="11" t="str">
        <f t="shared" si="0"/>
        <v/>
      </c>
      <c r="C32" s="12" t="str">
        <f>TEXT(tblHorasMar[Data],"ddd")</f>
        <v/>
      </c>
      <c r="D32" s="25"/>
      <c r="E32" s="1"/>
      <c r="F32" s="1"/>
      <c r="G32" s="1"/>
      <c r="H32" s="1"/>
      <c r="I32" s="53"/>
      <c r="J32" s="4">
        <f>IF($B$6&lt;&gt;"",
IF(AND(tblHorasMar[Evento 
(1º Período)]&lt;&gt;"",IF(ISERROR(VLOOKUP(tblHorasMar[Evento 
(1º Período)],tblEvento[],Tabelas!$D$1,FALSE)),FALSE,VLOOKUP(tblHorasMar[Evento 
(1º Período)],tblEvento[],Tabelas!$D$1,FALSE)="Sim")),
        IF(JORNADA_PERIODO_1&lt;&gt;"",
IF(VLOOKUP(tblHorasMar[Dia],tblDiaUtil[[Abreviatura]:[1º Período]],3,FALSE)&gt;0,VLOOKUP(tblHorasMar[Dia],tblDiaUtil[[Abreviatura]:[1º Período]],3,FALSE),JORNADA_PERIODO_1),
IF(VLOOKUP(tblHorasMar[Dia],tblDiaUtil[[Abreviatura]:[1º Período]],3,FALSE)&gt;0,VLOOKUP(tblHorasMar[Dia],tblDiaUtil[[Abreviatura]:[1º Período]],3,FALSE),JORNADA/2)),
        IF(AND(ISNUMBER(tblHorasMar[Saída - 1 (Almoço)]),ISNUMBER(tblHorasMar[Entrada - 1])),
              IF(OR(AND(tblHorasMar[Evento 
(1º Período)]&lt;&gt;"",IF(ISERROR(VLOOKUP(tblHorasMar[Evento 
(1º Período)],tblEvento[],Tabelas!$E$1,FALSE)),FALSE,VLOOKUP(tblHorasMar[Evento 
(1º Período)],tblEvento[],Tabelas!$E$1,FALSE)="Sim")),IF(VLOOKUP(TEXT(tblHorasMar[Data],"dddd"),tblDiaUtil[],2,FALSE)="Não",TRUE,FALSE)),
                   tblHorasMar[Saída - 1 (Almoço)]-tblHorasMar[Entrada - 1],
                   IF(OR(HOUR(tblHorasMar[Saída - 1 (Almoço)]-tblHorasMar[Entrada - 1])&gt;0,ROUND(tblHorasMar[Saída - 1 (Almoço)]-tblHorasMar[Entrada - 1],6)&gt;ROUND(CARENCIA,6)),
                          tblHorasMar[Saída - 1 (Almoço)]-tblHorasMar[Entrada - 1],
                          0)),
                    0)),0)</f>
        <v>0</v>
      </c>
      <c r="K32" s="4">
        <f>IF($B$6&lt;&gt;"",
IF(AND(tblHorasMar[Evento 
(2º Período)]&lt;&gt;"",IF(ISERROR(VLOOKUP(tblHorasMar[Evento 
(2º Período)],tblEvento[],Tabelas!$D$1,FALSE)),FALSE,VLOOKUP(tblHorasMar[Evento 
(2º Período)],tblEvento[],Tabelas!$D$1,FALSE)="Sim")),
        IF(JORNADA_PERIODO_2&lt;&gt;"",
IF(VLOOKUP(tblHorasMar[Dia],tblDiaUtil[[Abreviatura]:[2º Período]],4,FALSE)&gt;0,VLOOKUP(tblHorasMar[Dia],tblDiaUtil[[Abreviatura]:[2º Período]],4,FALSE),JORNADA_PERIODO_2),
IF(VLOOKUP(tblHorasMar[Dia],tblDiaUtil[[Abreviatura]:[2º Período]],4,FALSE)&gt;0,VLOOKUP(tblHorasMar[Dia],tblDiaUtil[[Abreviatura]:[2º Período]],4,FALSE),JORNADA/2)),
        IF(AND(ISNUMBER(tblHorasMar[Saída - 2]),ISNUMBER(tblHorasMar[Entrada - 2 (Almoço)])),
              IF(OR(AND(tblHorasMar[Evento 
(2º Período)]&lt;&gt;"",IF(ISERROR(VLOOKUP(tblHorasMar[Evento 
(2º Período)],tblEvento[],Tabelas!$E$1,FALSE)),FALSE,VLOOKUP(tblHorasMar[Evento 
(2º Período)],tblEvento[],Tabelas!$E$1,FALSE)="Sim")),IF(VLOOKUP(TEXT(tblHorasMar[Data],"dddd"),tblDiaUtil[],2,FALSE)="Não",TRUE,FALSE)),
                   tblHorasMar[Saída - 2]-tblHorasMar[Entrada - 2 (Almoço)],
                   IF(OR(HOUR(tblHorasMar[Saída - 2]-tblHorasMar[Entrada - 2 (Almoço)])&gt;0,MINUTE(tblHorasMar[Saída - 2]-tblHorasMar[Entrada - 2 (Almoço)])&gt;CARENCIA),
                         tblHorasMar[Saída - 2]-tblHorasMar[Entrada - 2 (Almoço)],
                         0)),
       0)),0)</f>
        <v>0</v>
      </c>
      <c r="L32" s="4">
        <f>tblHorasMar[Horas Trabalhadas (1º Período)]+tblHorasMar[Horas Trabalhadas (2º Período)]</f>
        <v>0</v>
      </c>
      <c r="M32" s="4" t="str">
        <f>IF(tblHorasMar[Data]&lt;&gt;"",
        IF(
AND(VLOOKUP(TEXT(tblHorasMar[Data],"dddd"),tblDiaUtil[],3,FALSE)="Sim",IF(tblHorasMar[Evento 
(1º Período)]&lt;&gt;"",IF(VLOOKUP(tblHorasMar[Evento 
(1º Período)],tblEvento[],Tabelas!$E$1,FALSE)="Sim",FALSE,TRUE),TRUE),IF(tblHorasMar[Evento 
(2º Período)]&lt;&gt;"",IF(VLOOKUP(tblHorasMar[Evento 
(2º Período)],tblEvento[],Tabelas!$E$1,FALSE)="Sim",FALSE,TRUE),TRUE)),
              IF(VLOOKUP(tblHorasMar[Dia],tblDiaUtil[[Abreviatura]:[1º Período]],3,FALSE)&gt;0,VLOOKUP(tblHorasMar[Dia],tblDiaUtil[[Abreviatura]:[1º Período]],3,FALSE),JORNADA),
              ""),
         "")</f>
        <v/>
      </c>
      <c r="N32" s="14">
        <f>IF(OR(tblHorasMar[Horas Trabalhadas (1º Período)]&lt;&gt;0,tblHorasMar[Horas Trabalhadas (2º Período)]&lt;&gt;0),
        IF(ISNUMBER(tblHorasMar[Jornada Diária]),
              IF(tblHorasMar[Jornada Diária]&gt;(tblHorasMar[Horas Trabalhadas (2º Período)]+tblHorasMar[Horas Trabalhadas (1º Período)]),
                     IF(ROUND((tblHorasMar[Jornada Diária]-(tblHorasMar[Horas Trabalhadas (2º Período)]+tblHorasMar[Horas Trabalhadas (1º Período)])),6)&gt;ROUND(CARENCIA,6),
                           -tblHorasMar[Jornada Diária]+(tblHorasMar[Horas Trabalhadas (2º Período)]+tblHorasMar[Horas Trabalhadas (1º Período)]),
                           0),
                      IF(ROUND((tblHorasMar[Jornada Diária]-(tblHorasMar[Horas Trabalhadas (2º Período)]+tblHorasMar[Horas Trabalhadas (1º Período)])),6)&lt;ROUND(-CARENCIA,6),
                           -tblHorasMar[Jornada Diária]+(tblHorasMar[Horas Trabalhadas (2º Período)]+tblHorasMar[Horas Trabalhadas (1º Período)]),
                           0)),
              tblHorasMar[Horas Trabalhadas (2º Período)]+tblHorasMar[Horas Trabalhadas (1º Período)]),
         IF(AND(IF(ISERROR(VLOOKUP(tblHorasMar[Evento 
(1º Período)],tblEvento[[Evento]:[Libera o Período]],4,FALSE)),FALSE,IF(VLOOKUP(tblHorasMar[Evento 
(1º Período)],tblEvento[[Evento]:[Libera o Período]],4,FALSE)="Não",TRUE,FALSE)),IF(ISERROR(VLOOKUP(tblHorasMar[Evento 
(2º Período)],tblEvento[[Evento]:[Libera o Período]],4,FALSE)),FALSE,IF(VLOOKUP(tblHorasMar[Evento 
(2º Período)],tblEvento[[Evento]:[Libera o Período]],4,FALSE)="Não",TRUE,FALSE))),
-IF(VLOOKUP(tblHorasMar[Dia],tblDiaUtil[[Abreviatura]:[Total Jornada]],5,FALSE)&lt;&gt;"",VLOOKUP(tblHorasMar[Dia],tblDiaUtil[[Abreviatura]:[Total Jornada]],5,FALSE),JORNADA),
IF(IF(ISERROR(VLOOKUP(tblHorasMar[Evento 
(1º Período)],tblEvento[[Evento]:[Libera o Período]],4,FALSE)),FALSE,
IF(VLOOKUP(tblHorasMar[Evento 
(1º Período)],tblEvento[[Evento]:[Libera o Período]],4,FALSE)="Não",TRUE,FALSE)
),
-IF(VLOOKUP(tblHorasMar[Dia],tblDiaUtil[[Abreviatura]:[1º Período]],3,FALSE)&lt;&gt;"",VLOOKUP(tblHorasMar[Dia],tblDiaUtil[[Abreviatura]:[1º Período]],3,FALSE),JORNADA_PERIODO_1),
IF(IF(ISERROR(VLOOKUP(tblHorasMar[Evento 
(2º Período)],tblEvento[[Evento]:[Libera o Período]],4,FALSE)),FALSE,IF(VLOOKUP(tblHorasMar[Evento 
(2º Período)],tblEvento[[Evento]:[Libera o Período]],4,FALSE)="Não",TRUE,FALSE)),
-IF(VLOOKUP(tblHorasMar[Dia],tblDiaUtil[[Abreviatura]:[2º Período]],4,FALSE)&lt;&gt;"",VLOOKUP(tblHorasMar[Dia],tblDiaUtil[[Abreviatura]:[2º Período]],4,FALSE),JORNADA_PERIODO_2),0))))</f>
        <v>0</v>
      </c>
      <c r="O32" s="14">
        <f>IF(tblHorasMar[Horas Trabalhadas Além Jornada]&gt;0,
        IF(ISNUMBER(tblHorasMar[Jornada Diária]),
              IF(HOUR(tblHorasMar[Horas Trabalhadas Além Jornada])&gt;=VLOOKUP(LIMITE,tblLimiteHora[],Tabelas!$I$1,FALSE),
                    VLOOKUP(LIMITE,tblLimiteHora[],Tabelas!$J$1,FALSE),
                    tblHorasMar[Horas Trabalhadas Além Jornada]),
              tblHorasMar[Horas Trabalhadas Além Jornada]),
        tblHorasMar[Horas Trabalhadas Além Jornada])+O31</f>
        <v>0</v>
      </c>
      <c r="P32" s="14" t="str">
        <f>IF(tblHorasMar[Horas Trabalhadas Além Jornada]&lt;0,IF(OR(tblHorasMar[Evento 
(1º Período)]="",tblHorasMar[Evento 
(2º Período)]=""),tblHorasMar[Horas Trabalhadas Além Jornada],""),"")</f>
        <v/>
      </c>
      <c r="Q32" s="14" t="str">
        <f>IF(tblHorasMar[Jornada Diária]&lt;&gt;"",IF((N(tblHorasMar[Jornada Diária])-ABS(N(tblHorasMar[Horas Trabalhadas Além Jornada])))=0,1,""),"")</f>
        <v/>
      </c>
      <c r="R32" s="14" t="str">
        <f>IF(tblHorasMar[Horas Trabalhadas Além Jornada]&gt;0,
IF(AND(VLOOKUP(TEXT(tblHorasMar[Data],"dddd"),tblDiaUtil[],3,FALSE)="Sim",IF(tblHorasMar[Evento 
(1º Período)]&lt;&gt;"",IF(VLOOKUP(tblHorasMar[Evento 
(1º Período)],tblEvento[],Tabelas!$E$1,FALSE)="Sim",FALSE,TRUE),TRUE),IF(tblHorasMar[Evento 
(2º Período)]&lt;&gt;"",IF(VLOOKUP(tblHorasMar[Evento 
(2º Período)],tblEvento[],Tabelas!$E$1,FALSE)="Sim",FALSE,TRUE),TRUE)),
tblHorasMar[Horas Trabalhadas Além Jornada],""),"")</f>
        <v/>
      </c>
      <c r="S32" s="14" t="str">
        <f>IF(tblHorasMar[Horas Trabalhadas Além Jornada]&gt;0,
IF(OR(VLOOKUP(TEXT(tblHorasMar[Data],"dddd"),tblDiaUtil[],3,FALSE)="Não",IF(tblHorasMar[Evento 
(1º Período)]&lt;&gt;"",IF(VLOOKUP(tblHorasMar[Evento 
(1º Período)],tblEvento[],Tabelas!$E$1,FALSE)="Sim",TRUE,FALSE),FALSE),IF(tblHorasMar[Evento 
(2º Período)]&lt;&gt;"",IF(VLOOKUP(tblHorasMar[Evento 
(2º Período)],tblEvento[],Tabelas!$E$1,FALSE)="Sim",TRUE,FALSE),FALSE)),
tblHorasMar[Horas Trabalhadas Além Jornada],""),"")</f>
        <v/>
      </c>
      <c r="T32" s="15" t="str">
        <f>IF(tblHorasMar[Evento 
(1º Período)]&lt;&gt;""," - " &amp;VLOOKUP(tblHorasMar[Evento 
(1º Período)],tblEvento[],Tabelas!$F$1,FALSE),"")&amp;IF(AND(tblHorasMar[Evento 
(2º Período)]&lt;&gt;"",tblHorasMar[Evento 
(2º Período)]&lt;&gt;tblHorasMar[Evento 
(1º Período)])," - " &amp; VLOOKUP(tblHorasMar[Evento 
(2º Período)],tblEvento[],Tabelas!$F$1,FALSE),"")</f>
        <v/>
      </c>
    </row>
    <row r="33" spans="2:21" x14ac:dyDescent="0.25">
      <c r="B33" s="11" t="str">
        <f t="shared" si="0"/>
        <v/>
      </c>
      <c r="C33" s="12" t="str">
        <f>TEXT(tblHorasMar[Data],"ddd")</f>
        <v/>
      </c>
      <c r="D33" s="25"/>
      <c r="E33" s="1"/>
      <c r="F33" s="1"/>
      <c r="G33" s="1"/>
      <c r="H33" s="1"/>
      <c r="I33" s="53"/>
      <c r="J33" s="4">
        <f>IF($B$6&lt;&gt;"",
IF(AND(tblHorasMar[Evento 
(1º Período)]&lt;&gt;"",IF(ISERROR(VLOOKUP(tblHorasMar[Evento 
(1º Período)],tblEvento[],Tabelas!$D$1,FALSE)),FALSE,VLOOKUP(tblHorasMar[Evento 
(1º Período)],tblEvento[],Tabelas!$D$1,FALSE)="Sim")),
        IF(JORNADA_PERIODO_1&lt;&gt;"",
IF(VLOOKUP(tblHorasMar[Dia],tblDiaUtil[[Abreviatura]:[1º Período]],3,FALSE)&gt;0,VLOOKUP(tblHorasMar[Dia],tblDiaUtil[[Abreviatura]:[1º Período]],3,FALSE),JORNADA_PERIODO_1),
IF(VLOOKUP(tblHorasMar[Dia],tblDiaUtil[[Abreviatura]:[1º Período]],3,FALSE)&gt;0,VLOOKUP(tblHorasMar[Dia],tblDiaUtil[[Abreviatura]:[1º Período]],3,FALSE),JORNADA/2)),
        IF(AND(ISNUMBER(tblHorasMar[Saída - 1 (Almoço)]),ISNUMBER(tblHorasMar[Entrada - 1])),
              IF(OR(AND(tblHorasMar[Evento 
(1º Período)]&lt;&gt;"",IF(ISERROR(VLOOKUP(tblHorasMar[Evento 
(1º Período)],tblEvento[],Tabelas!$E$1,FALSE)),FALSE,VLOOKUP(tblHorasMar[Evento 
(1º Período)],tblEvento[],Tabelas!$E$1,FALSE)="Sim")),IF(VLOOKUP(TEXT(tblHorasMar[Data],"dddd"),tblDiaUtil[],2,FALSE)="Não",TRUE,FALSE)),
                   tblHorasMar[Saída - 1 (Almoço)]-tblHorasMar[Entrada - 1],
                   IF(OR(HOUR(tblHorasMar[Saída - 1 (Almoço)]-tblHorasMar[Entrada - 1])&gt;0,ROUND(tblHorasMar[Saída - 1 (Almoço)]-tblHorasMar[Entrada - 1],6)&gt;ROUND(CARENCIA,6)),
                          tblHorasMar[Saída - 1 (Almoço)]-tblHorasMar[Entrada - 1],
                          0)),
                    0)),0)</f>
        <v>0</v>
      </c>
      <c r="K33" s="4">
        <f>IF($B$6&lt;&gt;"",
IF(AND(tblHorasMar[Evento 
(2º Período)]&lt;&gt;"",IF(ISERROR(VLOOKUP(tblHorasMar[Evento 
(2º Período)],tblEvento[],Tabelas!$D$1,FALSE)),FALSE,VLOOKUP(tblHorasMar[Evento 
(2º Período)],tblEvento[],Tabelas!$D$1,FALSE)="Sim")),
        IF(JORNADA_PERIODO_2&lt;&gt;"",
IF(VLOOKUP(tblHorasMar[Dia],tblDiaUtil[[Abreviatura]:[2º Período]],4,FALSE)&gt;0,VLOOKUP(tblHorasMar[Dia],tblDiaUtil[[Abreviatura]:[2º Período]],4,FALSE),JORNADA_PERIODO_2),
IF(VLOOKUP(tblHorasMar[Dia],tblDiaUtil[[Abreviatura]:[2º Período]],4,FALSE)&gt;0,VLOOKUP(tblHorasMar[Dia],tblDiaUtil[[Abreviatura]:[2º Período]],4,FALSE),JORNADA/2)),
        IF(AND(ISNUMBER(tblHorasMar[Saída - 2]),ISNUMBER(tblHorasMar[Entrada - 2 (Almoço)])),
              IF(OR(AND(tblHorasMar[Evento 
(2º Período)]&lt;&gt;"",IF(ISERROR(VLOOKUP(tblHorasMar[Evento 
(2º Período)],tblEvento[],Tabelas!$E$1,FALSE)),FALSE,VLOOKUP(tblHorasMar[Evento 
(2º Período)],tblEvento[],Tabelas!$E$1,FALSE)="Sim")),IF(VLOOKUP(TEXT(tblHorasMar[Data],"dddd"),tblDiaUtil[],2,FALSE)="Não",TRUE,FALSE)),
                   tblHorasMar[Saída - 2]-tblHorasMar[Entrada - 2 (Almoço)],
                   IF(OR(HOUR(tblHorasMar[Saída - 2]-tblHorasMar[Entrada - 2 (Almoço)])&gt;0,MINUTE(tblHorasMar[Saída - 2]-tblHorasMar[Entrada - 2 (Almoço)])&gt;CARENCIA),
                         tblHorasMar[Saída - 2]-tblHorasMar[Entrada - 2 (Almoço)],
                         0)),
       0)),0)</f>
        <v>0</v>
      </c>
      <c r="L33" s="4">
        <f>tblHorasMar[Horas Trabalhadas (1º Período)]+tblHorasMar[Horas Trabalhadas (2º Período)]</f>
        <v>0</v>
      </c>
      <c r="M33" s="4" t="str">
        <f>IF(tblHorasMar[Data]&lt;&gt;"",
        IF(
AND(VLOOKUP(TEXT(tblHorasMar[Data],"dddd"),tblDiaUtil[],3,FALSE)="Sim",IF(tblHorasMar[Evento 
(1º Período)]&lt;&gt;"",IF(VLOOKUP(tblHorasMar[Evento 
(1º Período)],tblEvento[],Tabelas!$E$1,FALSE)="Sim",FALSE,TRUE),TRUE),IF(tblHorasMar[Evento 
(2º Período)]&lt;&gt;"",IF(VLOOKUP(tblHorasMar[Evento 
(2º Período)],tblEvento[],Tabelas!$E$1,FALSE)="Sim",FALSE,TRUE),TRUE)),
              IF(VLOOKUP(tblHorasMar[Dia],tblDiaUtil[[Abreviatura]:[1º Período]],3,FALSE)&gt;0,VLOOKUP(tblHorasMar[Dia],tblDiaUtil[[Abreviatura]:[1º Período]],3,FALSE),JORNADA),
              ""),
         "")</f>
        <v/>
      </c>
      <c r="N33" s="14">
        <f>IF(OR(tblHorasMar[Horas Trabalhadas (1º Período)]&lt;&gt;0,tblHorasMar[Horas Trabalhadas (2º Período)]&lt;&gt;0),
        IF(ISNUMBER(tblHorasMar[Jornada Diária]),
              IF(tblHorasMar[Jornada Diária]&gt;(tblHorasMar[Horas Trabalhadas (2º Período)]+tblHorasMar[Horas Trabalhadas (1º Período)]),
                     IF(ROUND((tblHorasMar[Jornada Diária]-(tblHorasMar[Horas Trabalhadas (2º Período)]+tblHorasMar[Horas Trabalhadas (1º Período)])),6)&gt;ROUND(CARENCIA,6),
                           -tblHorasMar[Jornada Diária]+(tblHorasMar[Horas Trabalhadas (2º Período)]+tblHorasMar[Horas Trabalhadas (1º Período)]),
                           0),
                      IF(ROUND((tblHorasMar[Jornada Diária]-(tblHorasMar[Horas Trabalhadas (2º Período)]+tblHorasMar[Horas Trabalhadas (1º Período)])),6)&lt;ROUND(-CARENCIA,6),
                           -tblHorasMar[Jornada Diária]+(tblHorasMar[Horas Trabalhadas (2º Período)]+tblHorasMar[Horas Trabalhadas (1º Período)]),
                           0)),
              tblHorasMar[Horas Trabalhadas (2º Período)]+tblHorasMar[Horas Trabalhadas (1º Período)]),
         IF(AND(IF(ISERROR(VLOOKUP(tblHorasMar[Evento 
(1º Período)],tblEvento[[Evento]:[Libera o Período]],4,FALSE)),FALSE,IF(VLOOKUP(tblHorasMar[Evento 
(1º Período)],tblEvento[[Evento]:[Libera o Período]],4,FALSE)="Não",TRUE,FALSE)),IF(ISERROR(VLOOKUP(tblHorasMar[Evento 
(2º Período)],tblEvento[[Evento]:[Libera o Período]],4,FALSE)),FALSE,IF(VLOOKUP(tblHorasMar[Evento 
(2º Período)],tblEvento[[Evento]:[Libera o Período]],4,FALSE)="Não",TRUE,FALSE))),
-IF(VLOOKUP(tblHorasMar[Dia],tblDiaUtil[[Abreviatura]:[Total Jornada]],5,FALSE)&lt;&gt;"",VLOOKUP(tblHorasMar[Dia],tblDiaUtil[[Abreviatura]:[Total Jornada]],5,FALSE),JORNADA),
IF(IF(ISERROR(VLOOKUP(tblHorasMar[Evento 
(1º Período)],tblEvento[[Evento]:[Libera o Período]],4,FALSE)),FALSE,
IF(VLOOKUP(tblHorasMar[Evento 
(1º Período)],tblEvento[[Evento]:[Libera o Período]],4,FALSE)="Não",TRUE,FALSE)
),
-IF(VLOOKUP(tblHorasMar[Dia],tblDiaUtil[[Abreviatura]:[1º Período]],3,FALSE)&lt;&gt;"",VLOOKUP(tblHorasMar[Dia],tblDiaUtil[[Abreviatura]:[1º Período]],3,FALSE),JORNADA_PERIODO_1),
IF(IF(ISERROR(VLOOKUP(tblHorasMar[Evento 
(2º Período)],tblEvento[[Evento]:[Libera o Período]],4,FALSE)),FALSE,IF(VLOOKUP(tblHorasMar[Evento 
(2º Período)],tblEvento[[Evento]:[Libera o Período]],4,FALSE)="Não",TRUE,FALSE)),
-IF(VLOOKUP(tblHorasMar[Dia],tblDiaUtil[[Abreviatura]:[2º Período]],4,FALSE)&lt;&gt;"",VLOOKUP(tblHorasMar[Dia],tblDiaUtil[[Abreviatura]:[2º Período]],4,FALSE),JORNADA_PERIODO_2),0))))</f>
        <v>0</v>
      </c>
      <c r="O33" s="14">
        <f>IF(tblHorasMar[Horas Trabalhadas Além Jornada]&gt;0,
        IF(ISNUMBER(tblHorasMar[Jornada Diária]),
              IF(HOUR(tblHorasMar[Horas Trabalhadas Além Jornada])&gt;=VLOOKUP(LIMITE,tblLimiteHora[],Tabelas!$I$1,FALSE),
                    VLOOKUP(LIMITE,tblLimiteHora[],Tabelas!$J$1,FALSE),
                    tblHorasMar[Horas Trabalhadas Além Jornada]),
              tblHorasMar[Horas Trabalhadas Além Jornada]),
        tblHorasMar[Horas Trabalhadas Além Jornada])+O32</f>
        <v>0</v>
      </c>
      <c r="P33" s="14" t="str">
        <f>IF(tblHorasMar[Horas Trabalhadas Além Jornada]&lt;0,IF(OR(tblHorasMar[Evento 
(1º Período)]="",tblHorasMar[Evento 
(2º Período)]=""),tblHorasMar[Horas Trabalhadas Além Jornada],""),"")</f>
        <v/>
      </c>
      <c r="Q33" s="14" t="str">
        <f>IF(tblHorasMar[Jornada Diária]&lt;&gt;"",IF((N(tblHorasMar[Jornada Diária])-ABS(N(tblHorasMar[Horas Trabalhadas Além Jornada])))=0,1,""),"")</f>
        <v/>
      </c>
      <c r="R33" s="14" t="str">
        <f>IF(tblHorasMar[Horas Trabalhadas Além Jornada]&gt;0,
IF(AND(VLOOKUP(TEXT(tblHorasMar[Data],"dddd"),tblDiaUtil[],3,FALSE)="Sim",IF(tblHorasMar[Evento 
(1º Período)]&lt;&gt;"",IF(VLOOKUP(tblHorasMar[Evento 
(1º Período)],tblEvento[],Tabelas!$E$1,FALSE)="Sim",FALSE,TRUE),TRUE),IF(tblHorasMar[Evento 
(2º Período)]&lt;&gt;"",IF(VLOOKUP(tblHorasMar[Evento 
(2º Período)],tblEvento[],Tabelas!$E$1,FALSE)="Sim",FALSE,TRUE),TRUE)),
tblHorasMar[Horas Trabalhadas Além Jornada],""),"")</f>
        <v/>
      </c>
      <c r="S33" s="14" t="str">
        <f>IF(tblHorasMar[Horas Trabalhadas Além Jornada]&gt;0,
IF(OR(VLOOKUP(TEXT(tblHorasMar[Data],"dddd"),tblDiaUtil[],3,FALSE)="Não",IF(tblHorasMar[Evento 
(1º Período)]&lt;&gt;"",IF(VLOOKUP(tblHorasMar[Evento 
(1º Período)],tblEvento[],Tabelas!$E$1,FALSE)="Sim",TRUE,FALSE),FALSE),IF(tblHorasMar[Evento 
(2º Período)]&lt;&gt;"",IF(VLOOKUP(tblHorasMar[Evento 
(2º Período)],tblEvento[],Tabelas!$E$1,FALSE)="Sim",TRUE,FALSE),FALSE)),
tblHorasMar[Horas Trabalhadas Além Jornada],""),"")</f>
        <v/>
      </c>
      <c r="T33" s="15" t="str">
        <f>IF(tblHorasMar[Evento 
(1º Período)]&lt;&gt;""," - " &amp;VLOOKUP(tblHorasMar[Evento 
(1º Período)],tblEvento[],Tabelas!$F$1,FALSE),"")&amp;IF(AND(tblHorasMar[Evento 
(2º Período)]&lt;&gt;"",tblHorasMar[Evento 
(2º Período)]&lt;&gt;tblHorasMar[Evento 
(1º Período)])," - " &amp; VLOOKUP(tblHorasMar[Evento 
(2º Período)],tblEvento[],Tabelas!$F$1,FALSE),"")</f>
        <v/>
      </c>
    </row>
    <row r="34" spans="2:21" x14ac:dyDescent="0.25">
      <c r="B34" s="11" t="str">
        <f t="shared" si="0"/>
        <v/>
      </c>
      <c r="C34" s="12" t="str">
        <f>TEXT(tblHorasMar[Data],"ddd")</f>
        <v/>
      </c>
      <c r="D34" s="25"/>
      <c r="E34" s="1"/>
      <c r="F34" s="1"/>
      <c r="G34" s="1"/>
      <c r="H34" s="1"/>
      <c r="I34" s="53"/>
      <c r="J34" s="4">
        <f>IF($B$6&lt;&gt;"",
IF(AND(tblHorasMar[Evento 
(1º Período)]&lt;&gt;"",IF(ISERROR(VLOOKUP(tblHorasMar[Evento 
(1º Período)],tblEvento[],Tabelas!$D$1,FALSE)),FALSE,VLOOKUP(tblHorasMar[Evento 
(1º Período)],tblEvento[],Tabelas!$D$1,FALSE)="Sim")),
        IF(JORNADA_PERIODO_1&lt;&gt;"",
IF(VLOOKUP(tblHorasMar[Dia],tblDiaUtil[[Abreviatura]:[1º Período]],3,FALSE)&gt;0,VLOOKUP(tblHorasMar[Dia],tblDiaUtil[[Abreviatura]:[1º Período]],3,FALSE),JORNADA_PERIODO_1),
IF(VLOOKUP(tblHorasMar[Dia],tblDiaUtil[[Abreviatura]:[1º Período]],3,FALSE)&gt;0,VLOOKUP(tblHorasMar[Dia],tblDiaUtil[[Abreviatura]:[1º Período]],3,FALSE),JORNADA/2)),
        IF(AND(ISNUMBER(tblHorasMar[Saída - 1 (Almoço)]),ISNUMBER(tblHorasMar[Entrada - 1])),
              IF(OR(AND(tblHorasMar[Evento 
(1º Período)]&lt;&gt;"",IF(ISERROR(VLOOKUP(tblHorasMar[Evento 
(1º Período)],tblEvento[],Tabelas!$E$1,FALSE)),FALSE,VLOOKUP(tblHorasMar[Evento 
(1º Período)],tblEvento[],Tabelas!$E$1,FALSE)="Sim")),IF(VLOOKUP(TEXT(tblHorasMar[Data],"dddd"),tblDiaUtil[],2,FALSE)="Não",TRUE,FALSE)),
                   tblHorasMar[Saída - 1 (Almoço)]-tblHorasMar[Entrada - 1],
                   IF(OR(HOUR(tblHorasMar[Saída - 1 (Almoço)]-tblHorasMar[Entrada - 1])&gt;0,ROUND(tblHorasMar[Saída - 1 (Almoço)]-tblHorasMar[Entrada - 1],6)&gt;ROUND(CARENCIA,6)),
                          tblHorasMar[Saída - 1 (Almoço)]-tblHorasMar[Entrada - 1],
                          0)),
                    0)),0)</f>
        <v>0</v>
      </c>
      <c r="K34" s="4">
        <f>IF($B$6&lt;&gt;"",
IF(AND(tblHorasMar[Evento 
(2º Período)]&lt;&gt;"",IF(ISERROR(VLOOKUP(tblHorasMar[Evento 
(2º Período)],tblEvento[],Tabelas!$D$1,FALSE)),FALSE,VLOOKUP(tblHorasMar[Evento 
(2º Período)],tblEvento[],Tabelas!$D$1,FALSE)="Sim")),
        IF(JORNADA_PERIODO_2&lt;&gt;"",
IF(VLOOKUP(tblHorasMar[Dia],tblDiaUtil[[Abreviatura]:[2º Período]],4,FALSE)&gt;0,VLOOKUP(tblHorasMar[Dia],tblDiaUtil[[Abreviatura]:[2º Período]],4,FALSE),JORNADA_PERIODO_2),
IF(VLOOKUP(tblHorasMar[Dia],tblDiaUtil[[Abreviatura]:[2º Período]],4,FALSE)&gt;0,VLOOKUP(tblHorasMar[Dia],tblDiaUtil[[Abreviatura]:[2º Período]],4,FALSE),JORNADA/2)),
        IF(AND(ISNUMBER(tblHorasMar[Saída - 2]),ISNUMBER(tblHorasMar[Entrada - 2 (Almoço)])),
              IF(OR(AND(tblHorasMar[Evento 
(2º Período)]&lt;&gt;"",IF(ISERROR(VLOOKUP(tblHorasMar[Evento 
(2º Período)],tblEvento[],Tabelas!$E$1,FALSE)),FALSE,VLOOKUP(tblHorasMar[Evento 
(2º Período)],tblEvento[],Tabelas!$E$1,FALSE)="Sim")),IF(VLOOKUP(TEXT(tblHorasMar[Data],"dddd"),tblDiaUtil[],2,FALSE)="Não",TRUE,FALSE)),
                   tblHorasMar[Saída - 2]-tblHorasMar[Entrada - 2 (Almoço)],
                   IF(OR(HOUR(tblHorasMar[Saída - 2]-tblHorasMar[Entrada - 2 (Almoço)])&gt;0,MINUTE(tblHorasMar[Saída - 2]-tblHorasMar[Entrada - 2 (Almoço)])&gt;CARENCIA),
                         tblHorasMar[Saída - 2]-tblHorasMar[Entrada - 2 (Almoço)],
                         0)),
       0)),0)</f>
        <v>0</v>
      </c>
      <c r="L34" s="4">
        <f>tblHorasMar[Horas Trabalhadas (1º Período)]+tblHorasMar[Horas Trabalhadas (2º Período)]</f>
        <v>0</v>
      </c>
      <c r="M34" s="4" t="str">
        <f>IF(tblHorasMar[Data]&lt;&gt;"",
        IF(
AND(VLOOKUP(TEXT(tblHorasMar[Data],"dddd"),tblDiaUtil[],3,FALSE)="Sim",IF(tblHorasMar[Evento 
(1º Período)]&lt;&gt;"",IF(VLOOKUP(tblHorasMar[Evento 
(1º Período)],tblEvento[],Tabelas!$E$1,FALSE)="Sim",FALSE,TRUE),TRUE),IF(tblHorasMar[Evento 
(2º Período)]&lt;&gt;"",IF(VLOOKUP(tblHorasMar[Evento 
(2º Período)],tblEvento[],Tabelas!$E$1,FALSE)="Sim",FALSE,TRUE),TRUE)),
              IF(VLOOKUP(tblHorasMar[Dia],tblDiaUtil[[Abreviatura]:[1º Período]],3,FALSE)&gt;0,VLOOKUP(tblHorasMar[Dia],tblDiaUtil[[Abreviatura]:[1º Período]],3,FALSE),JORNADA),
              ""),
         "")</f>
        <v/>
      </c>
      <c r="N34" s="14">
        <f>IF(OR(tblHorasMar[Horas Trabalhadas (1º Período)]&lt;&gt;0,tblHorasMar[Horas Trabalhadas (2º Período)]&lt;&gt;0),
        IF(ISNUMBER(tblHorasMar[Jornada Diária]),
              IF(tblHorasMar[Jornada Diária]&gt;(tblHorasMar[Horas Trabalhadas (2º Período)]+tblHorasMar[Horas Trabalhadas (1º Período)]),
                     IF(ROUND((tblHorasMar[Jornada Diária]-(tblHorasMar[Horas Trabalhadas (2º Período)]+tblHorasMar[Horas Trabalhadas (1º Período)])),6)&gt;ROUND(CARENCIA,6),
                           -tblHorasMar[Jornada Diária]+(tblHorasMar[Horas Trabalhadas (2º Período)]+tblHorasMar[Horas Trabalhadas (1º Período)]),
                           0),
                      IF(ROUND((tblHorasMar[Jornada Diária]-(tblHorasMar[Horas Trabalhadas (2º Período)]+tblHorasMar[Horas Trabalhadas (1º Período)])),6)&lt;ROUND(-CARENCIA,6),
                           -tblHorasMar[Jornada Diária]+(tblHorasMar[Horas Trabalhadas (2º Período)]+tblHorasMar[Horas Trabalhadas (1º Período)]),
                           0)),
              tblHorasMar[Horas Trabalhadas (2º Período)]+tblHorasMar[Horas Trabalhadas (1º Período)]),
         IF(AND(IF(ISERROR(VLOOKUP(tblHorasMar[Evento 
(1º Período)],tblEvento[[Evento]:[Libera o Período]],4,FALSE)),FALSE,IF(VLOOKUP(tblHorasMar[Evento 
(1º Período)],tblEvento[[Evento]:[Libera o Período]],4,FALSE)="Não",TRUE,FALSE)),IF(ISERROR(VLOOKUP(tblHorasMar[Evento 
(2º Período)],tblEvento[[Evento]:[Libera o Período]],4,FALSE)),FALSE,IF(VLOOKUP(tblHorasMar[Evento 
(2º Período)],tblEvento[[Evento]:[Libera o Período]],4,FALSE)="Não",TRUE,FALSE))),
-IF(VLOOKUP(tblHorasMar[Dia],tblDiaUtil[[Abreviatura]:[Total Jornada]],5,FALSE)&lt;&gt;"",VLOOKUP(tblHorasMar[Dia],tblDiaUtil[[Abreviatura]:[Total Jornada]],5,FALSE),JORNADA),
IF(IF(ISERROR(VLOOKUP(tblHorasMar[Evento 
(1º Período)],tblEvento[[Evento]:[Libera o Período]],4,FALSE)),FALSE,
IF(VLOOKUP(tblHorasMar[Evento 
(1º Período)],tblEvento[[Evento]:[Libera o Período]],4,FALSE)="Não",TRUE,FALSE)
),
-IF(VLOOKUP(tblHorasMar[Dia],tblDiaUtil[[Abreviatura]:[1º Período]],3,FALSE)&lt;&gt;"",VLOOKUP(tblHorasMar[Dia],tblDiaUtil[[Abreviatura]:[1º Período]],3,FALSE),JORNADA_PERIODO_1),
IF(IF(ISERROR(VLOOKUP(tblHorasMar[Evento 
(2º Período)],tblEvento[[Evento]:[Libera o Período]],4,FALSE)),FALSE,IF(VLOOKUP(tblHorasMar[Evento 
(2º Período)],tblEvento[[Evento]:[Libera o Período]],4,FALSE)="Não",TRUE,FALSE)),
-IF(VLOOKUP(tblHorasMar[Dia],tblDiaUtil[[Abreviatura]:[2º Período]],4,FALSE)&lt;&gt;"",VLOOKUP(tblHorasMar[Dia],tblDiaUtil[[Abreviatura]:[2º Período]],4,FALSE),JORNADA_PERIODO_2),0))))</f>
        <v>0</v>
      </c>
      <c r="O34" s="14">
        <f>IF(tblHorasMar[Horas Trabalhadas Além Jornada]&gt;0,
        IF(ISNUMBER(tblHorasMar[Jornada Diária]),
              IF(HOUR(tblHorasMar[Horas Trabalhadas Além Jornada])&gt;=VLOOKUP(LIMITE,tblLimiteHora[],Tabelas!$I$1,FALSE),
                    VLOOKUP(LIMITE,tblLimiteHora[],Tabelas!$J$1,FALSE),
                    tblHorasMar[Horas Trabalhadas Além Jornada]),
              tblHorasMar[Horas Trabalhadas Além Jornada]),
        tblHorasMar[Horas Trabalhadas Além Jornada])+O33</f>
        <v>0</v>
      </c>
      <c r="P34" s="14" t="str">
        <f>IF(tblHorasMar[Horas Trabalhadas Além Jornada]&lt;0,IF(OR(tblHorasMar[Evento 
(1º Período)]="",tblHorasMar[Evento 
(2º Período)]=""),tblHorasMar[Horas Trabalhadas Além Jornada],""),"")</f>
        <v/>
      </c>
      <c r="Q34" s="14" t="str">
        <f>IF(tblHorasMar[Jornada Diária]&lt;&gt;"",IF((N(tblHorasMar[Jornada Diária])-ABS(N(tblHorasMar[Horas Trabalhadas Além Jornada])))=0,1,""),"")</f>
        <v/>
      </c>
      <c r="R34" s="14" t="str">
        <f>IF(tblHorasMar[Horas Trabalhadas Além Jornada]&gt;0,
IF(AND(VLOOKUP(TEXT(tblHorasMar[Data],"dddd"),tblDiaUtil[],3,FALSE)="Sim",IF(tblHorasMar[Evento 
(1º Período)]&lt;&gt;"",IF(VLOOKUP(tblHorasMar[Evento 
(1º Período)],tblEvento[],Tabelas!$E$1,FALSE)="Sim",FALSE,TRUE),TRUE),IF(tblHorasMar[Evento 
(2º Período)]&lt;&gt;"",IF(VLOOKUP(tblHorasMar[Evento 
(2º Período)],tblEvento[],Tabelas!$E$1,FALSE)="Sim",FALSE,TRUE),TRUE)),
tblHorasMar[Horas Trabalhadas Além Jornada],""),"")</f>
        <v/>
      </c>
      <c r="S34" s="14" t="str">
        <f>IF(tblHorasMar[Horas Trabalhadas Além Jornada]&gt;0,
IF(OR(VLOOKUP(TEXT(tblHorasMar[Data],"dddd"),tblDiaUtil[],3,FALSE)="Não",IF(tblHorasMar[Evento 
(1º Período)]&lt;&gt;"",IF(VLOOKUP(tblHorasMar[Evento 
(1º Período)],tblEvento[],Tabelas!$E$1,FALSE)="Sim",TRUE,FALSE),FALSE),IF(tblHorasMar[Evento 
(2º Período)]&lt;&gt;"",IF(VLOOKUP(tblHorasMar[Evento 
(2º Período)],tblEvento[],Tabelas!$E$1,FALSE)="Sim",TRUE,FALSE),FALSE)),
tblHorasMar[Horas Trabalhadas Além Jornada],""),"")</f>
        <v/>
      </c>
      <c r="T34" s="15" t="str">
        <f>IF(tblHorasMar[Evento 
(1º Período)]&lt;&gt;""," - " &amp;VLOOKUP(tblHorasMar[Evento 
(1º Período)],tblEvento[],Tabelas!$F$1,FALSE),"")&amp;IF(AND(tblHorasMar[Evento 
(2º Período)]&lt;&gt;"",tblHorasMar[Evento 
(2º Período)]&lt;&gt;tblHorasMar[Evento 
(1º Período)])," - " &amp; VLOOKUP(tblHorasMar[Evento 
(2º Período)],tblEvento[],Tabelas!$F$1,FALSE),"")</f>
        <v/>
      </c>
    </row>
    <row r="35" spans="2:21" x14ac:dyDescent="0.25">
      <c r="B35" s="11" t="str">
        <f t="shared" si="0"/>
        <v/>
      </c>
      <c r="C35" s="12" t="str">
        <f>TEXT(tblHorasMar[Data],"ddd")</f>
        <v/>
      </c>
      <c r="D35" s="25"/>
      <c r="E35" s="1"/>
      <c r="F35" s="1"/>
      <c r="G35" s="1"/>
      <c r="H35" s="1"/>
      <c r="I35" s="53"/>
      <c r="J35" s="4">
        <f>IF($B$6&lt;&gt;"",
IF(AND(tblHorasMar[Evento 
(1º Período)]&lt;&gt;"",IF(ISERROR(VLOOKUP(tblHorasMar[Evento 
(1º Período)],tblEvento[],Tabelas!$D$1,FALSE)),FALSE,VLOOKUP(tblHorasMar[Evento 
(1º Período)],tblEvento[],Tabelas!$D$1,FALSE)="Sim")),
        IF(JORNADA_PERIODO_1&lt;&gt;"",
IF(VLOOKUP(tblHorasMar[Dia],tblDiaUtil[[Abreviatura]:[1º Período]],3,FALSE)&gt;0,VLOOKUP(tblHorasMar[Dia],tblDiaUtil[[Abreviatura]:[1º Período]],3,FALSE),JORNADA_PERIODO_1),
IF(VLOOKUP(tblHorasMar[Dia],tblDiaUtil[[Abreviatura]:[1º Período]],3,FALSE)&gt;0,VLOOKUP(tblHorasMar[Dia],tblDiaUtil[[Abreviatura]:[1º Período]],3,FALSE),JORNADA/2)),
        IF(AND(ISNUMBER(tblHorasMar[Saída - 1 (Almoço)]),ISNUMBER(tblHorasMar[Entrada - 1])),
              IF(OR(AND(tblHorasMar[Evento 
(1º Período)]&lt;&gt;"",IF(ISERROR(VLOOKUP(tblHorasMar[Evento 
(1º Período)],tblEvento[],Tabelas!$E$1,FALSE)),FALSE,VLOOKUP(tblHorasMar[Evento 
(1º Período)],tblEvento[],Tabelas!$E$1,FALSE)="Sim")),IF(VLOOKUP(TEXT(tblHorasMar[Data],"dddd"),tblDiaUtil[],2,FALSE)="Não",TRUE,FALSE)),
                   tblHorasMar[Saída - 1 (Almoço)]-tblHorasMar[Entrada - 1],
                   IF(OR(HOUR(tblHorasMar[Saída - 1 (Almoço)]-tblHorasMar[Entrada - 1])&gt;0,ROUND(tblHorasMar[Saída - 1 (Almoço)]-tblHorasMar[Entrada - 1],6)&gt;ROUND(CARENCIA,6)),
                          tblHorasMar[Saída - 1 (Almoço)]-tblHorasMar[Entrada - 1],
                          0)),
                    0)),0)</f>
        <v>0</v>
      </c>
      <c r="K35" s="4">
        <f>IF($B$6&lt;&gt;"",
IF(AND(tblHorasMar[Evento 
(2º Período)]&lt;&gt;"",IF(ISERROR(VLOOKUP(tblHorasMar[Evento 
(2º Período)],tblEvento[],Tabelas!$D$1,FALSE)),FALSE,VLOOKUP(tblHorasMar[Evento 
(2º Período)],tblEvento[],Tabelas!$D$1,FALSE)="Sim")),
        IF(JORNADA_PERIODO_2&lt;&gt;"",
IF(VLOOKUP(tblHorasMar[Dia],tblDiaUtil[[Abreviatura]:[2º Período]],4,FALSE)&gt;0,VLOOKUP(tblHorasMar[Dia],tblDiaUtil[[Abreviatura]:[2º Período]],4,FALSE),JORNADA_PERIODO_2),
IF(VLOOKUP(tblHorasMar[Dia],tblDiaUtil[[Abreviatura]:[2º Período]],4,FALSE)&gt;0,VLOOKUP(tblHorasMar[Dia],tblDiaUtil[[Abreviatura]:[2º Período]],4,FALSE),JORNADA/2)),
        IF(AND(ISNUMBER(tblHorasMar[Saída - 2]),ISNUMBER(tblHorasMar[Entrada - 2 (Almoço)])),
              IF(OR(AND(tblHorasMar[Evento 
(2º Período)]&lt;&gt;"",IF(ISERROR(VLOOKUP(tblHorasMar[Evento 
(2º Período)],tblEvento[],Tabelas!$E$1,FALSE)),FALSE,VLOOKUP(tblHorasMar[Evento 
(2º Período)],tblEvento[],Tabelas!$E$1,FALSE)="Sim")),IF(VLOOKUP(TEXT(tblHorasMar[Data],"dddd"),tblDiaUtil[],2,FALSE)="Não",TRUE,FALSE)),
                   tblHorasMar[Saída - 2]-tblHorasMar[Entrada - 2 (Almoço)],
                   IF(OR(HOUR(tblHorasMar[Saída - 2]-tblHorasMar[Entrada - 2 (Almoço)])&gt;0,MINUTE(tblHorasMar[Saída - 2]-tblHorasMar[Entrada - 2 (Almoço)])&gt;CARENCIA),
                         tblHorasMar[Saída - 2]-tblHorasMar[Entrada - 2 (Almoço)],
                         0)),
       0)),0)</f>
        <v>0</v>
      </c>
      <c r="L35" s="4">
        <f>tblHorasMar[Horas Trabalhadas (1º Período)]+tblHorasMar[Horas Trabalhadas (2º Período)]</f>
        <v>0</v>
      </c>
      <c r="M35" s="4" t="str">
        <f>IF(tblHorasMar[Data]&lt;&gt;"",
        IF(
AND(VLOOKUP(TEXT(tblHorasMar[Data],"dddd"),tblDiaUtil[],3,FALSE)="Sim",IF(tblHorasMar[Evento 
(1º Período)]&lt;&gt;"",IF(VLOOKUP(tblHorasMar[Evento 
(1º Período)],tblEvento[],Tabelas!$E$1,FALSE)="Sim",FALSE,TRUE),TRUE),IF(tblHorasMar[Evento 
(2º Período)]&lt;&gt;"",IF(VLOOKUP(tblHorasMar[Evento 
(2º Período)],tblEvento[],Tabelas!$E$1,FALSE)="Sim",FALSE,TRUE),TRUE)),
              IF(VLOOKUP(tblHorasMar[Dia],tblDiaUtil[[Abreviatura]:[1º Período]],3,FALSE)&gt;0,VLOOKUP(tblHorasMar[Dia],tblDiaUtil[[Abreviatura]:[1º Período]],3,FALSE),JORNADA),
              ""),
         "")</f>
        <v/>
      </c>
      <c r="N35" s="14">
        <f>IF(OR(tblHorasMar[Horas Trabalhadas (1º Período)]&lt;&gt;0,tblHorasMar[Horas Trabalhadas (2º Período)]&lt;&gt;0),
        IF(ISNUMBER(tblHorasMar[Jornada Diária]),
              IF(tblHorasMar[Jornada Diária]&gt;(tblHorasMar[Horas Trabalhadas (2º Período)]+tblHorasMar[Horas Trabalhadas (1º Período)]),
                     IF(ROUND((tblHorasMar[Jornada Diária]-(tblHorasMar[Horas Trabalhadas (2º Período)]+tblHorasMar[Horas Trabalhadas (1º Período)])),6)&gt;ROUND(CARENCIA,6),
                           -tblHorasMar[Jornada Diária]+(tblHorasMar[Horas Trabalhadas (2º Período)]+tblHorasMar[Horas Trabalhadas (1º Período)]),
                           0),
                      IF(ROUND((tblHorasMar[Jornada Diária]-(tblHorasMar[Horas Trabalhadas (2º Período)]+tblHorasMar[Horas Trabalhadas (1º Período)])),6)&lt;ROUND(-CARENCIA,6),
                           -tblHorasMar[Jornada Diária]+(tblHorasMar[Horas Trabalhadas (2º Período)]+tblHorasMar[Horas Trabalhadas (1º Período)]),
                           0)),
              tblHorasMar[Horas Trabalhadas (2º Período)]+tblHorasMar[Horas Trabalhadas (1º Período)]),
         IF(AND(IF(ISERROR(VLOOKUP(tblHorasMar[Evento 
(1º Período)],tblEvento[[Evento]:[Libera o Período]],4,FALSE)),FALSE,IF(VLOOKUP(tblHorasMar[Evento 
(1º Período)],tblEvento[[Evento]:[Libera o Período]],4,FALSE)="Não",TRUE,FALSE)),IF(ISERROR(VLOOKUP(tblHorasMar[Evento 
(2º Período)],tblEvento[[Evento]:[Libera o Período]],4,FALSE)),FALSE,IF(VLOOKUP(tblHorasMar[Evento 
(2º Período)],tblEvento[[Evento]:[Libera o Período]],4,FALSE)="Não",TRUE,FALSE))),
-IF(VLOOKUP(tblHorasMar[Dia],tblDiaUtil[[Abreviatura]:[Total Jornada]],5,FALSE)&lt;&gt;"",VLOOKUP(tblHorasMar[Dia],tblDiaUtil[[Abreviatura]:[Total Jornada]],5,FALSE),JORNADA),
IF(IF(ISERROR(VLOOKUP(tblHorasMar[Evento 
(1º Período)],tblEvento[[Evento]:[Libera o Período]],4,FALSE)),FALSE,
IF(VLOOKUP(tblHorasMar[Evento 
(1º Período)],tblEvento[[Evento]:[Libera o Período]],4,FALSE)="Não",TRUE,FALSE)
),
-IF(VLOOKUP(tblHorasMar[Dia],tblDiaUtil[[Abreviatura]:[1º Período]],3,FALSE)&lt;&gt;"",VLOOKUP(tblHorasMar[Dia],tblDiaUtil[[Abreviatura]:[1º Período]],3,FALSE),JORNADA_PERIODO_1),
IF(IF(ISERROR(VLOOKUP(tblHorasMar[Evento 
(2º Período)],tblEvento[[Evento]:[Libera o Período]],4,FALSE)),FALSE,IF(VLOOKUP(tblHorasMar[Evento 
(2º Período)],tblEvento[[Evento]:[Libera o Período]],4,FALSE)="Não",TRUE,FALSE)),
-IF(VLOOKUP(tblHorasMar[Dia],tblDiaUtil[[Abreviatura]:[2º Período]],4,FALSE)&lt;&gt;"",VLOOKUP(tblHorasMar[Dia],tblDiaUtil[[Abreviatura]:[2º Período]],4,FALSE),JORNADA_PERIODO_2),0))))</f>
        <v>0</v>
      </c>
      <c r="O35" s="14">
        <f>IF(tblHorasMar[Horas Trabalhadas Além Jornada]&gt;0,
        IF(ISNUMBER(tblHorasMar[Jornada Diária]),
              IF(HOUR(tblHorasMar[Horas Trabalhadas Além Jornada])&gt;=VLOOKUP(LIMITE,tblLimiteHora[],Tabelas!$I$1,FALSE),
                    VLOOKUP(LIMITE,tblLimiteHora[],Tabelas!$J$1,FALSE),
                    tblHorasMar[Horas Trabalhadas Além Jornada]),
              tblHorasMar[Horas Trabalhadas Além Jornada]),
        tblHorasMar[Horas Trabalhadas Além Jornada])+O34</f>
        <v>0</v>
      </c>
      <c r="P35" s="14" t="str">
        <f>IF(tblHorasMar[Horas Trabalhadas Além Jornada]&lt;0,IF(OR(tblHorasMar[Evento 
(1º Período)]="",tblHorasMar[Evento 
(2º Período)]=""),tblHorasMar[Horas Trabalhadas Além Jornada],""),"")</f>
        <v/>
      </c>
      <c r="Q35" s="14" t="str">
        <f>IF(tblHorasMar[Jornada Diária]&lt;&gt;"",IF((N(tblHorasMar[Jornada Diária])-ABS(N(tblHorasMar[Horas Trabalhadas Além Jornada])))=0,1,""),"")</f>
        <v/>
      </c>
      <c r="R35" s="14" t="str">
        <f>IF(tblHorasMar[Horas Trabalhadas Além Jornada]&gt;0,
IF(AND(VLOOKUP(TEXT(tblHorasMar[Data],"dddd"),tblDiaUtil[],3,FALSE)="Sim",IF(tblHorasMar[Evento 
(1º Período)]&lt;&gt;"",IF(VLOOKUP(tblHorasMar[Evento 
(1º Período)],tblEvento[],Tabelas!$E$1,FALSE)="Sim",FALSE,TRUE),TRUE),IF(tblHorasMar[Evento 
(2º Período)]&lt;&gt;"",IF(VLOOKUP(tblHorasMar[Evento 
(2º Período)],tblEvento[],Tabelas!$E$1,FALSE)="Sim",FALSE,TRUE),TRUE)),
tblHorasMar[Horas Trabalhadas Além Jornada],""),"")</f>
        <v/>
      </c>
      <c r="S35" s="14" t="str">
        <f>IF(tblHorasMar[Horas Trabalhadas Além Jornada]&gt;0,
IF(OR(VLOOKUP(TEXT(tblHorasMar[Data],"dddd"),tblDiaUtil[],3,FALSE)="Não",IF(tblHorasMar[Evento 
(1º Período)]&lt;&gt;"",IF(VLOOKUP(tblHorasMar[Evento 
(1º Período)],tblEvento[],Tabelas!$E$1,FALSE)="Sim",TRUE,FALSE),FALSE),IF(tblHorasMar[Evento 
(2º Período)]&lt;&gt;"",IF(VLOOKUP(tblHorasMar[Evento 
(2º Período)],tblEvento[],Tabelas!$E$1,FALSE)="Sim",TRUE,FALSE),FALSE)),
tblHorasMar[Horas Trabalhadas Além Jornada],""),"")</f>
        <v/>
      </c>
      <c r="T35" s="15" t="str">
        <f>IF(tblHorasMar[Evento 
(1º Período)]&lt;&gt;""," - " &amp;VLOOKUP(tblHorasMar[Evento 
(1º Período)],tblEvento[],Tabelas!$F$1,FALSE),"")&amp;IF(AND(tblHorasMar[Evento 
(2º Período)]&lt;&gt;"",tblHorasMar[Evento 
(2º Período)]&lt;&gt;tblHorasMar[Evento 
(1º Período)])," - " &amp; VLOOKUP(tblHorasMar[Evento 
(2º Período)],tblEvento[],Tabelas!$F$1,FALSE),"")</f>
        <v/>
      </c>
    </row>
    <row r="36" spans="2:21" x14ac:dyDescent="0.25">
      <c r="B36" s="11" t="str">
        <f t="shared" si="0"/>
        <v/>
      </c>
      <c r="C36" s="12" t="str">
        <f>TEXT(tblHorasMar[Data],"ddd")</f>
        <v/>
      </c>
      <c r="D36" s="25"/>
      <c r="E36" s="1"/>
      <c r="F36" s="1"/>
      <c r="G36" s="1"/>
      <c r="H36" s="1"/>
      <c r="I36" s="53"/>
      <c r="J36" s="4">
        <f>IF($B$6&lt;&gt;"",
IF(AND(tblHorasMar[Evento 
(1º Período)]&lt;&gt;"",IF(ISERROR(VLOOKUP(tblHorasMar[Evento 
(1º Período)],tblEvento[],Tabelas!$D$1,FALSE)),FALSE,VLOOKUP(tblHorasMar[Evento 
(1º Período)],tblEvento[],Tabelas!$D$1,FALSE)="Sim")),
        IF(JORNADA_PERIODO_1&lt;&gt;"",
IF(VLOOKUP(tblHorasMar[Dia],tblDiaUtil[[Abreviatura]:[1º Período]],3,FALSE)&gt;0,VLOOKUP(tblHorasMar[Dia],tblDiaUtil[[Abreviatura]:[1º Período]],3,FALSE),JORNADA_PERIODO_1),
IF(VLOOKUP(tblHorasMar[Dia],tblDiaUtil[[Abreviatura]:[1º Período]],3,FALSE)&gt;0,VLOOKUP(tblHorasMar[Dia],tblDiaUtil[[Abreviatura]:[1º Período]],3,FALSE),JORNADA/2)),
        IF(AND(ISNUMBER(tblHorasMar[Saída - 1 (Almoço)]),ISNUMBER(tblHorasMar[Entrada - 1])),
              IF(OR(AND(tblHorasMar[Evento 
(1º Período)]&lt;&gt;"",IF(ISERROR(VLOOKUP(tblHorasMar[Evento 
(1º Período)],tblEvento[],Tabelas!$E$1,FALSE)),FALSE,VLOOKUP(tblHorasMar[Evento 
(1º Período)],tblEvento[],Tabelas!$E$1,FALSE)="Sim")),IF(VLOOKUP(TEXT(tblHorasMar[Data],"dddd"),tblDiaUtil[],2,FALSE)="Não",TRUE,FALSE)),
                   tblHorasMar[Saída - 1 (Almoço)]-tblHorasMar[Entrada - 1],
                   IF(OR(HOUR(tblHorasMar[Saída - 1 (Almoço)]-tblHorasMar[Entrada - 1])&gt;0,ROUND(tblHorasMar[Saída - 1 (Almoço)]-tblHorasMar[Entrada - 1],6)&gt;ROUND(CARENCIA,6)),
                          tblHorasMar[Saída - 1 (Almoço)]-tblHorasMar[Entrada - 1],
                          0)),
                    0)),0)</f>
        <v>0</v>
      </c>
      <c r="K36" s="4">
        <f>IF($B$6&lt;&gt;"",
IF(AND(tblHorasMar[Evento 
(2º Período)]&lt;&gt;"",IF(ISERROR(VLOOKUP(tblHorasMar[Evento 
(2º Período)],tblEvento[],Tabelas!$D$1,FALSE)),FALSE,VLOOKUP(tblHorasMar[Evento 
(2º Período)],tblEvento[],Tabelas!$D$1,FALSE)="Sim")),
        IF(JORNADA_PERIODO_2&lt;&gt;"",
IF(VLOOKUP(tblHorasMar[Dia],tblDiaUtil[[Abreviatura]:[2º Período]],4,FALSE)&gt;0,VLOOKUP(tblHorasMar[Dia],tblDiaUtil[[Abreviatura]:[2º Período]],4,FALSE),JORNADA_PERIODO_2),
IF(VLOOKUP(tblHorasMar[Dia],tblDiaUtil[[Abreviatura]:[2º Período]],4,FALSE)&gt;0,VLOOKUP(tblHorasMar[Dia],tblDiaUtil[[Abreviatura]:[2º Período]],4,FALSE),JORNADA/2)),
        IF(AND(ISNUMBER(tblHorasMar[Saída - 2]),ISNUMBER(tblHorasMar[Entrada - 2 (Almoço)])),
              IF(OR(AND(tblHorasMar[Evento 
(2º Período)]&lt;&gt;"",IF(ISERROR(VLOOKUP(tblHorasMar[Evento 
(2º Período)],tblEvento[],Tabelas!$E$1,FALSE)),FALSE,VLOOKUP(tblHorasMar[Evento 
(2º Período)],tblEvento[],Tabelas!$E$1,FALSE)="Sim")),IF(VLOOKUP(TEXT(tblHorasMar[Data],"dddd"),tblDiaUtil[],2,FALSE)="Não",TRUE,FALSE)),
                   tblHorasMar[Saída - 2]-tblHorasMar[Entrada - 2 (Almoço)],
                   IF(OR(HOUR(tblHorasMar[Saída - 2]-tblHorasMar[Entrada - 2 (Almoço)])&gt;0,MINUTE(tblHorasMar[Saída - 2]-tblHorasMar[Entrada - 2 (Almoço)])&gt;CARENCIA),
                         tblHorasMar[Saída - 2]-tblHorasMar[Entrada - 2 (Almoço)],
                         0)),
       0)),0)</f>
        <v>0</v>
      </c>
      <c r="L36" s="4">
        <f>tblHorasMar[Horas Trabalhadas (1º Período)]+tblHorasMar[Horas Trabalhadas (2º Período)]</f>
        <v>0</v>
      </c>
      <c r="M36" s="4" t="str">
        <f>IF(tblHorasMar[Data]&lt;&gt;"",
        IF(
AND(VLOOKUP(TEXT(tblHorasMar[Data],"dddd"),tblDiaUtil[],3,FALSE)="Sim",IF(tblHorasMar[Evento 
(1º Período)]&lt;&gt;"",IF(VLOOKUP(tblHorasMar[Evento 
(1º Período)],tblEvento[],Tabelas!$E$1,FALSE)="Sim",FALSE,TRUE),TRUE),IF(tblHorasMar[Evento 
(2º Período)]&lt;&gt;"",IF(VLOOKUP(tblHorasMar[Evento 
(2º Período)],tblEvento[],Tabelas!$E$1,FALSE)="Sim",FALSE,TRUE),TRUE)),
              IF(VLOOKUP(tblHorasMar[Dia],tblDiaUtil[[Abreviatura]:[1º Período]],3,FALSE)&gt;0,VLOOKUP(tblHorasMar[Dia],tblDiaUtil[[Abreviatura]:[1º Período]],3,FALSE),JORNADA),
              ""),
         "")</f>
        <v/>
      </c>
      <c r="N36" s="14">
        <f>IF(OR(tblHorasMar[Horas Trabalhadas (1º Período)]&lt;&gt;0,tblHorasMar[Horas Trabalhadas (2º Período)]&lt;&gt;0),
        IF(ISNUMBER(tblHorasMar[Jornada Diária]),
              IF(tblHorasMar[Jornada Diária]&gt;(tblHorasMar[Horas Trabalhadas (2º Período)]+tblHorasMar[Horas Trabalhadas (1º Período)]),
                     IF(ROUND((tblHorasMar[Jornada Diária]-(tblHorasMar[Horas Trabalhadas (2º Período)]+tblHorasMar[Horas Trabalhadas (1º Período)])),6)&gt;ROUND(CARENCIA,6),
                           -tblHorasMar[Jornada Diária]+(tblHorasMar[Horas Trabalhadas (2º Período)]+tblHorasMar[Horas Trabalhadas (1º Período)]),
                           0),
                      IF(ROUND((tblHorasMar[Jornada Diária]-(tblHorasMar[Horas Trabalhadas (2º Período)]+tblHorasMar[Horas Trabalhadas (1º Período)])),6)&lt;ROUND(-CARENCIA,6),
                           -tblHorasMar[Jornada Diária]+(tblHorasMar[Horas Trabalhadas (2º Período)]+tblHorasMar[Horas Trabalhadas (1º Período)]),
                           0)),
              tblHorasMar[Horas Trabalhadas (2º Período)]+tblHorasMar[Horas Trabalhadas (1º Período)]),
         IF(AND(IF(ISERROR(VLOOKUP(tblHorasMar[Evento 
(1º Período)],tblEvento[[Evento]:[Libera o Período]],4,FALSE)),FALSE,IF(VLOOKUP(tblHorasMar[Evento 
(1º Período)],tblEvento[[Evento]:[Libera o Período]],4,FALSE)="Não",TRUE,FALSE)),IF(ISERROR(VLOOKUP(tblHorasMar[Evento 
(2º Período)],tblEvento[[Evento]:[Libera o Período]],4,FALSE)),FALSE,IF(VLOOKUP(tblHorasMar[Evento 
(2º Período)],tblEvento[[Evento]:[Libera o Período]],4,FALSE)="Não",TRUE,FALSE))),
-IF(VLOOKUP(tblHorasMar[Dia],tblDiaUtil[[Abreviatura]:[Total Jornada]],5,FALSE)&lt;&gt;"",VLOOKUP(tblHorasMar[Dia],tblDiaUtil[[Abreviatura]:[Total Jornada]],5,FALSE),JORNADA),
IF(IF(ISERROR(VLOOKUP(tblHorasMar[Evento 
(1º Período)],tblEvento[[Evento]:[Libera o Período]],4,FALSE)),FALSE,
IF(VLOOKUP(tblHorasMar[Evento 
(1º Período)],tblEvento[[Evento]:[Libera o Período]],4,FALSE)="Não",TRUE,FALSE)
),
-IF(VLOOKUP(tblHorasMar[Dia],tblDiaUtil[[Abreviatura]:[1º Período]],3,FALSE)&lt;&gt;"",VLOOKUP(tblHorasMar[Dia],tblDiaUtil[[Abreviatura]:[1º Período]],3,FALSE),JORNADA_PERIODO_1),
IF(IF(ISERROR(VLOOKUP(tblHorasMar[Evento 
(2º Período)],tblEvento[[Evento]:[Libera o Período]],4,FALSE)),FALSE,IF(VLOOKUP(tblHorasMar[Evento 
(2º Período)],tblEvento[[Evento]:[Libera o Período]],4,FALSE)="Não",TRUE,FALSE)),
-IF(VLOOKUP(tblHorasMar[Dia],tblDiaUtil[[Abreviatura]:[2º Período]],4,FALSE)&lt;&gt;"",VLOOKUP(tblHorasMar[Dia],tblDiaUtil[[Abreviatura]:[2º Período]],4,FALSE),JORNADA_PERIODO_2),0))))</f>
        <v>0</v>
      </c>
      <c r="O36" s="14">
        <f>IF(tblHorasMar[Horas Trabalhadas Além Jornada]&gt;0,
        IF(ISNUMBER(tblHorasMar[Jornada Diária]),
              IF(HOUR(tblHorasMar[Horas Trabalhadas Além Jornada])&gt;=VLOOKUP(LIMITE,tblLimiteHora[],Tabelas!$I$1,FALSE),
                    VLOOKUP(LIMITE,tblLimiteHora[],Tabelas!$J$1,FALSE),
                    tblHorasMar[Horas Trabalhadas Além Jornada]),
              tblHorasMar[Horas Trabalhadas Além Jornada]),
        tblHorasMar[Horas Trabalhadas Além Jornada])+O35</f>
        <v>0</v>
      </c>
      <c r="P36" s="14" t="str">
        <f>IF(tblHorasMar[Horas Trabalhadas Além Jornada]&lt;0,IF(OR(tblHorasMar[Evento 
(1º Período)]="",tblHorasMar[Evento 
(2º Período)]=""),tblHorasMar[Horas Trabalhadas Além Jornada],""),"")</f>
        <v/>
      </c>
      <c r="Q36" s="14" t="str">
        <f>IF(tblHorasMar[Jornada Diária]&lt;&gt;"",IF((N(tblHorasMar[Jornada Diária])-ABS(N(tblHorasMar[Horas Trabalhadas Além Jornada])))=0,1,""),"")</f>
        <v/>
      </c>
      <c r="R36" s="14" t="str">
        <f>IF(tblHorasMar[Horas Trabalhadas Além Jornada]&gt;0,
IF(AND(VLOOKUP(TEXT(tblHorasMar[Data],"dddd"),tblDiaUtil[],3,FALSE)="Sim",IF(tblHorasMar[Evento 
(1º Período)]&lt;&gt;"",IF(VLOOKUP(tblHorasMar[Evento 
(1º Período)],tblEvento[],Tabelas!$E$1,FALSE)="Sim",FALSE,TRUE),TRUE),IF(tblHorasMar[Evento 
(2º Período)]&lt;&gt;"",IF(VLOOKUP(tblHorasMar[Evento 
(2º Período)],tblEvento[],Tabelas!$E$1,FALSE)="Sim",FALSE,TRUE),TRUE)),
tblHorasMar[Horas Trabalhadas Além Jornada],""),"")</f>
        <v/>
      </c>
      <c r="S36" s="14" t="str">
        <f>IF(tblHorasMar[Horas Trabalhadas Além Jornada]&gt;0,
IF(OR(VLOOKUP(TEXT(tblHorasMar[Data],"dddd"),tblDiaUtil[],3,FALSE)="Não",IF(tblHorasMar[Evento 
(1º Período)]&lt;&gt;"",IF(VLOOKUP(tblHorasMar[Evento 
(1º Período)],tblEvento[],Tabelas!$E$1,FALSE)="Sim",TRUE,FALSE),FALSE),IF(tblHorasMar[Evento 
(2º Período)]&lt;&gt;"",IF(VLOOKUP(tblHorasMar[Evento 
(2º Período)],tblEvento[],Tabelas!$E$1,FALSE)="Sim",TRUE,FALSE),FALSE)),
tblHorasMar[Horas Trabalhadas Além Jornada],""),"")</f>
        <v/>
      </c>
      <c r="T36" s="15" t="str">
        <f>IF(tblHorasMar[Evento 
(1º Período)]&lt;&gt;""," - " &amp;VLOOKUP(tblHorasMar[Evento 
(1º Período)],tblEvento[],Tabelas!$F$1,FALSE),"")&amp;IF(AND(tblHorasMar[Evento 
(2º Período)]&lt;&gt;"",tblHorasMar[Evento 
(2º Período)]&lt;&gt;tblHorasMar[Evento 
(1º Período)])," - " &amp; VLOOKUP(tblHorasMar[Evento 
(2º Período)],tblEvento[],Tabelas!$F$1,FALSE),"")</f>
        <v/>
      </c>
    </row>
    <row r="37" spans="2:21" x14ac:dyDescent="0.25">
      <c r="B37" s="11" t="str">
        <f t="shared" si="0"/>
        <v/>
      </c>
      <c r="C37" s="12" t="str">
        <f>TEXT(tblHorasMar[Data],"ddd")</f>
        <v/>
      </c>
      <c r="D37" s="25"/>
      <c r="E37" s="1"/>
      <c r="F37" s="1"/>
      <c r="G37" s="1"/>
      <c r="H37" s="1"/>
      <c r="I37" s="53"/>
      <c r="J37" s="4">
        <f>IF($B$6&lt;&gt;"",
IF(AND(tblHorasMar[Evento 
(1º Período)]&lt;&gt;"",IF(ISERROR(VLOOKUP(tblHorasMar[Evento 
(1º Período)],tblEvento[],Tabelas!$D$1,FALSE)),FALSE,VLOOKUP(tblHorasMar[Evento 
(1º Período)],tblEvento[],Tabelas!$D$1,FALSE)="Sim")),
        IF(JORNADA_PERIODO_1&lt;&gt;"",
IF(VLOOKUP(tblHorasMar[Dia],tblDiaUtil[[Abreviatura]:[1º Período]],3,FALSE)&gt;0,VLOOKUP(tblHorasMar[Dia],tblDiaUtil[[Abreviatura]:[1º Período]],3,FALSE),JORNADA_PERIODO_1),
IF(VLOOKUP(tblHorasMar[Dia],tblDiaUtil[[Abreviatura]:[1º Período]],3,FALSE)&gt;0,VLOOKUP(tblHorasMar[Dia],tblDiaUtil[[Abreviatura]:[1º Período]],3,FALSE),JORNADA/2)),
        IF(AND(ISNUMBER(tblHorasMar[Saída - 1 (Almoço)]),ISNUMBER(tblHorasMar[Entrada - 1])),
              IF(OR(AND(tblHorasMar[Evento 
(1º Período)]&lt;&gt;"",IF(ISERROR(VLOOKUP(tblHorasMar[Evento 
(1º Período)],tblEvento[],Tabelas!$E$1,FALSE)),FALSE,VLOOKUP(tblHorasMar[Evento 
(1º Período)],tblEvento[],Tabelas!$E$1,FALSE)="Sim")),IF(VLOOKUP(TEXT(tblHorasMar[Data],"dddd"),tblDiaUtil[],2,FALSE)="Não",TRUE,FALSE)),
                   tblHorasMar[Saída - 1 (Almoço)]-tblHorasMar[Entrada - 1],
                   IF(OR(HOUR(tblHorasMar[Saída - 1 (Almoço)]-tblHorasMar[Entrada - 1])&gt;0,ROUND(tblHorasMar[Saída - 1 (Almoço)]-tblHorasMar[Entrada - 1],6)&gt;ROUND(CARENCIA,6)),
                          tblHorasMar[Saída - 1 (Almoço)]-tblHorasMar[Entrada - 1],
                          0)),
                    0)),0)</f>
        <v>0</v>
      </c>
      <c r="K37" s="4">
        <f>IF($B$6&lt;&gt;"",
IF(AND(tblHorasMar[Evento 
(2º Período)]&lt;&gt;"",IF(ISERROR(VLOOKUP(tblHorasMar[Evento 
(2º Período)],tblEvento[],Tabelas!$D$1,FALSE)),FALSE,VLOOKUP(tblHorasMar[Evento 
(2º Período)],tblEvento[],Tabelas!$D$1,FALSE)="Sim")),
        IF(JORNADA_PERIODO_2&lt;&gt;"",
IF(VLOOKUP(tblHorasMar[Dia],tblDiaUtil[[Abreviatura]:[2º Período]],4,FALSE)&gt;0,VLOOKUP(tblHorasMar[Dia],tblDiaUtil[[Abreviatura]:[2º Período]],4,FALSE),JORNADA_PERIODO_2),
IF(VLOOKUP(tblHorasMar[Dia],tblDiaUtil[[Abreviatura]:[2º Período]],4,FALSE)&gt;0,VLOOKUP(tblHorasMar[Dia],tblDiaUtil[[Abreviatura]:[2º Período]],4,FALSE),JORNADA/2)),
        IF(AND(ISNUMBER(tblHorasMar[Saída - 2]),ISNUMBER(tblHorasMar[Entrada - 2 (Almoço)])),
              IF(OR(AND(tblHorasMar[Evento 
(2º Período)]&lt;&gt;"",IF(ISERROR(VLOOKUP(tblHorasMar[Evento 
(2º Período)],tblEvento[],Tabelas!$E$1,FALSE)),FALSE,VLOOKUP(tblHorasMar[Evento 
(2º Período)],tblEvento[],Tabelas!$E$1,FALSE)="Sim")),IF(VLOOKUP(TEXT(tblHorasMar[Data],"dddd"),tblDiaUtil[],2,FALSE)="Não",TRUE,FALSE)),
                   tblHorasMar[Saída - 2]-tblHorasMar[Entrada - 2 (Almoço)],
                   IF(OR(HOUR(tblHorasMar[Saída - 2]-tblHorasMar[Entrada - 2 (Almoço)])&gt;0,MINUTE(tblHorasMar[Saída - 2]-tblHorasMar[Entrada - 2 (Almoço)])&gt;CARENCIA),
                         tblHorasMar[Saída - 2]-tblHorasMar[Entrada - 2 (Almoço)],
                         0)),
       0)),0)</f>
        <v>0</v>
      </c>
      <c r="L37" s="4">
        <f>tblHorasMar[Horas Trabalhadas (1º Período)]+tblHorasMar[Horas Trabalhadas (2º Período)]</f>
        <v>0</v>
      </c>
      <c r="M37" s="4" t="str">
        <f>IF(tblHorasMar[Data]&lt;&gt;"",
        IF(
AND(VLOOKUP(TEXT(tblHorasMar[Data],"dddd"),tblDiaUtil[],3,FALSE)="Sim",IF(tblHorasMar[Evento 
(1º Período)]&lt;&gt;"",IF(VLOOKUP(tblHorasMar[Evento 
(1º Período)],tblEvento[],Tabelas!$E$1,FALSE)="Sim",FALSE,TRUE),TRUE),IF(tblHorasMar[Evento 
(2º Período)]&lt;&gt;"",IF(VLOOKUP(tblHorasMar[Evento 
(2º Período)],tblEvento[],Tabelas!$E$1,FALSE)="Sim",FALSE,TRUE),TRUE)),
              IF(VLOOKUP(tblHorasMar[Dia],tblDiaUtil[[Abreviatura]:[1º Período]],3,FALSE)&gt;0,VLOOKUP(tblHorasMar[Dia],tblDiaUtil[[Abreviatura]:[1º Período]],3,FALSE),JORNADA),
              ""),
         "")</f>
        <v/>
      </c>
      <c r="N37" s="14">
        <f>IF(OR(tblHorasMar[Horas Trabalhadas (1º Período)]&lt;&gt;0,tblHorasMar[Horas Trabalhadas (2º Período)]&lt;&gt;0),
        IF(ISNUMBER(tblHorasMar[Jornada Diária]),
              IF(tblHorasMar[Jornada Diária]&gt;(tblHorasMar[Horas Trabalhadas (2º Período)]+tblHorasMar[Horas Trabalhadas (1º Período)]),
                     IF(ROUND((tblHorasMar[Jornada Diária]-(tblHorasMar[Horas Trabalhadas (2º Período)]+tblHorasMar[Horas Trabalhadas (1º Período)])),6)&gt;ROUND(CARENCIA,6),
                           -tblHorasMar[Jornada Diária]+(tblHorasMar[Horas Trabalhadas (2º Período)]+tblHorasMar[Horas Trabalhadas (1º Período)]),
                           0),
                      IF(ROUND((tblHorasMar[Jornada Diária]-(tblHorasMar[Horas Trabalhadas (2º Período)]+tblHorasMar[Horas Trabalhadas (1º Período)])),6)&lt;ROUND(-CARENCIA,6),
                           -tblHorasMar[Jornada Diária]+(tblHorasMar[Horas Trabalhadas (2º Período)]+tblHorasMar[Horas Trabalhadas (1º Período)]),
                           0)),
              tblHorasMar[Horas Trabalhadas (2º Período)]+tblHorasMar[Horas Trabalhadas (1º Período)]),
         IF(AND(IF(ISERROR(VLOOKUP(tblHorasMar[Evento 
(1º Período)],tblEvento[[Evento]:[Libera o Período]],4,FALSE)),FALSE,IF(VLOOKUP(tblHorasMar[Evento 
(1º Período)],tblEvento[[Evento]:[Libera o Período]],4,FALSE)="Não",TRUE,FALSE)),IF(ISERROR(VLOOKUP(tblHorasMar[Evento 
(2º Período)],tblEvento[[Evento]:[Libera o Período]],4,FALSE)),FALSE,IF(VLOOKUP(tblHorasMar[Evento 
(2º Período)],tblEvento[[Evento]:[Libera o Período]],4,FALSE)="Não",TRUE,FALSE))),
-IF(VLOOKUP(tblHorasMar[Dia],tblDiaUtil[[Abreviatura]:[Total Jornada]],5,FALSE)&lt;&gt;"",VLOOKUP(tblHorasMar[Dia],tblDiaUtil[[Abreviatura]:[Total Jornada]],5,FALSE),JORNADA),
IF(IF(ISERROR(VLOOKUP(tblHorasMar[Evento 
(1º Período)],tblEvento[[Evento]:[Libera o Período]],4,FALSE)),FALSE,
IF(VLOOKUP(tblHorasMar[Evento 
(1º Período)],tblEvento[[Evento]:[Libera o Período]],4,FALSE)="Não",TRUE,FALSE)
),
-IF(VLOOKUP(tblHorasMar[Dia],tblDiaUtil[[Abreviatura]:[1º Período]],3,FALSE)&lt;&gt;"",VLOOKUP(tblHorasMar[Dia],tblDiaUtil[[Abreviatura]:[1º Período]],3,FALSE),JORNADA_PERIODO_1),
IF(IF(ISERROR(VLOOKUP(tblHorasMar[Evento 
(2º Período)],tblEvento[[Evento]:[Libera o Período]],4,FALSE)),FALSE,IF(VLOOKUP(tblHorasMar[Evento 
(2º Período)],tblEvento[[Evento]:[Libera o Período]],4,FALSE)="Não",TRUE,FALSE)),
-IF(VLOOKUP(tblHorasMar[Dia],tblDiaUtil[[Abreviatura]:[2º Período]],4,FALSE)&lt;&gt;"",VLOOKUP(tblHorasMar[Dia],tblDiaUtil[[Abreviatura]:[2º Período]],4,FALSE),JORNADA_PERIODO_2),0))))</f>
        <v>0</v>
      </c>
      <c r="O37" s="14">
        <f>IF(tblHorasMar[Horas Trabalhadas Além Jornada]&gt;0,
        IF(ISNUMBER(tblHorasMar[Jornada Diária]),
              IF(HOUR(tblHorasMar[Horas Trabalhadas Além Jornada])&gt;=VLOOKUP(LIMITE,tblLimiteHora[],Tabelas!$I$1,FALSE),
                    VLOOKUP(LIMITE,tblLimiteHora[],Tabelas!$J$1,FALSE),
                    tblHorasMar[Horas Trabalhadas Além Jornada]),
              tblHorasMar[Horas Trabalhadas Além Jornada]),
        tblHorasMar[Horas Trabalhadas Além Jornada])+O36</f>
        <v>0</v>
      </c>
      <c r="P37" s="14" t="str">
        <f>IF(tblHorasMar[Horas Trabalhadas Além Jornada]&lt;0,IF(OR(tblHorasMar[Evento 
(1º Período)]="",tblHorasMar[Evento 
(2º Período)]=""),tblHorasMar[Horas Trabalhadas Além Jornada],""),"")</f>
        <v/>
      </c>
      <c r="Q37" s="14" t="str">
        <f>IF(tblHorasMar[Jornada Diária]&lt;&gt;"",IF((N(tblHorasMar[Jornada Diária])-ABS(N(tblHorasMar[Horas Trabalhadas Além Jornada])))=0,1,""),"")</f>
        <v/>
      </c>
      <c r="R37" s="14" t="str">
        <f>IF(tblHorasMar[Horas Trabalhadas Além Jornada]&gt;0,
IF(AND(VLOOKUP(TEXT(tblHorasMar[Data],"dddd"),tblDiaUtil[],3,FALSE)="Sim",IF(tblHorasMar[Evento 
(1º Período)]&lt;&gt;"",IF(VLOOKUP(tblHorasMar[Evento 
(1º Período)],tblEvento[],Tabelas!$E$1,FALSE)="Sim",FALSE,TRUE),TRUE),IF(tblHorasMar[Evento 
(2º Período)]&lt;&gt;"",IF(VLOOKUP(tblHorasMar[Evento 
(2º Período)],tblEvento[],Tabelas!$E$1,FALSE)="Sim",FALSE,TRUE),TRUE)),
tblHorasMar[Horas Trabalhadas Além Jornada],""),"")</f>
        <v/>
      </c>
      <c r="S37" s="14" t="str">
        <f>IF(tblHorasMar[Horas Trabalhadas Além Jornada]&gt;0,
IF(OR(VLOOKUP(TEXT(tblHorasMar[Data],"dddd"),tblDiaUtil[],3,FALSE)="Não",IF(tblHorasMar[Evento 
(1º Período)]&lt;&gt;"",IF(VLOOKUP(tblHorasMar[Evento 
(1º Período)],tblEvento[],Tabelas!$E$1,FALSE)="Sim",TRUE,FALSE),FALSE),IF(tblHorasMar[Evento 
(2º Período)]&lt;&gt;"",IF(VLOOKUP(tblHorasMar[Evento 
(2º Período)],tblEvento[],Tabelas!$E$1,FALSE)="Sim",TRUE,FALSE),FALSE)),
tblHorasMar[Horas Trabalhadas Além Jornada],""),"")</f>
        <v/>
      </c>
      <c r="T37" s="15" t="str">
        <f>IF(tblHorasMar[Evento 
(1º Período)]&lt;&gt;""," - " &amp;VLOOKUP(tblHorasMar[Evento 
(1º Período)],tblEvento[],Tabelas!$F$1,FALSE),"")&amp;IF(AND(tblHorasMar[Evento 
(2º Período)]&lt;&gt;"",tblHorasMar[Evento 
(2º Período)]&lt;&gt;tblHorasMar[Evento 
(1º Período)])," - " &amp; VLOOKUP(tblHorasMar[Evento 
(2º Período)],tblEvento[],Tabelas!$F$1,FALSE),"")</f>
        <v/>
      </c>
    </row>
    <row r="38" spans="2:21" x14ac:dyDescent="0.25">
      <c r="B38" s="11" t="str">
        <f t="shared" si="0"/>
        <v/>
      </c>
      <c r="C38" s="12" t="str">
        <f>TEXT(tblHorasMar[Data],"ddd")</f>
        <v/>
      </c>
      <c r="D38" s="25"/>
      <c r="E38" s="1"/>
      <c r="F38" s="1"/>
      <c r="G38" s="1"/>
      <c r="H38" s="1"/>
      <c r="I38" s="53"/>
      <c r="J38" s="4">
        <f>IF($B$6&lt;&gt;"",
IF(AND(tblHorasMar[Evento 
(1º Período)]&lt;&gt;"",IF(ISERROR(VLOOKUP(tblHorasMar[Evento 
(1º Período)],tblEvento[],Tabelas!$D$1,FALSE)),FALSE,VLOOKUP(tblHorasMar[Evento 
(1º Período)],tblEvento[],Tabelas!$D$1,FALSE)="Sim")),
        IF(JORNADA_PERIODO_1&lt;&gt;"",
IF(VLOOKUP(tblHorasMar[Dia],tblDiaUtil[[Abreviatura]:[1º Período]],3,FALSE)&gt;0,VLOOKUP(tblHorasMar[Dia],tblDiaUtil[[Abreviatura]:[1º Período]],3,FALSE),JORNADA_PERIODO_1),
IF(VLOOKUP(tblHorasMar[Dia],tblDiaUtil[[Abreviatura]:[1º Período]],3,FALSE)&gt;0,VLOOKUP(tblHorasMar[Dia],tblDiaUtil[[Abreviatura]:[1º Período]],3,FALSE),JORNADA/2)),
        IF(AND(ISNUMBER(tblHorasMar[Saída - 1 (Almoço)]),ISNUMBER(tblHorasMar[Entrada - 1])),
              IF(OR(AND(tblHorasMar[Evento 
(1º Período)]&lt;&gt;"",IF(ISERROR(VLOOKUP(tblHorasMar[Evento 
(1º Período)],tblEvento[],Tabelas!$E$1,FALSE)),FALSE,VLOOKUP(tblHorasMar[Evento 
(1º Período)],tblEvento[],Tabelas!$E$1,FALSE)="Sim")),IF(VLOOKUP(TEXT(tblHorasMar[Data],"dddd"),tblDiaUtil[],2,FALSE)="Não",TRUE,FALSE)),
                   tblHorasMar[Saída - 1 (Almoço)]-tblHorasMar[Entrada - 1],
                   IF(OR(HOUR(tblHorasMar[Saída - 1 (Almoço)]-tblHorasMar[Entrada - 1])&gt;0,ROUND(tblHorasMar[Saída - 1 (Almoço)]-tblHorasMar[Entrada - 1],6)&gt;ROUND(CARENCIA,6)),
                          tblHorasMar[Saída - 1 (Almoço)]-tblHorasMar[Entrada - 1],
                          0)),
                    0)),0)</f>
        <v>0</v>
      </c>
      <c r="K38" s="4">
        <f>IF($B$6&lt;&gt;"",
IF(AND(tblHorasMar[Evento 
(2º Período)]&lt;&gt;"",IF(ISERROR(VLOOKUP(tblHorasMar[Evento 
(2º Período)],tblEvento[],Tabelas!$D$1,FALSE)),FALSE,VLOOKUP(tblHorasMar[Evento 
(2º Período)],tblEvento[],Tabelas!$D$1,FALSE)="Sim")),
        IF(JORNADA_PERIODO_2&lt;&gt;"",
IF(VLOOKUP(tblHorasMar[Dia],tblDiaUtil[[Abreviatura]:[2º Período]],4,FALSE)&gt;0,VLOOKUP(tblHorasMar[Dia],tblDiaUtil[[Abreviatura]:[2º Período]],4,FALSE),JORNADA_PERIODO_2),
IF(VLOOKUP(tblHorasMar[Dia],tblDiaUtil[[Abreviatura]:[2º Período]],4,FALSE)&gt;0,VLOOKUP(tblHorasMar[Dia],tblDiaUtil[[Abreviatura]:[2º Período]],4,FALSE),JORNADA/2)),
        IF(AND(ISNUMBER(tblHorasMar[Saída - 2]),ISNUMBER(tblHorasMar[Entrada - 2 (Almoço)])),
              IF(OR(AND(tblHorasMar[Evento 
(2º Período)]&lt;&gt;"",IF(ISERROR(VLOOKUP(tblHorasMar[Evento 
(2º Período)],tblEvento[],Tabelas!$E$1,FALSE)),FALSE,VLOOKUP(tblHorasMar[Evento 
(2º Período)],tblEvento[],Tabelas!$E$1,FALSE)="Sim")),IF(VLOOKUP(TEXT(tblHorasMar[Data],"dddd"),tblDiaUtil[],2,FALSE)="Não",TRUE,FALSE)),
                   tblHorasMar[Saída - 2]-tblHorasMar[Entrada - 2 (Almoço)],
                   IF(OR(HOUR(tblHorasMar[Saída - 2]-tblHorasMar[Entrada - 2 (Almoço)])&gt;0,MINUTE(tblHorasMar[Saída - 2]-tblHorasMar[Entrada - 2 (Almoço)])&gt;CARENCIA),
                         tblHorasMar[Saída - 2]-tblHorasMar[Entrada - 2 (Almoço)],
                         0)),
       0)),0)</f>
        <v>0</v>
      </c>
      <c r="L38" s="4">
        <f>tblHorasMar[Horas Trabalhadas (1º Período)]+tblHorasMar[Horas Trabalhadas (2º Período)]</f>
        <v>0</v>
      </c>
      <c r="M38" s="4" t="str">
        <f>IF(tblHorasMar[Data]&lt;&gt;"",
        IF(
AND(VLOOKUP(TEXT(tblHorasMar[Data],"dddd"),tblDiaUtil[],3,FALSE)="Sim",IF(tblHorasMar[Evento 
(1º Período)]&lt;&gt;"",IF(VLOOKUP(tblHorasMar[Evento 
(1º Período)],tblEvento[],Tabelas!$E$1,FALSE)="Sim",FALSE,TRUE),TRUE),IF(tblHorasMar[Evento 
(2º Período)]&lt;&gt;"",IF(VLOOKUP(tblHorasMar[Evento 
(2º Período)],tblEvento[],Tabelas!$E$1,FALSE)="Sim",FALSE,TRUE),TRUE)),
              IF(VLOOKUP(tblHorasMar[Dia],tblDiaUtil[[Abreviatura]:[1º Período]],3,FALSE)&gt;0,VLOOKUP(tblHorasMar[Dia],tblDiaUtil[[Abreviatura]:[1º Período]],3,FALSE),JORNADA),
              ""),
         "")</f>
        <v/>
      </c>
      <c r="N38" s="14">
        <f>IF(OR(tblHorasMar[Horas Trabalhadas (1º Período)]&lt;&gt;0,tblHorasMar[Horas Trabalhadas (2º Período)]&lt;&gt;0),
        IF(ISNUMBER(tblHorasMar[Jornada Diária]),
              IF(tblHorasMar[Jornada Diária]&gt;(tblHorasMar[Horas Trabalhadas (2º Período)]+tblHorasMar[Horas Trabalhadas (1º Período)]),
                     IF(ROUND((tblHorasMar[Jornada Diária]-(tblHorasMar[Horas Trabalhadas (2º Período)]+tblHorasMar[Horas Trabalhadas (1º Período)])),6)&gt;ROUND(CARENCIA,6),
                           -tblHorasMar[Jornada Diária]+(tblHorasMar[Horas Trabalhadas (2º Período)]+tblHorasMar[Horas Trabalhadas (1º Período)]),
                           0),
                      IF(ROUND((tblHorasMar[Jornada Diária]-(tblHorasMar[Horas Trabalhadas (2º Período)]+tblHorasMar[Horas Trabalhadas (1º Período)])),6)&lt;ROUND(-CARENCIA,6),
                           -tblHorasMar[Jornada Diária]+(tblHorasMar[Horas Trabalhadas (2º Período)]+tblHorasMar[Horas Trabalhadas (1º Período)]),
                           0)),
              tblHorasMar[Horas Trabalhadas (2º Período)]+tblHorasMar[Horas Trabalhadas (1º Período)]),
         IF(AND(IF(ISERROR(VLOOKUP(tblHorasMar[Evento 
(1º Período)],tblEvento[[Evento]:[Libera o Período]],4,FALSE)),FALSE,IF(VLOOKUP(tblHorasMar[Evento 
(1º Período)],tblEvento[[Evento]:[Libera o Período]],4,FALSE)="Não",TRUE,FALSE)),IF(ISERROR(VLOOKUP(tblHorasMar[Evento 
(2º Período)],tblEvento[[Evento]:[Libera o Período]],4,FALSE)),FALSE,IF(VLOOKUP(tblHorasMar[Evento 
(2º Período)],tblEvento[[Evento]:[Libera o Período]],4,FALSE)="Não",TRUE,FALSE))),
-IF(VLOOKUP(tblHorasMar[Dia],tblDiaUtil[[Abreviatura]:[Total Jornada]],5,FALSE)&lt;&gt;"",VLOOKUP(tblHorasMar[Dia],tblDiaUtil[[Abreviatura]:[Total Jornada]],5,FALSE),JORNADA),
IF(IF(ISERROR(VLOOKUP(tblHorasMar[Evento 
(1º Período)],tblEvento[[Evento]:[Libera o Período]],4,FALSE)),FALSE,
IF(VLOOKUP(tblHorasMar[Evento 
(1º Período)],tblEvento[[Evento]:[Libera o Período]],4,FALSE)="Não",TRUE,FALSE)
),
-IF(VLOOKUP(tblHorasMar[Dia],tblDiaUtil[[Abreviatura]:[1º Período]],3,FALSE)&lt;&gt;"",VLOOKUP(tblHorasMar[Dia],tblDiaUtil[[Abreviatura]:[1º Período]],3,FALSE),JORNADA_PERIODO_1),
IF(IF(ISERROR(VLOOKUP(tblHorasMar[Evento 
(2º Período)],tblEvento[[Evento]:[Libera o Período]],4,FALSE)),FALSE,IF(VLOOKUP(tblHorasMar[Evento 
(2º Período)],tblEvento[[Evento]:[Libera o Período]],4,FALSE)="Não",TRUE,FALSE)),
-IF(VLOOKUP(tblHorasMar[Dia],tblDiaUtil[[Abreviatura]:[2º Período]],4,FALSE)&lt;&gt;"",VLOOKUP(tblHorasMar[Dia],tblDiaUtil[[Abreviatura]:[2º Período]],4,FALSE),JORNADA_PERIODO_2),0))))</f>
        <v>0</v>
      </c>
      <c r="O38" s="14">
        <f>IF(tblHorasMar[Horas Trabalhadas Além Jornada]&gt;0,
        IF(ISNUMBER(tblHorasMar[Jornada Diária]),
              IF(HOUR(tblHorasMar[Horas Trabalhadas Além Jornada])&gt;=VLOOKUP(LIMITE,tblLimiteHora[],Tabelas!$I$1,FALSE),
                    VLOOKUP(LIMITE,tblLimiteHora[],Tabelas!$J$1,FALSE),
                    tblHorasMar[Horas Trabalhadas Além Jornada]),
              tblHorasMar[Horas Trabalhadas Além Jornada]),
        tblHorasMar[Horas Trabalhadas Além Jornada])+O37</f>
        <v>0</v>
      </c>
      <c r="P38" s="14" t="str">
        <f>IF(tblHorasMar[Horas Trabalhadas Além Jornada]&lt;0,IF(OR(tblHorasMar[Evento 
(1º Período)]="",tblHorasMar[Evento 
(2º Período)]=""),tblHorasMar[Horas Trabalhadas Além Jornada],""),"")</f>
        <v/>
      </c>
      <c r="Q38" s="14" t="str">
        <f>IF(tblHorasMar[Jornada Diária]&lt;&gt;"",IF((N(tblHorasMar[Jornada Diária])-ABS(N(tblHorasMar[Horas Trabalhadas Além Jornada])))=0,1,""),"")</f>
        <v/>
      </c>
      <c r="R38" s="14" t="str">
        <f>IF(tblHorasMar[Horas Trabalhadas Além Jornada]&gt;0,
IF(AND(VLOOKUP(TEXT(tblHorasMar[Data],"dddd"),tblDiaUtil[],3,FALSE)="Sim",IF(tblHorasMar[Evento 
(1º Período)]&lt;&gt;"",IF(VLOOKUP(tblHorasMar[Evento 
(1º Período)],tblEvento[],Tabelas!$E$1,FALSE)="Sim",FALSE,TRUE),TRUE),IF(tblHorasMar[Evento 
(2º Período)]&lt;&gt;"",IF(VLOOKUP(tblHorasMar[Evento 
(2º Período)],tblEvento[],Tabelas!$E$1,FALSE)="Sim",FALSE,TRUE),TRUE)),
tblHorasMar[Horas Trabalhadas Além Jornada],""),"")</f>
        <v/>
      </c>
      <c r="S38" s="14" t="str">
        <f>IF(tblHorasMar[Horas Trabalhadas Além Jornada]&gt;0,
IF(OR(VLOOKUP(TEXT(tblHorasMar[Data],"dddd"),tblDiaUtil[],3,FALSE)="Não",IF(tblHorasMar[Evento 
(1º Período)]&lt;&gt;"",IF(VLOOKUP(tblHorasMar[Evento 
(1º Período)],tblEvento[],Tabelas!$E$1,FALSE)="Sim",TRUE,FALSE),FALSE),IF(tblHorasMar[Evento 
(2º Período)]&lt;&gt;"",IF(VLOOKUP(tblHorasMar[Evento 
(2º Período)],tblEvento[],Tabelas!$E$1,FALSE)="Sim",TRUE,FALSE),FALSE)),
tblHorasMar[Horas Trabalhadas Além Jornada],""),"")</f>
        <v/>
      </c>
      <c r="T38" s="15" t="str">
        <f>IF(tblHorasMar[Evento 
(1º Período)]&lt;&gt;""," - " &amp;VLOOKUP(tblHorasMar[Evento 
(1º Período)],tblEvento[],Tabelas!$F$1,FALSE),"")&amp;IF(AND(tblHorasMar[Evento 
(2º Período)]&lt;&gt;"",tblHorasMar[Evento 
(2º Período)]&lt;&gt;tblHorasMar[Evento 
(1º Período)])," - " &amp; VLOOKUP(tblHorasMar[Evento 
(2º Período)],tblEvento[],Tabelas!$F$1,FALSE),"")</f>
        <v/>
      </c>
    </row>
    <row r="39" spans="2:21" x14ac:dyDescent="0.25">
      <c r="B39" s="11" t="str">
        <f t="shared" si="0"/>
        <v/>
      </c>
      <c r="C39" s="12" t="str">
        <f>TEXT(tblHorasMar[Data],"ddd")</f>
        <v/>
      </c>
      <c r="D39" s="25"/>
      <c r="E39" s="1"/>
      <c r="F39" s="1"/>
      <c r="G39" s="1"/>
      <c r="H39" s="1"/>
      <c r="I39" s="53"/>
      <c r="J39" s="4">
        <f>IF($B$6&lt;&gt;"",
IF(AND(tblHorasMar[Evento 
(1º Período)]&lt;&gt;"",IF(ISERROR(VLOOKUP(tblHorasMar[Evento 
(1º Período)],tblEvento[],Tabelas!$D$1,FALSE)),FALSE,VLOOKUP(tblHorasMar[Evento 
(1º Período)],tblEvento[],Tabelas!$D$1,FALSE)="Sim")),
        IF(JORNADA_PERIODO_1&lt;&gt;"",
IF(VLOOKUP(tblHorasMar[Dia],tblDiaUtil[[Abreviatura]:[1º Período]],3,FALSE)&gt;0,VLOOKUP(tblHorasMar[Dia],tblDiaUtil[[Abreviatura]:[1º Período]],3,FALSE),JORNADA_PERIODO_1),
IF(VLOOKUP(tblHorasMar[Dia],tblDiaUtil[[Abreviatura]:[1º Período]],3,FALSE)&gt;0,VLOOKUP(tblHorasMar[Dia],tblDiaUtil[[Abreviatura]:[1º Período]],3,FALSE),JORNADA/2)),
        IF(AND(ISNUMBER(tblHorasMar[Saída - 1 (Almoço)]),ISNUMBER(tblHorasMar[Entrada - 1])),
              IF(OR(AND(tblHorasMar[Evento 
(1º Período)]&lt;&gt;"",IF(ISERROR(VLOOKUP(tblHorasMar[Evento 
(1º Período)],tblEvento[],Tabelas!$E$1,FALSE)),FALSE,VLOOKUP(tblHorasMar[Evento 
(1º Período)],tblEvento[],Tabelas!$E$1,FALSE)="Sim")),IF(VLOOKUP(TEXT(tblHorasMar[Data],"dddd"),tblDiaUtil[],2,FALSE)="Não",TRUE,FALSE)),
                   tblHorasMar[Saída - 1 (Almoço)]-tblHorasMar[Entrada - 1],
                   IF(OR(HOUR(tblHorasMar[Saída - 1 (Almoço)]-tblHorasMar[Entrada - 1])&gt;0,ROUND(tblHorasMar[Saída - 1 (Almoço)]-tblHorasMar[Entrada - 1],6)&gt;ROUND(CARENCIA,6)),
                          tblHorasMar[Saída - 1 (Almoço)]-tblHorasMar[Entrada - 1],
                          0)),
                    0)),0)</f>
        <v>0</v>
      </c>
      <c r="K39" s="4">
        <f>IF($B$6&lt;&gt;"",
IF(AND(tblHorasMar[Evento 
(2º Período)]&lt;&gt;"",IF(ISERROR(VLOOKUP(tblHorasMar[Evento 
(2º Período)],tblEvento[],Tabelas!$D$1,FALSE)),FALSE,VLOOKUP(tblHorasMar[Evento 
(2º Período)],tblEvento[],Tabelas!$D$1,FALSE)="Sim")),
        IF(JORNADA_PERIODO_2&lt;&gt;"",
IF(VLOOKUP(tblHorasMar[Dia],tblDiaUtil[[Abreviatura]:[2º Período]],4,FALSE)&gt;0,VLOOKUP(tblHorasMar[Dia],tblDiaUtil[[Abreviatura]:[2º Período]],4,FALSE),JORNADA_PERIODO_2),
IF(VLOOKUP(tblHorasMar[Dia],tblDiaUtil[[Abreviatura]:[2º Período]],4,FALSE)&gt;0,VLOOKUP(tblHorasMar[Dia],tblDiaUtil[[Abreviatura]:[2º Período]],4,FALSE),JORNADA/2)),
        IF(AND(ISNUMBER(tblHorasMar[Saída - 2]),ISNUMBER(tblHorasMar[Entrada - 2 (Almoço)])),
              IF(OR(AND(tblHorasMar[Evento 
(2º Período)]&lt;&gt;"",IF(ISERROR(VLOOKUP(tblHorasMar[Evento 
(2º Período)],tblEvento[],Tabelas!$E$1,FALSE)),FALSE,VLOOKUP(tblHorasMar[Evento 
(2º Período)],tblEvento[],Tabelas!$E$1,FALSE)="Sim")),IF(VLOOKUP(TEXT(tblHorasMar[Data],"dddd"),tblDiaUtil[],2,FALSE)="Não",TRUE,FALSE)),
                   tblHorasMar[Saída - 2]-tblHorasMar[Entrada - 2 (Almoço)],
                   IF(OR(HOUR(tblHorasMar[Saída - 2]-tblHorasMar[Entrada - 2 (Almoço)])&gt;0,MINUTE(tblHorasMar[Saída - 2]-tblHorasMar[Entrada - 2 (Almoço)])&gt;CARENCIA),
                         tblHorasMar[Saída - 2]-tblHorasMar[Entrada - 2 (Almoço)],
                         0)),
       0)),0)</f>
        <v>0</v>
      </c>
      <c r="L39" s="4">
        <f>tblHorasMar[Horas Trabalhadas (1º Período)]+tblHorasMar[Horas Trabalhadas (2º Período)]</f>
        <v>0</v>
      </c>
      <c r="M39" s="4" t="str">
        <f>IF(tblHorasMar[Data]&lt;&gt;"",
        IF(
AND(VLOOKUP(TEXT(tblHorasMar[Data],"dddd"),tblDiaUtil[],3,FALSE)="Sim",IF(tblHorasMar[Evento 
(1º Período)]&lt;&gt;"",IF(VLOOKUP(tblHorasMar[Evento 
(1º Período)],tblEvento[],Tabelas!$E$1,FALSE)="Sim",FALSE,TRUE),TRUE),IF(tblHorasMar[Evento 
(2º Período)]&lt;&gt;"",IF(VLOOKUP(tblHorasMar[Evento 
(2º Período)],tblEvento[],Tabelas!$E$1,FALSE)="Sim",FALSE,TRUE),TRUE)),
              IF(VLOOKUP(tblHorasMar[Dia],tblDiaUtil[[Abreviatura]:[1º Período]],3,FALSE)&gt;0,VLOOKUP(tblHorasMar[Dia],tblDiaUtil[[Abreviatura]:[1º Período]],3,FALSE),JORNADA),
              ""),
         "")</f>
        <v/>
      </c>
      <c r="N39" s="14">
        <f>IF(OR(tblHorasMar[Horas Trabalhadas (1º Período)]&lt;&gt;0,tblHorasMar[Horas Trabalhadas (2º Período)]&lt;&gt;0),
        IF(ISNUMBER(tblHorasMar[Jornada Diária]),
              IF(tblHorasMar[Jornada Diária]&gt;(tblHorasMar[Horas Trabalhadas (2º Período)]+tblHorasMar[Horas Trabalhadas (1º Período)]),
                     IF(ROUND((tblHorasMar[Jornada Diária]-(tblHorasMar[Horas Trabalhadas (2º Período)]+tblHorasMar[Horas Trabalhadas (1º Período)])),6)&gt;ROUND(CARENCIA,6),
                           -tblHorasMar[Jornada Diária]+(tblHorasMar[Horas Trabalhadas (2º Período)]+tblHorasMar[Horas Trabalhadas (1º Período)]),
                           0),
                      IF(ROUND((tblHorasMar[Jornada Diária]-(tblHorasMar[Horas Trabalhadas (2º Período)]+tblHorasMar[Horas Trabalhadas (1º Período)])),6)&lt;ROUND(-CARENCIA,6),
                           -tblHorasMar[Jornada Diária]+(tblHorasMar[Horas Trabalhadas (2º Período)]+tblHorasMar[Horas Trabalhadas (1º Período)]),
                           0)),
              tblHorasMar[Horas Trabalhadas (2º Período)]+tblHorasMar[Horas Trabalhadas (1º Período)]),
         IF(AND(IF(ISERROR(VLOOKUP(tblHorasMar[Evento 
(1º Período)],tblEvento[[Evento]:[Libera o Período]],4,FALSE)),FALSE,IF(VLOOKUP(tblHorasMar[Evento 
(1º Período)],tblEvento[[Evento]:[Libera o Período]],4,FALSE)="Não",TRUE,FALSE)),IF(ISERROR(VLOOKUP(tblHorasMar[Evento 
(2º Período)],tblEvento[[Evento]:[Libera o Período]],4,FALSE)),FALSE,IF(VLOOKUP(tblHorasMar[Evento 
(2º Período)],tblEvento[[Evento]:[Libera o Período]],4,FALSE)="Não",TRUE,FALSE))),
-IF(VLOOKUP(tblHorasMar[Dia],tblDiaUtil[[Abreviatura]:[Total Jornada]],5,FALSE)&lt;&gt;"",VLOOKUP(tblHorasMar[Dia],tblDiaUtil[[Abreviatura]:[Total Jornada]],5,FALSE),JORNADA),
IF(IF(ISERROR(VLOOKUP(tblHorasMar[Evento 
(1º Período)],tblEvento[[Evento]:[Libera o Período]],4,FALSE)),FALSE,
IF(VLOOKUP(tblHorasMar[Evento 
(1º Período)],tblEvento[[Evento]:[Libera o Período]],4,FALSE)="Não",TRUE,FALSE)
),
-IF(VLOOKUP(tblHorasMar[Dia],tblDiaUtil[[Abreviatura]:[1º Período]],3,FALSE)&lt;&gt;"",VLOOKUP(tblHorasMar[Dia],tblDiaUtil[[Abreviatura]:[1º Período]],3,FALSE),JORNADA_PERIODO_1),
IF(IF(ISERROR(VLOOKUP(tblHorasMar[Evento 
(2º Período)],tblEvento[[Evento]:[Libera o Período]],4,FALSE)),FALSE,IF(VLOOKUP(tblHorasMar[Evento 
(2º Período)],tblEvento[[Evento]:[Libera o Período]],4,FALSE)="Não",TRUE,FALSE)),
-IF(VLOOKUP(tblHorasMar[Dia],tblDiaUtil[[Abreviatura]:[2º Período]],4,FALSE)&lt;&gt;"",VLOOKUP(tblHorasMar[Dia],tblDiaUtil[[Abreviatura]:[2º Período]],4,FALSE),JORNADA_PERIODO_2),0))))</f>
        <v>0</v>
      </c>
      <c r="O39" s="14">
        <f>IF(tblHorasMar[Horas Trabalhadas Além Jornada]&gt;0,
        IF(ISNUMBER(tblHorasMar[Jornada Diária]),
              IF(HOUR(tblHorasMar[Horas Trabalhadas Além Jornada])&gt;=VLOOKUP(LIMITE,tblLimiteHora[],Tabelas!$I$1,FALSE),
                    VLOOKUP(LIMITE,tblLimiteHora[],Tabelas!$J$1,FALSE),
                    tblHorasMar[Horas Trabalhadas Além Jornada]),
              tblHorasMar[Horas Trabalhadas Além Jornada]),
        tblHorasMar[Horas Trabalhadas Além Jornada])+O38</f>
        <v>0</v>
      </c>
      <c r="P39" s="14" t="str">
        <f>IF(tblHorasMar[Horas Trabalhadas Além Jornada]&lt;0,IF(OR(tblHorasMar[Evento 
(1º Período)]="",tblHorasMar[Evento 
(2º Período)]=""),tblHorasMar[Horas Trabalhadas Além Jornada],""),"")</f>
        <v/>
      </c>
      <c r="Q39" s="14" t="str">
        <f>IF(tblHorasMar[Jornada Diária]&lt;&gt;"",IF((N(tblHorasMar[Jornada Diária])-ABS(N(tblHorasMar[Horas Trabalhadas Além Jornada])))=0,1,""),"")</f>
        <v/>
      </c>
      <c r="R39" s="14" t="str">
        <f>IF(tblHorasMar[Horas Trabalhadas Além Jornada]&gt;0,
IF(AND(VLOOKUP(TEXT(tblHorasMar[Data],"dddd"),tblDiaUtil[],3,FALSE)="Sim",IF(tblHorasMar[Evento 
(1º Período)]&lt;&gt;"",IF(VLOOKUP(tblHorasMar[Evento 
(1º Período)],tblEvento[],Tabelas!$E$1,FALSE)="Sim",FALSE,TRUE),TRUE),IF(tblHorasMar[Evento 
(2º Período)]&lt;&gt;"",IF(VLOOKUP(tblHorasMar[Evento 
(2º Período)],tblEvento[],Tabelas!$E$1,FALSE)="Sim",FALSE,TRUE),TRUE)),
tblHorasMar[Horas Trabalhadas Além Jornada],""),"")</f>
        <v/>
      </c>
      <c r="S39" s="14" t="str">
        <f>IF(tblHorasMar[Horas Trabalhadas Além Jornada]&gt;0,
IF(OR(VLOOKUP(TEXT(tblHorasMar[Data],"dddd"),tblDiaUtil[],3,FALSE)="Não",IF(tblHorasMar[Evento 
(1º Período)]&lt;&gt;"",IF(VLOOKUP(tblHorasMar[Evento 
(1º Período)],tblEvento[],Tabelas!$E$1,FALSE)="Sim",TRUE,FALSE),FALSE),IF(tblHorasMar[Evento 
(2º Período)]&lt;&gt;"",IF(VLOOKUP(tblHorasMar[Evento 
(2º Período)],tblEvento[],Tabelas!$E$1,FALSE)="Sim",TRUE,FALSE),FALSE)),
tblHorasMar[Horas Trabalhadas Além Jornada],""),"")</f>
        <v/>
      </c>
      <c r="T39" s="15" t="str">
        <f>IF(tblHorasMar[Evento 
(1º Período)]&lt;&gt;""," - " &amp;VLOOKUP(tblHorasMar[Evento 
(1º Período)],tblEvento[],Tabelas!$F$1,FALSE),"")&amp;IF(AND(tblHorasMar[Evento 
(2º Período)]&lt;&gt;"",tblHorasMar[Evento 
(2º Período)]&lt;&gt;tblHorasMar[Evento 
(1º Período)])," - " &amp; VLOOKUP(tblHorasMar[Evento 
(2º Período)],tblEvento[],Tabelas!$F$1,FALSE),"")</f>
        <v/>
      </c>
    </row>
    <row r="40" spans="2:21" ht="5.0999999999999996" customHeight="1" x14ac:dyDescent="0.25">
      <c r="T40" s="24"/>
      <c r="U40" s="24"/>
    </row>
    <row r="41" spans="2:21" ht="9.9499999999999993" customHeight="1" x14ac:dyDescent="0.25">
      <c r="T41" s="35" t="s">
        <v>99</v>
      </c>
      <c r="U41" s="24"/>
    </row>
    <row r="42" spans="2:21" hidden="1" x14ac:dyDescent="0.25">
      <c r="T42" s="24"/>
      <c r="U42" s="24"/>
    </row>
    <row r="43" spans="2:21" hidden="1" x14ac:dyDescent="0.25">
      <c r="T43" s="24"/>
      <c r="U43" s="24"/>
    </row>
    <row r="44" spans="2:21" hidden="1" x14ac:dyDescent="0.25">
      <c r="T44" s="24"/>
      <c r="U44" s="24"/>
    </row>
    <row r="45" spans="2:21" hidden="1" x14ac:dyDescent="0.25"/>
    <row r="46" spans="2:21" x14ac:dyDescent="0.25"/>
    <row r="47" spans="2:21" x14ac:dyDescent="0.25"/>
  </sheetData>
  <sheetProtection algorithmName="SHA-512" hashValue="UzyxF8Y71VO8+2FiwjYqGYQRCchLn5vhgYmQ2tzeGsdEsIuj1lygNXS1I1oUFclFHcrtYDRkEd9PnHWNnfSuMw==" saltValue="GfOyOS/pOnAmpXSJzbwgeA==" spinCount="100000" sheet="1" formatCells="0" formatColumns="0" formatRows="0" selectLockedCells="1" autoFilter="0" pivotTables="0"/>
  <dataConsolidate/>
  <mergeCells count="8">
    <mergeCell ref="O1:T4"/>
    <mergeCell ref="G2:I2"/>
    <mergeCell ref="H3:I3"/>
    <mergeCell ref="H4:I4"/>
    <mergeCell ref="B5:C5"/>
    <mergeCell ref="O5:O6"/>
    <mergeCell ref="B6:C6"/>
    <mergeCell ref="P6:S6"/>
  </mergeCells>
  <dataValidations count="5">
    <dataValidation type="time" allowBlank="1" showInputMessage="1" showErrorMessage="1" errorTitle="Aviso" error="Erro na inserção de dados:_x000a__x000a_'Hora Inválida'_x000a__x000a_Favor inserir uma hora válida no formato: hh:mm (ex. 12:00)" sqref="E9:H39">
      <formula1>0</formula1>
      <formula2>0.999305555555556</formula2>
    </dataValidation>
    <dataValidation type="whole" errorStyle="warning" allowBlank="1" showInputMessage="1" showErrorMessage="1" errorTitle="Aviso" error="Ano fora do período estipulado" promptTitle="Digite o ano com 4 dígitos" prompt="_x000a_ex. 2016_x000a__x000a_Entre: 1904 a 9999" sqref="D6">
      <formula1>999</formula1>
      <formula2>9999</formula2>
    </dataValidation>
    <dataValidation type="list" allowBlank="1" showErrorMessage="1" errorTitle="Mês Inválido" error="Selecione na lista um mês válido" sqref="B6:C6">
      <formula1>lst_Mes</formula1>
    </dataValidation>
    <dataValidation type="list" allowBlank="1" showInputMessage="1" showErrorMessage="1" errorTitle="Aviso" error="Erro na inserção de dados:_x000a__x000a_'Evento Inválido'_x000a__x000a_Selecione um Evento válido na Lista" promptTitle="Evento" prompt="_x000a_Selecione um Evento na Lista" sqref="D9:D39 I9:I39">
      <formula1>lstEvento</formula1>
    </dataValidation>
    <dataValidation type="whole" allowBlank="1" showInputMessage="1" showErrorMessage="1" errorTitle="Erro" error="Dia inexistente" promptTitle="Digite o primeiro dia do mês" prompt="Somente utilize esse campo caso o dia seja diferente de 1." sqref="E6">
      <formula1>1</formula1>
      <formula2>31</formula2>
    </dataValidation>
  </dataValidations>
  <printOptions verticalCentered="1"/>
  <pageMargins left="0.51181102362204722" right="0.51181102362204722" top="0.78740157480314965" bottom="0.78740157480314965" header="0.31496062992125984" footer="0.31496062992125984"/>
  <pageSetup paperSize="9" scale="82" orientation="landscape" r:id="rId1"/>
  <headerFooter>
    <oddHeader>&amp;R&amp;D</oddHeader>
    <oddFooter>&amp;L.e&amp;RPágina &amp;P de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0" id="{E4C2BFA4-DB4E-45F6-A2C0-EAA861F2B1F5}">
            <xm:f>IF(OR(IF(ISERROR(VLOOKUP($C9,Config!$C$1:$D$18,2,FALSE)),FALSE,IF(VLOOKUP($C9,Config!$C$1:$D$18,2,FALSE)="Não",TRUE,FALSE)),IF(ISERROR(VLOOKUP($D9,Tabelas!$A$3:$B$51,2,FALSE)),FALSE,IF(VLOOKUP($D9,Tabelas!$A$3:$B$51,2,FALSE)="Sim",TRUE,FALSE)),IF(ISERROR(VLOOKUP($I9,Tabelas!$A$3:$B$51,2,FALSE)),FALSE,IF(VLOOKUP($I9,Tabelas!$A$3:$B$51,2,FALSE)="Sim",TRUE,FALSE))),TRUE,FALSE)</xm:f>
            <x14:dxf>
              <fill>
                <patternFill>
                  <bgColor rgb="FFFFFFCC"/>
                </patternFill>
              </fill>
            </x14:dxf>
          </x14:cfRule>
          <xm:sqref>B9:D9 I9:T9</xm:sqref>
        </x14:conditionalFormatting>
        <x14:conditionalFormatting xmlns:xm="http://schemas.microsoft.com/office/excel/2006/main">
          <x14:cfRule type="expression" priority="9" id="{7CC8F811-A2E0-4DBA-98C4-A6AD4CEA512A}">
            <xm:f>IF(IF(ISERROR(VLOOKUP($D9,Tabelas!$A$3:$C$51,3,FALSE)),FALSE,VLOOKUP($D9,Tabelas!$A$3:$C$51,3,FALSE)="Sim"),TRUE,FALSE)</xm:f>
            <x14:dxf>
              <fill>
                <patternFill>
                  <bgColor rgb="FFFFD1D2"/>
                </patternFill>
              </fill>
            </x14:dxf>
          </x14:cfRule>
          <xm:sqref>J9 D9</xm:sqref>
        </x14:conditionalFormatting>
        <x14:conditionalFormatting xmlns:xm="http://schemas.microsoft.com/office/excel/2006/main">
          <x14:cfRule type="expression" priority="11" id="{88E447C4-5351-4ADB-BDB8-FB7E01F60F9B}">
            <xm:f>IF(IF(ISERROR(VLOOKUP($I9,Tabelas!$A$3:$C$51,3,FALSE)),FALSE,VLOOKUP($I9,Tabelas!$A$3:$C$51,3,FALSE)="Sim"),TRUE,FALSE)</xm:f>
            <x14:dxf>
              <fill>
                <patternFill>
                  <bgColor rgb="FFFFD5D6"/>
                </patternFill>
              </fill>
            </x14:dxf>
          </x14:cfRule>
          <xm:sqref>K9:M9 I9</xm:sqref>
        </x14:conditionalFormatting>
        <x14:conditionalFormatting xmlns:xm="http://schemas.microsoft.com/office/excel/2006/main">
          <x14:cfRule type="expression" priority="8" id="{C8F1A40A-AC09-4823-8F21-79150CAD3DE2}">
            <xm:f>IF(OR(IF(ISERROR(VLOOKUP($C7,Config!$C$1:$D$18,2,FALSE)),FALSE,IF(VLOOKUP($C7,Config!$C$1:$D$18,2,FALSE)="Não",TRUE,FALSE)),IF(ISERROR(VLOOKUP($D7,Tabelas!$A$3:$B$51,2,FALSE)),FALSE,IF(VLOOKUP($D7,Tabelas!$A$3:$B$51,2,FALSE)="Sim",TRUE,FALSE)),IF(ISERROR(VLOOKUP($I7,Tabelas!$A$3:$B$51,2,FALSE)),FALSE,IF(VLOOKUP($I7,Tabelas!$A$3:$B$51,2,FALSE)="Sim",TRUE,FALSE))),TRUE,FALSE)</xm:f>
            <x14:dxf>
              <fill>
                <patternFill>
                  <bgColor rgb="FFFFFFCC"/>
                </patternFill>
              </fill>
            </x14:dxf>
          </x14:cfRule>
          <xm:sqref>P7:S7</xm:sqref>
        </x14:conditionalFormatting>
        <x14:conditionalFormatting xmlns:xm="http://schemas.microsoft.com/office/excel/2006/main">
          <x14:cfRule type="expression" priority="6" id="{7F279991-609A-4DA3-997E-2474E6746B19}">
            <xm:f>IF(OR(IF(ISERROR(VLOOKUP($C10,Config!$C$1:$D$18,2,FALSE)),FALSE,IF(VLOOKUP($C10,Config!$C$1:$D$18,2,FALSE)="Não",TRUE,FALSE)),IF(ISERROR(VLOOKUP($D10,Tabelas!$A$3:$B$51,2,FALSE)),FALSE,IF(VLOOKUP($D10,Tabelas!$A$3:$B$51,2,FALSE)="Sim",TRUE,FALSE)),IF(ISERROR(VLOOKUP($I10,Tabelas!$A$3:$B$51,2,FALSE)),FALSE,IF(VLOOKUP($I10,Tabelas!$A$3:$B$51,2,FALSE)="Sim",TRUE,FALSE))),TRUE,FALSE)</xm:f>
            <x14:dxf>
              <fill>
                <patternFill>
                  <bgColor rgb="FFFFFFCC"/>
                </patternFill>
              </fill>
            </x14:dxf>
          </x14:cfRule>
          <xm:sqref>B10:T39</xm:sqref>
        </x14:conditionalFormatting>
        <x14:conditionalFormatting xmlns:xm="http://schemas.microsoft.com/office/excel/2006/main">
          <x14:cfRule type="expression" priority="5" id="{4A2EDA27-013A-4A4D-AA5A-28A4B84B22A8}">
            <xm:f>IF(IF(ISERROR(VLOOKUP($D10,Tabelas!$A$3:$C$51,3,FALSE)),FALSE,VLOOKUP($D10,Tabelas!$A$3:$C$51,3,FALSE)="Sim"),TRUE,FALSE)</xm:f>
            <x14:dxf>
              <fill>
                <patternFill>
                  <bgColor rgb="FFFFD1D2"/>
                </patternFill>
              </fill>
            </x14:dxf>
          </x14:cfRule>
          <xm:sqref>J10:J39 D10:F39</xm:sqref>
        </x14:conditionalFormatting>
        <x14:conditionalFormatting xmlns:xm="http://schemas.microsoft.com/office/excel/2006/main">
          <x14:cfRule type="expression" priority="7" id="{44BD48D2-1073-4286-B9D1-B8131FF74643}">
            <xm:f>IF(IF(ISERROR(VLOOKUP($I10,Tabelas!$A$3:$C$51,3,FALSE)),FALSE,VLOOKUP($I10,Tabelas!$A$3:$C$51,3,FALSE)="Sim"),TRUE,FALSE)</xm:f>
            <x14:dxf>
              <fill>
                <patternFill>
                  <bgColor rgb="FFFFD5D6"/>
                </patternFill>
              </fill>
            </x14:dxf>
          </x14:cfRule>
          <xm:sqref>K10:M39 G10:I39</xm:sqref>
        </x14:conditionalFormatting>
        <x14:conditionalFormatting xmlns:xm="http://schemas.microsoft.com/office/excel/2006/main">
          <x14:cfRule type="expression" priority="4" id="{2FC4B283-BAA8-41A4-855B-797F4EECEF41}">
            <xm:f>IF(OR(IF(ISERROR(VLOOKUP($C7,Config!$C$1:$D$18,2,FALSE)),FALSE,IF(VLOOKUP($C7,Config!$C$1:$D$18,2,FALSE)="Não",TRUE,FALSE)),IF(ISERROR(VLOOKUP($D7,Tabelas!$A$3:$B$51,2,FALSE)),FALSE,IF(VLOOKUP($D7,Tabelas!$A$3:$B$51,2,FALSE)="Sim",TRUE,FALSE)),IF(ISERROR(VLOOKUP($I7,Tabelas!$A$3:$B$51,2,FALSE)),FALSE,IF(VLOOKUP($I7,Tabelas!$A$3:$B$51,2,FALSE)="Sim",TRUE,FALSE))),TRUE,FALSE)</xm:f>
            <x14:dxf>
              <fill>
                <patternFill>
                  <bgColor rgb="FFFFFFCC"/>
                </patternFill>
              </fill>
            </x14:dxf>
          </x14:cfRule>
          <xm:sqref>O7</xm:sqref>
        </x14:conditionalFormatting>
        <x14:conditionalFormatting xmlns:xm="http://schemas.microsoft.com/office/excel/2006/main">
          <x14:cfRule type="expression" priority="2" id="{1B7F0661-598B-41FB-892D-D50078AD4A22}">
            <xm:f>IF(OR(IF(ISERROR(VLOOKUP($C9,Config!$C$1:$D$18,2,FALSE)),FALSE,IF(VLOOKUP($C9,Config!$C$1:$D$18,2,FALSE)="Não",TRUE,FALSE)),IF(ISERROR(VLOOKUP($D9,Tabelas!$A$3:$B$51,2,FALSE)),FALSE,IF(VLOOKUP($D9,Tabelas!$A$3:$B$51,2,FALSE)="Sim",TRUE,FALSE)),IF(ISERROR(VLOOKUP($I9,Tabelas!$A$3:$B$51,2,FALSE)),FALSE,IF(VLOOKUP($I9,Tabelas!$A$3:$B$51,2,FALSE)="Sim",TRUE,FALSE))),TRUE,FALSE)</xm:f>
            <x14:dxf>
              <fill>
                <patternFill>
                  <bgColor rgb="FFFFFFCC"/>
                </patternFill>
              </fill>
            </x14:dxf>
          </x14:cfRule>
          <xm:sqref>E9:H9</xm:sqref>
        </x14:conditionalFormatting>
        <x14:conditionalFormatting xmlns:xm="http://schemas.microsoft.com/office/excel/2006/main">
          <x14:cfRule type="expression" priority="1" id="{CEA1501E-EB44-4689-88D1-E212FE546BDE}">
            <xm:f>IF(IF(ISERROR(VLOOKUP($D9,Tabelas!$A$3:$C$51,3,FALSE)),FALSE,VLOOKUP($D9,Tabelas!$A$3:$C$51,3,FALSE)="Sim"),TRUE,FALSE)</xm:f>
            <x14:dxf>
              <fill>
                <patternFill>
                  <bgColor rgb="FFFFD1D2"/>
                </patternFill>
              </fill>
            </x14:dxf>
          </x14:cfRule>
          <xm:sqref>E9:F9</xm:sqref>
        </x14:conditionalFormatting>
        <x14:conditionalFormatting xmlns:xm="http://schemas.microsoft.com/office/excel/2006/main">
          <x14:cfRule type="expression" priority="3" id="{20CB4529-CD82-4DDB-AC72-A19809ED2FC7}">
            <xm:f>IF(IF(ISERROR(VLOOKUP($I9,Tabelas!$A$3:$C$51,3,FALSE)),FALSE,VLOOKUP($I9,Tabelas!$A$3:$C$51,3,FALSE)="Sim"),TRUE,FALSE)</xm:f>
            <x14:dxf>
              <fill>
                <patternFill>
                  <bgColor rgb="FFFFD5D6"/>
                </patternFill>
              </fill>
            </x14:dxf>
          </x14:cfRule>
          <xm:sqref>G9:H9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nAbril">
    <tabColor theme="4" tint="0.59999389629810485"/>
    <pageSetUpPr fitToPage="1"/>
  </sheetPr>
  <dimension ref="A1:AC47"/>
  <sheetViews>
    <sheetView showGridLines="0" workbookViewId="0">
      <pane xSplit="1" ySplit="8" topLeftCell="B9" activePane="bottomRight" state="frozen"/>
      <selection activeCell="H10" sqref="H10"/>
      <selection pane="topRight" activeCell="H10" sqref="H10"/>
      <selection pane="bottomLeft" activeCell="H10" sqref="H10"/>
      <selection pane="bottomRight" activeCell="E9" sqref="E9"/>
    </sheetView>
  </sheetViews>
  <sheetFormatPr defaultColWidth="0" defaultRowHeight="15" zeroHeight="1" x14ac:dyDescent="0.25"/>
  <cols>
    <col min="1" max="1" width="6.7109375" style="5" customWidth="1"/>
    <col min="2" max="2" width="10.7109375" style="5" customWidth="1"/>
    <col min="3" max="3" width="10" style="5" customWidth="1"/>
    <col min="4" max="9" width="12.7109375" style="5" customWidth="1"/>
    <col min="10" max="14" width="12.7109375" style="5" hidden="1" customWidth="1"/>
    <col min="15" max="15" width="12.7109375" style="5" customWidth="1"/>
    <col min="16" max="19" width="12.7109375" style="5" hidden="1" customWidth="1"/>
    <col min="20" max="20" width="38.42578125" style="5" customWidth="1"/>
    <col min="21" max="21" width="2.7109375" style="5" customWidth="1"/>
    <col min="22" max="22" width="9.140625" style="5" hidden="1" customWidth="1"/>
    <col min="23" max="23" width="12.42578125" style="5" hidden="1" customWidth="1"/>
    <col min="24" max="25" width="0" style="5" hidden="1" customWidth="1"/>
    <col min="26" max="26" width="9.140625" style="5" hidden="1" customWidth="1"/>
    <col min="27" max="27" width="12.42578125" style="5" hidden="1" customWidth="1"/>
    <col min="28" max="29" width="0" style="5" hidden="1" customWidth="1"/>
    <col min="30" max="16384" width="9.140625" style="5" hidden="1"/>
  </cols>
  <sheetData>
    <row r="1" spans="2:25" ht="15" customHeight="1" x14ac:dyDescent="0.25">
      <c r="G1" s="48" t="s">
        <v>58</v>
      </c>
      <c r="O1" s="83" t="str">
        <f>"*Limite de horas: " &amp; LIMITE &amp; "; e 
*Contabiliza a partir de " &amp; TEXT(CARENCIA, "hh:mm") &amp; " hora(s) (para mais ou para menos);
*Caso tenha Atestado em um dos períodos, o que ultrapassar de 4:00 horas de trabalho contabiliza hora positiva."</f>
        <v>*Limite de horas: 2h diárias; e 
*Contabiliza a partir de 00:00 hora(s) (para mais ou para menos);
*Caso tenha Atestado em um dos períodos, o que ultrapassar de 4:00 horas de trabalho contabiliza hora positiva.</v>
      </c>
      <c r="P1" s="83"/>
      <c r="Q1" s="83"/>
      <c r="R1" s="83"/>
      <c r="S1" s="83"/>
      <c r="T1" s="83"/>
    </row>
    <row r="2" spans="2:25" ht="15" customHeight="1" thickBot="1" x14ac:dyDescent="0.3">
      <c r="B2" s="6"/>
      <c r="G2" s="90"/>
      <c r="H2" s="91"/>
      <c r="I2" s="91"/>
      <c r="N2" s="24"/>
      <c r="O2" s="83"/>
      <c r="P2" s="83"/>
      <c r="Q2" s="83"/>
      <c r="R2" s="83"/>
      <c r="S2" s="83"/>
      <c r="T2" s="83"/>
    </row>
    <row r="3" spans="2:25" ht="15" customHeight="1" x14ac:dyDescent="0.25">
      <c r="B3" s="6"/>
      <c r="G3" s="48" t="s">
        <v>96</v>
      </c>
      <c r="H3" s="92" t="s">
        <v>97</v>
      </c>
      <c r="I3" s="93"/>
      <c r="N3" s="24"/>
      <c r="O3" s="83"/>
      <c r="P3" s="83"/>
      <c r="Q3" s="83"/>
      <c r="R3" s="83"/>
      <c r="S3" s="83"/>
      <c r="T3" s="83"/>
    </row>
    <row r="4" spans="2:25" ht="15" customHeight="1" thickBot="1" x14ac:dyDescent="0.3">
      <c r="B4" s="6"/>
      <c r="G4" s="52"/>
      <c r="H4" s="84"/>
      <c r="I4" s="85"/>
      <c r="N4" s="24"/>
      <c r="O4" s="83"/>
      <c r="P4" s="83"/>
      <c r="Q4" s="83"/>
      <c r="R4" s="83"/>
      <c r="S4" s="83"/>
      <c r="T4" s="83"/>
    </row>
    <row r="5" spans="2:25" ht="15" customHeight="1" x14ac:dyDescent="0.25">
      <c r="B5" s="86" t="s">
        <v>59</v>
      </c>
      <c r="C5" s="87"/>
      <c r="D5" s="48" t="s">
        <v>62</v>
      </c>
      <c r="E5" s="48" t="s">
        <v>88</v>
      </c>
      <c r="G5" s="7"/>
      <c r="N5" s="24"/>
      <c r="O5" s="94" t="s">
        <v>100</v>
      </c>
      <c r="P5" s="34" t="s">
        <v>76</v>
      </c>
      <c r="Q5" s="34" t="s">
        <v>76</v>
      </c>
      <c r="R5" s="34" t="s">
        <v>76</v>
      </c>
      <c r="S5" s="34" t="s">
        <v>76</v>
      </c>
      <c r="T5" s="24"/>
    </row>
    <row r="6" spans="2:25" ht="16.5" customHeight="1" thickBot="1" x14ac:dyDescent="0.3">
      <c r="B6" s="88" t="s">
        <v>66</v>
      </c>
      <c r="C6" s="89"/>
      <c r="D6" s="30" t="str">
        <f>IF(Janeiro!D6&lt;&gt;"",Janeiro!D6,"")</f>
        <v/>
      </c>
      <c r="E6" s="30" t="str">
        <f>IF(Janeiro!E6&lt;&gt;"",Janeiro!E6,"")</f>
        <v/>
      </c>
      <c r="F6" s="32" t="str">
        <f>IF(ISERROR(DATEVALUE(IF(E6&lt;&gt;"",E6,1)&amp;"-"&amp;B6&amp;"-"&amp;D6)),"",DATEVALUE(IF(E6&lt;&gt;"",E6,1)&amp;"-"&amp;B6&amp;"-"&amp;D6))</f>
        <v/>
      </c>
      <c r="N6" s="24"/>
      <c r="O6" s="95"/>
      <c r="P6" s="81" t="s">
        <v>95</v>
      </c>
      <c r="Q6" s="82"/>
      <c r="R6" s="82"/>
      <c r="S6" s="82"/>
      <c r="T6" s="24"/>
    </row>
    <row r="7" spans="2:25" x14ac:dyDescent="0.25">
      <c r="E7" s="8"/>
      <c r="F7" s="8"/>
      <c r="G7" s="8"/>
      <c r="H7" s="8"/>
      <c r="I7" s="8"/>
      <c r="J7" s="34" t="s">
        <v>76</v>
      </c>
      <c r="K7" s="34" t="s">
        <v>76</v>
      </c>
      <c r="L7" s="34" t="s">
        <v>76</v>
      </c>
      <c r="M7" s="34" t="s">
        <v>76</v>
      </c>
      <c r="N7" s="34" t="s">
        <v>76</v>
      </c>
      <c r="O7" s="45">
        <f>Março!O39</f>
        <v>0</v>
      </c>
      <c r="P7" s="45">
        <f>SUM(tblHorasAbr[Atrasos
(horas)])</f>
        <v>0</v>
      </c>
      <c r="Q7" s="46">
        <f>SUM(tblHorasAbr[Faltas
(dias)])</f>
        <v>0</v>
      </c>
      <c r="R7" s="45">
        <f>SUM(tblHorasAbr[Hora Extra Normal])</f>
        <v>0</v>
      </c>
      <c r="S7" s="45">
        <f>SUM(tblHorasAbr[Hora Extra 
Especial])</f>
        <v>0</v>
      </c>
      <c r="T7" s="24"/>
    </row>
    <row r="8" spans="2:25" s="9" customFormat="1" ht="45" customHeight="1" x14ac:dyDescent="0.25">
      <c r="B8" s="9" t="s">
        <v>0</v>
      </c>
      <c r="C8" s="9" t="s">
        <v>1</v>
      </c>
      <c r="D8" s="10" t="s">
        <v>51</v>
      </c>
      <c r="E8" s="9" t="s">
        <v>3</v>
      </c>
      <c r="F8" s="9" t="s">
        <v>4</v>
      </c>
      <c r="G8" s="9" t="s">
        <v>5</v>
      </c>
      <c r="H8" s="9" t="s">
        <v>6</v>
      </c>
      <c r="I8" s="10" t="s">
        <v>52</v>
      </c>
      <c r="J8" s="9" t="s">
        <v>35</v>
      </c>
      <c r="K8" s="9" t="s">
        <v>36</v>
      </c>
      <c r="L8" s="9" t="s">
        <v>55</v>
      </c>
      <c r="M8" s="9" t="s">
        <v>48</v>
      </c>
      <c r="N8" s="9" t="s">
        <v>50</v>
      </c>
      <c r="O8" s="9" t="s">
        <v>49</v>
      </c>
      <c r="P8" s="9" t="s">
        <v>91</v>
      </c>
      <c r="Q8" s="9" t="s">
        <v>92</v>
      </c>
      <c r="R8" s="9" t="s">
        <v>93</v>
      </c>
      <c r="S8" s="9" t="s">
        <v>94</v>
      </c>
      <c r="T8" s="9" t="s">
        <v>46</v>
      </c>
      <c r="W8" s="26"/>
    </row>
    <row r="9" spans="2:25" x14ac:dyDescent="0.25">
      <c r="B9" s="11" t="str">
        <f>IF(ISERROR(F6),"",F6)</f>
        <v/>
      </c>
      <c r="C9" s="12" t="str">
        <f>TEXT(tblHorasAbr[Data],"ddd")</f>
        <v/>
      </c>
      <c r="D9" s="25"/>
      <c r="E9" s="1"/>
      <c r="F9" s="1"/>
      <c r="G9" s="1"/>
      <c r="H9" s="1"/>
      <c r="I9" s="53"/>
      <c r="J9" s="4">
        <f>IF($B$6&lt;&gt;"",
IF(AND(tblHorasAbr[Evento 
(1º Período)]&lt;&gt;"",IF(ISERROR(VLOOKUP(tblHorasAbr[Evento 
(1º Período)],tblEvento[],Tabelas!$D$1,FALSE)),FALSE,VLOOKUP(tblHorasAbr[Evento 
(1º Período)],tblEvento[],Tabelas!$D$1,FALSE)="Sim")),
        IF(JORNADA_PERIODO_1&lt;&gt;"",
IF(VLOOKUP(tblHorasAbr[Dia],tblDiaUtil[[Abreviatura]:[1º Período]],3,FALSE)&gt;0,VLOOKUP(tblHorasAbr[Dia],tblDiaUtil[[Abreviatura]:[1º Período]],3,FALSE),JORNADA_PERIODO_1),
IF(VLOOKUP(tblHorasAbr[Dia],tblDiaUtil[[Abreviatura]:[1º Período]],3,FALSE)&gt;0,VLOOKUP(tblHorasAbr[Dia],tblDiaUtil[[Abreviatura]:[1º Período]],3,FALSE),JORNADA/2)),
        IF(AND(ISNUMBER(tblHorasAbr[Saída - 1 (Almoço)]),ISNUMBER(tblHorasAbr[Entrada - 1])),
              IF(OR(AND(tblHorasAbr[Evento 
(1º Período)]&lt;&gt;"",IF(ISERROR(VLOOKUP(tblHorasAbr[Evento 
(1º Período)],tblEvento[],Tabelas!$E$1,FALSE)),FALSE,VLOOKUP(tblHorasAbr[Evento 
(1º Período)],tblEvento[],Tabelas!$E$1,FALSE)="Sim")),IF(VLOOKUP(TEXT(tblHorasAbr[Data],"dddd"),tblDiaUtil[],2,FALSE)="Não",TRUE,FALSE)),
                   tblHorasAbr[Saída - 1 (Almoço)]-tblHorasAbr[Entrada - 1],
                   IF(OR(HOUR(tblHorasAbr[Saída - 1 (Almoço)]-tblHorasAbr[Entrada - 1])&gt;0,ROUND(tblHorasAbr[Saída - 1 (Almoço)]-tblHorasAbr[Entrada - 1],6)&gt;ROUND(CARENCIA,6)),
                          tblHorasAbr[Saída - 1 (Almoço)]-tblHorasAbr[Entrada - 1],
                          0)),
                    0)),0)</f>
        <v>0</v>
      </c>
      <c r="K9" s="4">
        <f>IF($B$6&lt;&gt;"",
IF(AND(tblHorasAbr[Evento 
(2º Período)]&lt;&gt;"",IF(ISERROR(VLOOKUP(tblHorasAbr[Evento 
(2º Período)],tblEvento[],Tabelas!$D$1,FALSE)),FALSE,VLOOKUP(tblHorasAbr[Evento 
(2º Período)],tblEvento[],Tabelas!$D$1,FALSE)="Sim")),
        IF(JORNADA_PERIODO_2&lt;&gt;"",
IF(VLOOKUP(tblHorasAbr[Dia],tblDiaUtil[[Abreviatura]:[2º Período]],4,FALSE)&gt;0,VLOOKUP(tblHorasAbr[Dia],tblDiaUtil[[Abreviatura]:[2º Período]],4,FALSE),JORNADA_PERIODO_2),
IF(VLOOKUP(tblHorasAbr[Dia],tblDiaUtil[[Abreviatura]:[2º Período]],4,FALSE)&gt;0,VLOOKUP(tblHorasAbr[Dia],tblDiaUtil[[Abreviatura]:[2º Período]],4,FALSE),JORNADA/2)),
        IF(AND(ISNUMBER(tblHorasAbr[Saída - 2]),ISNUMBER(tblHorasAbr[Entrada - 2 (Almoço)])),
              IF(OR(AND(tblHorasAbr[Evento 
(2º Período)]&lt;&gt;"",IF(ISERROR(VLOOKUP(tblHorasAbr[Evento 
(2º Período)],tblEvento[],Tabelas!$E$1,FALSE)),FALSE,VLOOKUP(tblHorasAbr[Evento 
(2º Período)],tblEvento[],Tabelas!$E$1,FALSE)="Sim")),IF(VLOOKUP(TEXT(tblHorasAbr[Data],"dddd"),tblDiaUtil[],2,FALSE)="Não",TRUE,FALSE)),
                   tblHorasAbr[Saída - 2]-tblHorasAbr[Entrada - 2 (Almoço)],
                   IF(OR(HOUR(tblHorasAbr[Saída - 2]-tblHorasAbr[Entrada - 2 (Almoço)])&gt;0,MINUTE(tblHorasAbr[Saída - 2]-tblHorasAbr[Entrada - 2 (Almoço)])&gt;CARENCIA),
                         tblHorasAbr[Saída - 2]-tblHorasAbr[Entrada - 2 (Almoço)],
                         0)),
       0)),0)</f>
        <v>0</v>
      </c>
      <c r="L9" s="4">
        <f>tblHorasAbr[Horas Trabalhadas (1º Período)]+tblHorasAbr[Horas Trabalhadas (2º Período)]</f>
        <v>0</v>
      </c>
      <c r="M9" s="4" t="str">
        <f>IF(tblHorasAbr[Data]&lt;&gt;"",
        IF(
AND(VLOOKUP(TEXT(tblHorasAbr[Data],"dddd"),tblDiaUtil[],3,FALSE)="Sim",IF(tblHorasAbr[Evento 
(1º Período)]&lt;&gt;"",IF(VLOOKUP(tblHorasAbr[Evento 
(1º Período)],tblEvento[],Tabelas!$E$1,FALSE)="Sim",FALSE,TRUE),TRUE),IF(tblHorasAbr[Evento 
(2º Período)]&lt;&gt;"",IF(VLOOKUP(tblHorasAbr[Evento 
(2º Período)],tblEvento[],Tabelas!$E$1,FALSE)="Sim",FALSE,TRUE),TRUE)),
              IF(VLOOKUP(tblHorasAbr[Dia],tblDiaUtil[[Abreviatura]:[1º Período]],3,FALSE)&gt;0,VLOOKUP(tblHorasAbr[Dia],tblDiaUtil[[Abreviatura]:[1º Período]],3,FALSE),JORNADA),
              ""),
         "")</f>
        <v/>
      </c>
      <c r="N9" s="14">
        <f>IF(OR(tblHorasAbr[Horas Trabalhadas (1º Período)]&lt;&gt;0,tblHorasAbr[Horas Trabalhadas (2º Período)]&lt;&gt;0),
        IF(ISNUMBER(tblHorasAbr[Jornada Diária]),
              IF(tblHorasAbr[Jornada Diária]&gt;(tblHorasAbr[Horas Trabalhadas (2º Período)]+tblHorasAbr[Horas Trabalhadas (1º Período)]),
                     IF(ROUND((tblHorasAbr[Jornada Diária]-(tblHorasAbr[Horas Trabalhadas (2º Período)]+tblHorasAbr[Horas Trabalhadas (1º Período)])),6)&gt;ROUND(CARENCIA,6),
                           -tblHorasAbr[Jornada Diária]+(tblHorasAbr[Horas Trabalhadas (2º Período)]+tblHorasAbr[Horas Trabalhadas (1º Período)]),
                           0),
                      IF(ROUND((tblHorasAbr[Jornada Diária]-(tblHorasAbr[Horas Trabalhadas (2º Período)]+tblHorasAbr[Horas Trabalhadas (1º Período)])),6)&lt;ROUND(-CARENCIA,6),
                           -tblHorasAbr[Jornada Diária]+(tblHorasAbr[Horas Trabalhadas (2º Período)]+tblHorasAbr[Horas Trabalhadas (1º Período)]),
                           0)),
              tblHorasAbr[Horas Trabalhadas (2º Período)]+tblHorasAbr[Horas Trabalhadas (1º Período)]),
         IF(AND(IF(ISERROR(VLOOKUP(tblHorasAbr[Evento 
(1º Período)],tblEvento[[Evento]:[Libera o Período]],4,FALSE)),FALSE,IF(VLOOKUP(tblHorasAbr[Evento 
(1º Período)],tblEvento[[Evento]:[Libera o Período]],4,FALSE)="Não",TRUE,FALSE)),IF(ISERROR(VLOOKUP(tblHorasAbr[Evento 
(2º Período)],tblEvento[[Evento]:[Libera o Período]],4,FALSE)),FALSE,IF(VLOOKUP(tblHorasAbr[Evento 
(2º Período)],tblEvento[[Evento]:[Libera o Período]],4,FALSE)="Não",TRUE,FALSE))),
-IF(VLOOKUP(tblHorasAbr[Dia],tblDiaUtil[[Abreviatura]:[Total Jornada]],5,FALSE)&lt;&gt;"",VLOOKUP(tblHorasAbr[Dia],tblDiaUtil[[Abreviatura]:[Total Jornada]],5,FALSE),JORNADA),
IF(IF(ISERROR(VLOOKUP(tblHorasAbr[Evento 
(1º Período)],tblEvento[[Evento]:[Libera o Período]],4,FALSE)),FALSE,
IF(VLOOKUP(tblHorasAbr[Evento 
(1º Período)],tblEvento[[Evento]:[Libera o Período]],4,FALSE)="Não",TRUE,FALSE)
),
-IF(VLOOKUP(tblHorasAbr[Dia],tblDiaUtil[[Abreviatura]:[1º Período]],3,FALSE)&lt;&gt;"",VLOOKUP(tblHorasAbr[Dia],tblDiaUtil[[Abreviatura]:[1º Período]],3,FALSE),JORNADA_PERIODO_1),
IF(IF(ISERROR(VLOOKUP(tblHorasAbr[Evento 
(2º Período)],tblEvento[[Evento]:[Libera o Período]],4,FALSE)),FALSE,IF(VLOOKUP(tblHorasAbr[Evento 
(2º Período)],tblEvento[[Evento]:[Libera o Período]],4,FALSE)="Não",TRUE,FALSE)),
-IF(VLOOKUP(tblHorasAbr[Dia],tblDiaUtil[[Abreviatura]:[2º Período]],4,FALSE)&lt;&gt;"",VLOOKUP(tblHorasAbr[Dia],tblDiaUtil[[Abreviatura]:[2º Período]],4,FALSE),JORNADA_PERIODO_2),0))))</f>
        <v>0</v>
      </c>
      <c r="O9" s="14">
        <f>IF(tblHorasAbr[Horas Trabalhadas Além Jornada]&gt;0,
        IF(ISNUMBER(tblHorasAbr[Jornada Diária]),
              IF(HOUR(tblHorasAbr[Horas Trabalhadas Além Jornada])&gt;=VLOOKUP(LIMITE,tblLimiteHora[],Tabelas!$I$1,FALSE),
                    VLOOKUP(LIMITE,tblLimiteHora[],Tabelas!$J$1,FALSE),
                    tblHorasAbr[Horas Trabalhadas Além Jornada]),
              tblHorasAbr[Horas Trabalhadas Além Jornada]),
        tblHorasAbr[Horas Trabalhadas Além Jornada])+O7</f>
        <v>0</v>
      </c>
      <c r="P9" s="14" t="str">
        <f>IF(tblHorasAbr[Horas Trabalhadas Além Jornada]&lt;0,IF(OR(tblHorasAbr[Evento 
(1º Período)]="",tblHorasAbr[Evento 
(2º Período)]=""),tblHorasAbr[Horas Trabalhadas Além Jornada],""),"")</f>
        <v/>
      </c>
      <c r="Q9" s="14" t="str">
        <f>IF(tblHorasAbr[Jornada Diária]&lt;&gt;"",IF((N(tblHorasAbr[Jornada Diária])-ABS(N(tblHorasAbr[Horas Trabalhadas Além Jornada])))=0,1,""),"")</f>
        <v/>
      </c>
      <c r="R9" s="14" t="str">
        <f>IF(tblHorasAbr[Horas Trabalhadas Além Jornada]&gt;0,
IF(AND(VLOOKUP(TEXT(tblHorasAbr[Data],"dddd"),tblDiaUtil[],3,FALSE)="Sim",IF(tblHorasAbr[Evento 
(1º Período)]&lt;&gt;"",IF(VLOOKUP(tblHorasAbr[Evento 
(1º Período)],tblEvento[],Tabelas!$E$1,FALSE)="Sim",FALSE,TRUE),TRUE),IF(tblHorasAbr[Evento 
(2º Período)]&lt;&gt;"",IF(VLOOKUP(tblHorasAbr[Evento 
(2º Período)],tblEvento[],Tabelas!$E$1,FALSE)="Sim",FALSE,TRUE),TRUE)),
tblHorasAbr[Horas Trabalhadas Além Jornada],""),"")</f>
        <v/>
      </c>
      <c r="S9" s="14" t="str">
        <f>IF(tblHorasAbr[Horas Trabalhadas Além Jornada]&gt;0,
IF(OR(VLOOKUP(TEXT(tblHorasAbr[Data],"dddd"),tblDiaUtil[],3,FALSE)="Não",IF(tblHorasAbr[Evento 
(1º Período)]&lt;&gt;"",IF(VLOOKUP(tblHorasAbr[Evento 
(1º Período)],tblEvento[],Tabelas!$E$1,FALSE)="Sim",TRUE,FALSE),FALSE),IF(tblHorasAbr[Evento 
(2º Período)]&lt;&gt;"",IF(VLOOKUP(tblHorasAbr[Evento 
(2º Período)],tblEvento[],Tabelas!$E$1,FALSE)="Sim",TRUE,FALSE),FALSE)),
tblHorasAbr[Horas Trabalhadas Além Jornada],""),"")</f>
        <v/>
      </c>
      <c r="T9" s="15" t="str">
        <f>IF(tblHorasAbr[Evento 
(1º Período)]&lt;&gt;""," - " &amp;VLOOKUP(tblHorasAbr[Evento 
(1º Período)],tblEvento[],Tabelas!$F$1,FALSE),"")&amp;IF(AND(tblHorasAbr[Evento 
(2º Período)]&lt;&gt;"",tblHorasAbr[Evento 
(2º Período)]&lt;&gt;tblHorasAbr[Evento 
(1º Período)])," - " &amp; VLOOKUP(tblHorasAbr[Evento 
(2º Período)],tblEvento[],Tabelas!$F$1,FALSE),"")</f>
        <v/>
      </c>
      <c r="V9" s="16"/>
      <c r="Y9" s="17"/>
    </row>
    <row r="10" spans="2:25" x14ac:dyDescent="0.25">
      <c r="B10" s="11" t="str">
        <f>IF(B9&lt;&gt;"",IF(DAY(B9+1)=IF($E$6&lt;&gt;"",$E$6,1),"",B9+1),"")</f>
        <v/>
      </c>
      <c r="C10" s="12" t="str">
        <f>TEXT(tblHorasAbr[Data],"ddd")</f>
        <v/>
      </c>
      <c r="D10" s="25"/>
      <c r="E10" s="1"/>
      <c r="F10" s="1"/>
      <c r="G10" s="1"/>
      <c r="H10" s="1"/>
      <c r="I10" s="53"/>
      <c r="J10" s="4">
        <f>IF($B$6&lt;&gt;"",
IF(AND(tblHorasAbr[Evento 
(1º Período)]&lt;&gt;"",IF(ISERROR(VLOOKUP(tblHorasAbr[Evento 
(1º Período)],tblEvento[],Tabelas!$D$1,FALSE)),FALSE,VLOOKUP(tblHorasAbr[Evento 
(1º Período)],tblEvento[],Tabelas!$D$1,FALSE)="Sim")),
        IF(JORNADA_PERIODO_1&lt;&gt;"",
IF(VLOOKUP(tblHorasAbr[Dia],tblDiaUtil[[Abreviatura]:[1º Período]],3,FALSE)&gt;0,VLOOKUP(tblHorasAbr[Dia],tblDiaUtil[[Abreviatura]:[1º Período]],3,FALSE),JORNADA_PERIODO_1),
IF(VLOOKUP(tblHorasAbr[Dia],tblDiaUtil[[Abreviatura]:[1º Período]],3,FALSE)&gt;0,VLOOKUP(tblHorasAbr[Dia],tblDiaUtil[[Abreviatura]:[1º Período]],3,FALSE),JORNADA/2)),
        IF(AND(ISNUMBER(tblHorasAbr[Saída - 1 (Almoço)]),ISNUMBER(tblHorasAbr[Entrada - 1])),
              IF(OR(AND(tblHorasAbr[Evento 
(1º Período)]&lt;&gt;"",IF(ISERROR(VLOOKUP(tblHorasAbr[Evento 
(1º Período)],tblEvento[],Tabelas!$E$1,FALSE)),FALSE,VLOOKUP(tblHorasAbr[Evento 
(1º Período)],tblEvento[],Tabelas!$E$1,FALSE)="Sim")),IF(VLOOKUP(TEXT(tblHorasAbr[Data],"dddd"),tblDiaUtil[],2,FALSE)="Não",TRUE,FALSE)),
                   tblHorasAbr[Saída - 1 (Almoço)]-tblHorasAbr[Entrada - 1],
                   IF(OR(HOUR(tblHorasAbr[Saída - 1 (Almoço)]-tblHorasAbr[Entrada - 1])&gt;0,ROUND(tblHorasAbr[Saída - 1 (Almoço)]-tblHorasAbr[Entrada - 1],6)&gt;ROUND(CARENCIA,6)),
                          tblHorasAbr[Saída - 1 (Almoço)]-tblHorasAbr[Entrada - 1],
                          0)),
                    0)),0)</f>
        <v>0</v>
      </c>
      <c r="K10" s="4">
        <f>IF($B$6&lt;&gt;"",
IF(AND(tblHorasAbr[Evento 
(2º Período)]&lt;&gt;"",IF(ISERROR(VLOOKUP(tblHorasAbr[Evento 
(2º Período)],tblEvento[],Tabelas!$D$1,FALSE)),FALSE,VLOOKUP(tblHorasAbr[Evento 
(2º Período)],tblEvento[],Tabelas!$D$1,FALSE)="Sim")),
        IF(JORNADA_PERIODO_2&lt;&gt;"",
IF(VLOOKUP(tblHorasAbr[Dia],tblDiaUtil[[Abreviatura]:[2º Período]],4,FALSE)&gt;0,VLOOKUP(tblHorasAbr[Dia],tblDiaUtil[[Abreviatura]:[2º Período]],4,FALSE),JORNADA_PERIODO_2),
IF(VLOOKUP(tblHorasAbr[Dia],tblDiaUtil[[Abreviatura]:[2º Período]],4,FALSE)&gt;0,VLOOKUP(tblHorasAbr[Dia],tblDiaUtil[[Abreviatura]:[2º Período]],4,FALSE),JORNADA/2)),
        IF(AND(ISNUMBER(tblHorasAbr[Saída - 2]),ISNUMBER(tblHorasAbr[Entrada - 2 (Almoço)])),
              IF(OR(AND(tblHorasAbr[Evento 
(2º Período)]&lt;&gt;"",IF(ISERROR(VLOOKUP(tblHorasAbr[Evento 
(2º Período)],tblEvento[],Tabelas!$E$1,FALSE)),FALSE,VLOOKUP(tblHorasAbr[Evento 
(2º Período)],tblEvento[],Tabelas!$E$1,FALSE)="Sim")),IF(VLOOKUP(TEXT(tblHorasAbr[Data],"dddd"),tblDiaUtil[],2,FALSE)="Não",TRUE,FALSE)),
                   tblHorasAbr[Saída - 2]-tblHorasAbr[Entrada - 2 (Almoço)],
                   IF(OR(HOUR(tblHorasAbr[Saída - 2]-tblHorasAbr[Entrada - 2 (Almoço)])&gt;0,MINUTE(tblHorasAbr[Saída - 2]-tblHorasAbr[Entrada - 2 (Almoço)])&gt;CARENCIA),
                         tblHorasAbr[Saída - 2]-tblHorasAbr[Entrada - 2 (Almoço)],
                         0)),
       0)),0)</f>
        <v>0</v>
      </c>
      <c r="L10" s="4">
        <f>tblHorasAbr[Horas Trabalhadas (1º Período)]+tblHorasAbr[Horas Trabalhadas (2º Período)]</f>
        <v>0</v>
      </c>
      <c r="M10" s="4" t="str">
        <f>IF(tblHorasAbr[Data]&lt;&gt;"",
        IF(
AND(VLOOKUP(TEXT(tblHorasAbr[Data],"dddd"),tblDiaUtil[],3,FALSE)="Sim",IF(tblHorasAbr[Evento 
(1º Período)]&lt;&gt;"",IF(VLOOKUP(tblHorasAbr[Evento 
(1º Período)],tblEvento[],Tabelas!$E$1,FALSE)="Sim",FALSE,TRUE),TRUE),IF(tblHorasAbr[Evento 
(2º Período)]&lt;&gt;"",IF(VLOOKUP(tblHorasAbr[Evento 
(2º Período)],tblEvento[],Tabelas!$E$1,FALSE)="Sim",FALSE,TRUE),TRUE)),
              IF(VLOOKUP(tblHorasAbr[Dia],tblDiaUtil[[Abreviatura]:[1º Período]],3,FALSE)&gt;0,VLOOKUP(tblHorasAbr[Dia],tblDiaUtil[[Abreviatura]:[1º Período]],3,FALSE),JORNADA),
              ""),
         "")</f>
        <v/>
      </c>
      <c r="N10" s="14">
        <f>IF(OR(tblHorasAbr[Horas Trabalhadas (1º Período)]&lt;&gt;0,tblHorasAbr[Horas Trabalhadas (2º Período)]&lt;&gt;0),
        IF(ISNUMBER(tblHorasAbr[Jornada Diária]),
              IF(tblHorasAbr[Jornada Diária]&gt;(tblHorasAbr[Horas Trabalhadas (2º Período)]+tblHorasAbr[Horas Trabalhadas (1º Período)]),
                     IF(ROUND((tblHorasAbr[Jornada Diária]-(tblHorasAbr[Horas Trabalhadas (2º Período)]+tblHorasAbr[Horas Trabalhadas (1º Período)])),6)&gt;ROUND(CARENCIA,6),
                           -tblHorasAbr[Jornada Diária]+(tblHorasAbr[Horas Trabalhadas (2º Período)]+tblHorasAbr[Horas Trabalhadas (1º Período)]),
                           0),
                      IF(ROUND((tblHorasAbr[Jornada Diária]-(tblHorasAbr[Horas Trabalhadas (2º Período)]+tblHorasAbr[Horas Trabalhadas (1º Período)])),6)&lt;ROUND(-CARENCIA,6),
                           -tblHorasAbr[Jornada Diária]+(tblHorasAbr[Horas Trabalhadas (2º Período)]+tblHorasAbr[Horas Trabalhadas (1º Período)]),
                           0)),
              tblHorasAbr[Horas Trabalhadas (2º Período)]+tblHorasAbr[Horas Trabalhadas (1º Período)]),
         IF(AND(IF(ISERROR(VLOOKUP(tblHorasAbr[Evento 
(1º Período)],tblEvento[[Evento]:[Libera o Período]],4,FALSE)),FALSE,IF(VLOOKUP(tblHorasAbr[Evento 
(1º Período)],tblEvento[[Evento]:[Libera o Período]],4,FALSE)="Não",TRUE,FALSE)),IF(ISERROR(VLOOKUP(tblHorasAbr[Evento 
(2º Período)],tblEvento[[Evento]:[Libera o Período]],4,FALSE)),FALSE,IF(VLOOKUP(tblHorasAbr[Evento 
(2º Período)],tblEvento[[Evento]:[Libera o Período]],4,FALSE)="Não",TRUE,FALSE))),
-IF(VLOOKUP(tblHorasAbr[Dia],tblDiaUtil[[Abreviatura]:[Total Jornada]],5,FALSE)&lt;&gt;"",VLOOKUP(tblHorasAbr[Dia],tblDiaUtil[[Abreviatura]:[Total Jornada]],5,FALSE),JORNADA),
IF(IF(ISERROR(VLOOKUP(tblHorasAbr[Evento 
(1º Período)],tblEvento[[Evento]:[Libera o Período]],4,FALSE)),FALSE,
IF(VLOOKUP(tblHorasAbr[Evento 
(1º Período)],tblEvento[[Evento]:[Libera o Período]],4,FALSE)="Não",TRUE,FALSE)
),
-IF(VLOOKUP(tblHorasAbr[Dia],tblDiaUtil[[Abreviatura]:[1º Período]],3,FALSE)&lt;&gt;"",VLOOKUP(tblHorasAbr[Dia],tblDiaUtil[[Abreviatura]:[1º Período]],3,FALSE),JORNADA_PERIODO_1),
IF(IF(ISERROR(VLOOKUP(tblHorasAbr[Evento 
(2º Período)],tblEvento[[Evento]:[Libera o Período]],4,FALSE)),FALSE,IF(VLOOKUP(tblHorasAbr[Evento 
(2º Período)],tblEvento[[Evento]:[Libera o Período]],4,FALSE)="Não",TRUE,FALSE)),
-IF(VLOOKUP(tblHorasAbr[Dia],tblDiaUtil[[Abreviatura]:[2º Período]],4,FALSE)&lt;&gt;"",VLOOKUP(tblHorasAbr[Dia],tblDiaUtil[[Abreviatura]:[2º Período]],4,FALSE),JORNADA_PERIODO_2),0))))</f>
        <v>0</v>
      </c>
      <c r="O10" s="14">
        <f>IF(tblHorasAbr[Horas Trabalhadas Além Jornada]&gt;0,
        IF(ISNUMBER(tblHorasAbr[Jornada Diária]),
              IF(HOUR(tblHorasAbr[Horas Trabalhadas Além Jornada])&gt;=VLOOKUP(LIMITE,tblLimiteHora[],Tabelas!$I$1,FALSE),
                    VLOOKUP(LIMITE,tblLimiteHora[],Tabelas!$J$1,FALSE),
                    tblHorasAbr[Horas Trabalhadas Além Jornada]),
              tblHorasAbr[Horas Trabalhadas Além Jornada]),
        tblHorasAbr[Horas Trabalhadas Além Jornada])+O9</f>
        <v>0</v>
      </c>
      <c r="P10" s="14" t="str">
        <f>IF(tblHorasAbr[Horas Trabalhadas Além Jornada]&lt;0,IF(OR(tblHorasAbr[Evento 
(1º Período)]="",tblHorasAbr[Evento 
(2º Período)]=""),tblHorasAbr[Horas Trabalhadas Além Jornada],""),"")</f>
        <v/>
      </c>
      <c r="Q10" s="14" t="str">
        <f>IF(tblHorasAbr[Jornada Diária]&lt;&gt;"",IF((N(tblHorasAbr[Jornada Diária])-ABS(N(tblHorasAbr[Horas Trabalhadas Além Jornada])))=0,1,""),"")</f>
        <v/>
      </c>
      <c r="R10" s="14" t="str">
        <f>IF(tblHorasAbr[Horas Trabalhadas Além Jornada]&gt;0,
IF(AND(VLOOKUP(TEXT(tblHorasAbr[Data],"dddd"),tblDiaUtil[],3,FALSE)="Sim",IF(tblHorasAbr[Evento 
(1º Período)]&lt;&gt;"",IF(VLOOKUP(tblHorasAbr[Evento 
(1º Período)],tblEvento[],Tabelas!$E$1,FALSE)="Sim",FALSE,TRUE),TRUE),IF(tblHorasAbr[Evento 
(2º Período)]&lt;&gt;"",IF(VLOOKUP(tblHorasAbr[Evento 
(2º Período)],tblEvento[],Tabelas!$E$1,FALSE)="Sim",FALSE,TRUE),TRUE)),
tblHorasAbr[Horas Trabalhadas Além Jornada],""),"")</f>
        <v/>
      </c>
      <c r="S10" s="14" t="str">
        <f>IF(tblHorasAbr[Horas Trabalhadas Além Jornada]&gt;0,
IF(OR(VLOOKUP(TEXT(tblHorasAbr[Data],"dddd"),tblDiaUtil[],3,FALSE)="Não",IF(tblHorasAbr[Evento 
(1º Período)]&lt;&gt;"",IF(VLOOKUP(tblHorasAbr[Evento 
(1º Período)],tblEvento[],Tabelas!$E$1,FALSE)="Sim",TRUE,FALSE),FALSE),IF(tblHorasAbr[Evento 
(2º Período)]&lt;&gt;"",IF(VLOOKUP(tblHorasAbr[Evento 
(2º Período)],tblEvento[],Tabelas!$E$1,FALSE)="Sim",TRUE,FALSE),FALSE)),
tblHorasAbr[Horas Trabalhadas Além Jornada],""),"")</f>
        <v/>
      </c>
      <c r="T10" s="15" t="str">
        <f>IF(tblHorasAbr[Evento 
(1º Período)]&lt;&gt;""," - " &amp;VLOOKUP(tblHorasAbr[Evento 
(1º Período)],tblEvento[],Tabelas!$F$1,FALSE),"")&amp;IF(AND(tblHorasAbr[Evento 
(2º Período)]&lt;&gt;"",tblHorasAbr[Evento 
(2º Período)]&lt;&gt;tblHorasAbr[Evento 
(1º Período)])," - " &amp; VLOOKUP(tblHorasAbr[Evento 
(2º Período)],tblEvento[],Tabelas!$F$1,FALSE),"")</f>
        <v/>
      </c>
      <c r="Y10" s="17"/>
    </row>
    <row r="11" spans="2:25" x14ac:dyDescent="0.25">
      <c r="B11" s="11" t="str">
        <f t="shared" ref="B11:B39" si="0">IF(B10&lt;&gt;"",IF(DAY(B10+1)=IF($E$6&lt;&gt;"",$E$6,1),"",B10+1),"")</f>
        <v/>
      </c>
      <c r="C11" s="12" t="str">
        <f>TEXT(tblHorasAbr[Data],"ddd")</f>
        <v/>
      </c>
      <c r="D11" s="25"/>
      <c r="E11" s="1"/>
      <c r="F11" s="1"/>
      <c r="G11" s="1"/>
      <c r="H11" s="1"/>
      <c r="I11" s="53"/>
      <c r="J11" s="4">
        <f>IF($B$6&lt;&gt;"",
IF(AND(tblHorasAbr[Evento 
(1º Período)]&lt;&gt;"",IF(ISERROR(VLOOKUP(tblHorasAbr[Evento 
(1º Período)],tblEvento[],Tabelas!$D$1,FALSE)),FALSE,VLOOKUP(tblHorasAbr[Evento 
(1º Período)],tblEvento[],Tabelas!$D$1,FALSE)="Sim")),
        IF(JORNADA_PERIODO_1&lt;&gt;"",
IF(VLOOKUP(tblHorasAbr[Dia],tblDiaUtil[[Abreviatura]:[1º Período]],3,FALSE)&gt;0,VLOOKUP(tblHorasAbr[Dia],tblDiaUtil[[Abreviatura]:[1º Período]],3,FALSE),JORNADA_PERIODO_1),
IF(VLOOKUP(tblHorasAbr[Dia],tblDiaUtil[[Abreviatura]:[1º Período]],3,FALSE)&gt;0,VLOOKUP(tblHorasAbr[Dia],tblDiaUtil[[Abreviatura]:[1º Período]],3,FALSE),JORNADA/2)),
        IF(AND(ISNUMBER(tblHorasAbr[Saída - 1 (Almoço)]),ISNUMBER(tblHorasAbr[Entrada - 1])),
              IF(OR(AND(tblHorasAbr[Evento 
(1º Período)]&lt;&gt;"",IF(ISERROR(VLOOKUP(tblHorasAbr[Evento 
(1º Período)],tblEvento[],Tabelas!$E$1,FALSE)),FALSE,VLOOKUP(tblHorasAbr[Evento 
(1º Período)],tblEvento[],Tabelas!$E$1,FALSE)="Sim")),IF(VLOOKUP(TEXT(tblHorasAbr[Data],"dddd"),tblDiaUtil[],2,FALSE)="Não",TRUE,FALSE)),
                   tblHorasAbr[Saída - 1 (Almoço)]-tblHorasAbr[Entrada - 1],
                   IF(OR(HOUR(tblHorasAbr[Saída - 1 (Almoço)]-tblHorasAbr[Entrada - 1])&gt;0,ROUND(tblHorasAbr[Saída - 1 (Almoço)]-tblHorasAbr[Entrada - 1],6)&gt;ROUND(CARENCIA,6)),
                          tblHorasAbr[Saída - 1 (Almoço)]-tblHorasAbr[Entrada - 1],
                          0)),
                    0)),0)</f>
        <v>0</v>
      </c>
      <c r="K11" s="4">
        <f>IF($B$6&lt;&gt;"",
IF(AND(tblHorasAbr[Evento 
(2º Período)]&lt;&gt;"",IF(ISERROR(VLOOKUP(tblHorasAbr[Evento 
(2º Período)],tblEvento[],Tabelas!$D$1,FALSE)),FALSE,VLOOKUP(tblHorasAbr[Evento 
(2º Período)],tblEvento[],Tabelas!$D$1,FALSE)="Sim")),
        IF(JORNADA_PERIODO_2&lt;&gt;"",
IF(VLOOKUP(tblHorasAbr[Dia],tblDiaUtil[[Abreviatura]:[2º Período]],4,FALSE)&gt;0,VLOOKUP(tblHorasAbr[Dia],tblDiaUtil[[Abreviatura]:[2º Período]],4,FALSE),JORNADA_PERIODO_2),
IF(VLOOKUP(tblHorasAbr[Dia],tblDiaUtil[[Abreviatura]:[2º Período]],4,FALSE)&gt;0,VLOOKUP(tblHorasAbr[Dia],tblDiaUtil[[Abreviatura]:[2º Período]],4,FALSE),JORNADA/2)),
        IF(AND(ISNUMBER(tblHorasAbr[Saída - 2]),ISNUMBER(tblHorasAbr[Entrada - 2 (Almoço)])),
              IF(OR(AND(tblHorasAbr[Evento 
(2º Período)]&lt;&gt;"",IF(ISERROR(VLOOKUP(tblHorasAbr[Evento 
(2º Período)],tblEvento[],Tabelas!$E$1,FALSE)),FALSE,VLOOKUP(tblHorasAbr[Evento 
(2º Período)],tblEvento[],Tabelas!$E$1,FALSE)="Sim")),IF(VLOOKUP(TEXT(tblHorasAbr[Data],"dddd"),tblDiaUtil[],2,FALSE)="Não",TRUE,FALSE)),
                   tblHorasAbr[Saída - 2]-tblHorasAbr[Entrada - 2 (Almoço)],
                   IF(OR(HOUR(tblHorasAbr[Saída - 2]-tblHorasAbr[Entrada - 2 (Almoço)])&gt;0,MINUTE(tblHorasAbr[Saída - 2]-tblHorasAbr[Entrada - 2 (Almoço)])&gt;CARENCIA),
                         tblHorasAbr[Saída - 2]-tblHorasAbr[Entrada - 2 (Almoço)],
                         0)),
       0)),0)</f>
        <v>0</v>
      </c>
      <c r="L11" s="4">
        <f>tblHorasAbr[Horas Trabalhadas (1º Período)]+tblHorasAbr[Horas Trabalhadas (2º Período)]</f>
        <v>0</v>
      </c>
      <c r="M11" s="4" t="str">
        <f>IF(tblHorasAbr[Data]&lt;&gt;"",
        IF(
AND(VLOOKUP(TEXT(tblHorasAbr[Data],"dddd"),tblDiaUtil[],3,FALSE)="Sim",IF(tblHorasAbr[Evento 
(1º Período)]&lt;&gt;"",IF(VLOOKUP(tblHorasAbr[Evento 
(1º Período)],tblEvento[],Tabelas!$E$1,FALSE)="Sim",FALSE,TRUE),TRUE),IF(tblHorasAbr[Evento 
(2º Período)]&lt;&gt;"",IF(VLOOKUP(tblHorasAbr[Evento 
(2º Período)],tblEvento[],Tabelas!$E$1,FALSE)="Sim",FALSE,TRUE),TRUE)),
              IF(VLOOKUP(tblHorasAbr[Dia],tblDiaUtil[[Abreviatura]:[1º Período]],3,FALSE)&gt;0,VLOOKUP(tblHorasAbr[Dia],tblDiaUtil[[Abreviatura]:[1º Período]],3,FALSE),JORNADA),
              ""),
         "")</f>
        <v/>
      </c>
      <c r="N11" s="14">
        <f>IF(OR(tblHorasAbr[Horas Trabalhadas (1º Período)]&lt;&gt;0,tblHorasAbr[Horas Trabalhadas (2º Período)]&lt;&gt;0),
        IF(ISNUMBER(tblHorasAbr[Jornada Diária]),
              IF(tblHorasAbr[Jornada Diária]&gt;(tblHorasAbr[Horas Trabalhadas (2º Período)]+tblHorasAbr[Horas Trabalhadas (1º Período)]),
                     IF(ROUND((tblHorasAbr[Jornada Diária]-(tblHorasAbr[Horas Trabalhadas (2º Período)]+tblHorasAbr[Horas Trabalhadas (1º Período)])),6)&gt;ROUND(CARENCIA,6),
                           -tblHorasAbr[Jornada Diária]+(tblHorasAbr[Horas Trabalhadas (2º Período)]+tblHorasAbr[Horas Trabalhadas (1º Período)]),
                           0),
                      IF(ROUND((tblHorasAbr[Jornada Diária]-(tblHorasAbr[Horas Trabalhadas (2º Período)]+tblHorasAbr[Horas Trabalhadas (1º Período)])),6)&lt;ROUND(-CARENCIA,6),
                           -tblHorasAbr[Jornada Diária]+(tblHorasAbr[Horas Trabalhadas (2º Período)]+tblHorasAbr[Horas Trabalhadas (1º Período)]),
                           0)),
              tblHorasAbr[Horas Trabalhadas (2º Período)]+tblHorasAbr[Horas Trabalhadas (1º Período)]),
         IF(AND(IF(ISERROR(VLOOKUP(tblHorasAbr[Evento 
(1º Período)],tblEvento[[Evento]:[Libera o Período]],4,FALSE)),FALSE,IF(VLOOKUP(tblHorasAbr[Evento 
(1º Período)],tblEvento[[Evento]:[Libera o Período]],4,FALSE)="Não",TRUE,FALSE)),IF(ISERROR(VLOOKUP(tblHorasAbr[Evento 
(2º Período)],tblEvento[[Evento]:[Libera o Período]],4,FALSE)),FALSE,IF(VLOOKUP(tblHorasAbr[Evento 
(2º Período)],tblEvento[[Evento]:[Libera o Período]],4,FALSE)="Não",TRUE,FALSE))),
-IF(VLOOKUP(tblHorasAbr[Dia],tblDiaUtil[[Abreviatura]:[Total Jornada]],5,FALSE)&lt;&gt;"",VLOOKUP(tblHorasAbr[Dia],tblDiaUtil[[Abreviatura]:[Total Jornada]],5,FALSE),JORNADA),
IF(IF(ISERROR(VLOOKUP(tblHorasAbr[Evento 
(1º Período)],tblEvento[[Evento]:[Libera o Período]],4,FALSE)),FALSE,
IF(VLOOKUP(tblHorasAbr[Evento 
(1º Período)],tblEvento[[Evento]:[Libera o Período]],4,FALSE)="Não",TRUE,FALSE)
),
-IF(VLOOKUP(tblHorasAbr[Dia],tblDiaUtil[[Abreviatura]:[1º Período]],3,FALSE)&lt;&gt;"",VLOOKUP(tblHorasAbr[Dia],tblDiaUtil[[Abreviatura]:[1º Período]],3,FALSE),JORNADA_PERIODO_1),
IF(IF(ISERROR(VLOOKUP(tblHorasAbr[Evento 
(2º Período)],tblEvento[[Evento]:[Libera o Período]],4,FALSE)),FALSE,IF(VLOOKUP(tblHorasAbr[Evento 
(2º Período)],tblEvento[[Evento]:[Libera o Período]],4,FALSE)="Não",TRUE,FALSE)),
-IF(VLOOKUP(tblHorasAbr[Dia],tblDiaUtil[[Abreviatura]:[2º Período]],4,FALSE)&lt;&gt;"",VLOOKUP(tblHorasAbr[Dia],tblDiaUtil[[Abreviatura]:[2º Período]],4,FALSE),JORNADA_PERIODO_2),0))))</f>
        <v>0</v>
      </c>
      <c r="O11" s="14">
        <f>IF(tblHorasAbr[Horas Trabalhadas Além Jornada]&gt;0,
        IF(ISNUMBER(tblHorasAbr[Jornada Diária]),
              IF(HOUR(tblHorasAbr[Horas Trabalhadas Além Jornada])&gt;=VLOOKUP(LIMITE,tblLimiteHora[],Tabelas!$I$1,FALSE),
                    VLOOKUP(LIMITE,tblLimiteHora[],Tabelas!$J$1,FALSE),
                    tblHorasAbr[Horas Trabalhadas Além Jornada]),
              tblHorasAbr[Horas Trabalhadas Além Jornada]),
        tblHorasAbr[Horas Trabalhadas Além Jornada])+O10</f>
        <v>0</v>
      </c>
      <c r="P11" s="14" t="str">
        <f>IF(tblHorasAbr[Horas Trabalhadas Além Jornada]&lt;0,IF(OR(tblHorasAbr[Evento 
(1º Período)]="",tblHorasAbr[Evento 
(2º Período)]=""),tblHorasAbr[Horas Trabalhadas Além Jornada],""),"")</f>
        <v/>
      </c>
      <c r="Q11" s="14" t="str">
        <f>IF(tblHorasAbr[Jornada Diária]&lt;&gt;"",IF((N(tblHorasAbr[Jornada Diária])-ABS(N(tblHorasAbr[Horas Trabalhadas Além Jornada])))=0,1,""),"")</f>
        <v/>
      </c>
      <c r="R11" s="14" t="str">
        <f>IF(tblHorasAbr[Horas Trabalhadas Além Jornada]&gt;0,
IF(AND(VLOOKUP(TEXT(tblHorasAbr[Data],"dddd"),tblDiaUtil[],3,FALSE)="Sim",IF(tblHorasAbr[Evento 
(1º Período)]&lt;&gt;"",IF(VLOOKUP(tblHorasAbr[Evento 
(1º Período)],tblEvento[],Tabelas!$E$1,FALSE)="Sim",FALSE,TRUE),TRUE),IF(tblHorasAbr[Evento 
(2º Período)]&lt;&gt;"",IF(VLOOKUP(tblHorasAbr[Evento 
(2º Período)],tblEvento[],Tabelas!$E$1,FALSE)="Sim",FALSE,TRUE),TRUE)),
tblHorasAbr[Horas Trabalhadas Além Jornada],""),"")</f>
        <v/>
      </c>
      <c r="S11" s="14" t="str">
        <f>IF(tblHorasAbr[Horas Trabalhadas Além Jornada]&gt;0,
IF(OR(VLOOKUP(TEXT(tblHorasAbr[Data],"dddd"),tblDiaUtil[],3,FALSE)="Não",IF(tblHorasAbr[Evento 
(1º Período)]&lt;&gt;"",IF(VLOOKUP(tblHorasAbr[Evento 
(1º Período)],tblEvento[],Tabelas!$E$1,FALSE)="Sim",TRUE,FALSE),FALSE),IF(tblHorasAbr[Evento 
(2º Período)]&lt;&gt;"",IF(VLOOKUP(tblHorasAbr[Evento 
(2º Período)],tblEvento[],Tabelas!$E$1,FALSE)="Sim",TRUE,FALSE),FALSE)),
tblHorasAbr[Horas Trabalhadas Além Jornada],""),"")</f>
        <v/>
      </c>
      <c r="T11" s="15" t="str">
        <f>IF(tblHorasAbr[Evento 
(1º Período)]&lt;&gt;""," - " &amp;VLOOKUP(tblHorasAbr[Evento 
(1º Período)],tblEvento[],Tabelas!$F$1,FALSE),"")&amp;IF(AND(tblHorasAbr[Evento 
(2º Período)]&lt;&gt;"",tblHorasAbr[Evento 
(2º Período)]&lt;&gt;tblHorasAbr[Evento 
(1º Período)])," - " &amp; VLOOKUP(tblHorasAbr[Evento 
(2º Período)],tblEvento[],Tabelas!$F$1,FALSE),"")</f>
        <v/>
      </c>
    </row>
    <row r="12" spans="2:25" x14ac:dyDescent="0.25">
      <c r="B12" s="11" t="str">
        <f t="shared" si="0"/>
        <v/>
      </c>
      <c r="C12" s="12" t="str">
        <f>TEXT(tblHorasAbr[Data],"ddd")</f>
        <v/>
      </c>
      <c r="D12" s="25"/>
      <c r="E12" s="1"/>
      <c r="F12" s="1"/>
      <c r="G12" s="1"/>
      <c r="H12" s="1"/>
      <c r="I12" s="53"/>
      <c r="J12" s="4">
        <f>IF($B$6&lt;&gt;"",
IF(AND(tblHorasAbr[Evento 
(1º Período)]&lt;&gt;"",IF(ISERROR(VLOOKUP(tblHorasAbr[Evento 
(1º Período)],tblEvento[],Tabelas!$D$1,FALSE)),FALSE,VLOOKUP(tblHorasAbr[Evento 
(1º Período)],tblEvento[],Tabelas!$D$1,FALSE)="Sim")),
        IF(JORNADA_PERIODO_1&lt;&gt;"",
IF(VLOOKUP(tblHorasAbr[Dia],tblDiaUtil[[Abreviatura]:[1º Período]],3,FALSE)&gt;0,VLOOKUP(tblHorasAbr[Dia],tblDiaUtil[[Abreviatura]:[1º Período]],3,FALSE),JORNADA_PERIODO_1),
IF(VLOOKUP(tblHorasAbr[Dia],tblDiaUtil[[Abreviatura]:[1º Período]],3,FALSE)&gt;0,VLOOKUP(tblHorasAbr[Dia],tblDiaUtil[[Abreviatura]:[1º Período]],3,FALSE),JORNADA/2)),
        IF(AND(ISNUMBER(tblHorasAbr[Saída - 1 (Almoço)]),ISNUMBER(tblHorasAbr[Entrada - 1])),
              IF(OR(AND(tblHorasAbr[Evento 
(1º Período)]&lt;&gt;"",IF(ISERROR(VLOOKUP(tblHorasAbr[Evento 
(1º Período)],tblEvento[],Tabelas!$E$1,FALSE)),FALSE,VLOOKUP(tblHorasAbr[Evento 
(1º Período)],tblEvento[],Tabelas!$E$1,FALSE)="Sim")),IF(VLOOKUP(TEXT(tblHorasAbr[Data],"dddd"),tblDiaUtil[],2,FALSE)="Não",TRUE,FALSE)),
                   tblHorasAbr[Saída - 1 (Almoço)]-tblHorasAbr[Entrada - 1],
                   IF(OR(HOUR(tblHorasAbr[Saída - 1 (Almoço)]-tblHorasAbr[Entrada - 1])&gt;0,ROUND(tblHorasAbr[Saída - 1 (Almoço)]-tblHorasAbr[Entrada - 1],6)&gt;ROUND(CARENCIA,6)),
                          tblHorasAbr[Saída - 1 (Almoço)]-tblHorasAbr[Entrada - 1],
                          0)),
                    0)),0)</f>
        <v>0</v>
      </c>
      <c r="K12" s="4">
        <f>IF($B$6&lt;&gt;"",
IF(AND(tblHorasAbr[Evento 
(2º Período)]&lt;&gt;"",IF(ISERROR(VLOOKUP(tblHorasAbr[Evento 
(2º Período)],tblEvento[],Tabelas!$D$1,FALSE)),FALSE,VLOOKUP(tblHorasAbr[Evento 
(2º Período)],tblEvento[],Tabelas!$D$1,FALSE)="Sim")),
        IF(JORNADA_PERIODO_2&lt;&gt;"",
IF(VLOOKUP(tblHorasAbr[Dia],tblDiaUtil[[Abreviatura]:[2º Período]],4,FALSE)&gt;0,VLOOKUP(tblHorasAbr[Dia],tblDiaUtil[[Abreviatura]:[2º Período]],4,FALSE),JORNADA_PERIODO_2),
IF(VLOOKUP(tblHorasAbr[Dia],tblDiaUtil[[Abreviatura]:[2º Período]],4,FALSE)&gt;0,VLOOKUP(tblHorasAbr[Dia],tblDiaUtil[[Abreviatura]:[2º Período]],4,FALSE),JORNADA/2)),
        IF(AND(ISNUMBER(tblHorasAbr[Saída - 2]),ISNUMBER(tblHorasAbr[Entrada - 2 (Almoço)])),
              IF(OR(AND(tblHorasAbr[Evento 
(2º Período)]&lt;&gt;"",IF(ISERROR(VLOOKUP(tblHorasAbr[Evento 
(2º Período)],tblEvento[],Tabelas!$E$1,FALSE)),FALSE,VLOOKUP(tblHorasAbr[Evento 
(2º Período)],tblEvento[],Tabelas!$E$1,FALSE)="Sim")),IF(VLOOKUP(TEXT(tblHorasAbr[Data],"dddd"),tblDiaUtil[],2,FALSE)="Não",TRUE,FALSE)),
                   tblHorasAbr[Saída - 2]-tblHorasAbr[Entrada - 2 (Almoço)],
                   IF(OR(HOUR(tblHorasAbr[Saída - 2]-tblHorasAbr[Entrada - 2 (Almoço)])&gt;0,MINUTE(tblHorasAbr[Saída - 2]-tblHorasAbr[Entrada - 2 (Almoço)])&gt;CARENCIA),
                         tblHorasAbr[Saída - 2]-tblHorasAbr[Entrada - 2 (Almoço)],
                         0)),
       0)),0)</f>
        <v>0</v>
      </c>
      <c r="L12" s="4">
        <f>tblHorasAbr[Horas Trabalhadas (1º Período)]+tblHorasAbr[Horas Trabalhadas (2º Período)]</f>
        <v>0</v>
      </c>
      <c r="M12" s="4" t="str">
        <f>IF(tblHorasAbr[Data]&lt;&gt;"",
        IF(
AND(VLOOKUP(TEXT(tblHorasAbr[Data],"dddd"),tblDiaUtil[],3,FALSE)="Sim",IF(tblHorasAbr[Evento 
(1º Período)]&lt;&gt;"",IF(VLOOKUP(tblHorasAbr[Evento 
(1º Período)],tblEvento[],Tabelas!$E$1,FALSE)="Sim",FALSE,TRUE),TRUE),IF(tblHorasAbr[Evento 
(2º Período)]&lt;&gt;"",IF(VLOOKUP(tblHorasAbr[Evento 
(2º Período)],tblEvento[],Tabelas!$E$1,FALSE)="Sim",FALSE,TRUE),TRUE)),
              IF(VLOOKUP(tblHorasAbr[Dia],tblDiaUtil[[Abreviatura]:[1º Período]],3,FALSE)&gt;0,VLOOKUP(tblHorasAbr[Dia],tblDiaUtil[[Abreviatura]:[1º Período]],3,FALSE),JORNADA),
              ""),
         "")</f>
        <v/>
      </c>
      <c r="N12" s="14">
        <f>IF(OR(tblHorasAbr[Horas Trabalhadas (1º Período)]&lt;&gt;0,tblHorasAbr[Horas Trabalhadas (2º Período)]&lt;&gt;0),
        IF(ISNUMBER(tblHorasAbr[Jornada Diária]),
              IF(tblHorasAbr[Jornada Diária]&gt;(tblHorasAbr[Horas Trabalhadas (2º Período)]+tblHorasAbr[Horas Trabalhadas (1º Período)]),
                     IF(ROUND((tblHorasAbr[Jornada Diária]-(tblHorasAbr[Horas Trabalhadas (2º Período)]+tblHorasAbr[Horas Trabalhadas (1º Período)])),6)&gt;ROUND(CARENCIA,6),
                           -tblHorasAbr[Jornada Diária]+(tblHorasAbr[Horas Trabalhadas (2º Período)]+tblHorasAbr[Horas Trabalhadas (1º Período)]),
                           0),
                      IF(ROUND((tblHorasAbr[Jornada Diária]-(tblHorasAbr[Horas Trabalhadas (2º Período)]+tblHorasAbr[Horas Trabalhadas (1º Período)])),6)&lt;ROUND(-CARENCIA,6),
                           -tblHorasAbr[Jornada Diária]+(tblHorasAbr[Horas Trabalhadas (2º Período)]+tblHorasAbr[Horas Trabalhadas (1º Período)]),
                           0)),
              tblHorasAbr[Horas Trabalhadas (2º Período)]+tblHorasAbr[Horas Trabalhadas (1º Período)]),
         IF(AND(IF(ISERROR(VLOOKUP(tblHorasAbr[Evento 
(1º Período)],tblEvento[[Evento]:[Libera o Período]],4,FALSE)),FALSE,IF(VLOOKUP(tblHorasAbr[Evento 
(1º Período)],tblEvento[[Evento]:[Libera o Período]],4,FALSE)="Não",TRUE,FALSE)),IF(ISERROR(VLOOKUP(tblHorasAbr[Evento 
(2º Período)],tblEvento[[Evento]:[Libera o Período]],4,FALSE)),FALSE,IF(VLOOKUP(tblHorasAbr[Evento 
(2º Período)],tblEvento[[Evento]:[Libera o Período]],4,FALSE)="Não",TRUE,FALSE))),
-IF(VLOOKUP(tblHorasAbr[Dia],tblDiaUtil[[Abreviatura]:[Total Jornada]],5,FALSE)&lt;&gt;"",VLOOKUP(tblHorasAbr[Dia],tblDiaUtil[[Abreviatura]:[Total Jornada]],5,FALSE),JORNADA),
IF(IF(ISERROR(VLOOKUP(tblHorasAbr[Evento 
(1º Período)],tblEvento[[Evento]:[Libera o Período]],4,FALSE)),FALSE,
IF(VLOOKUP(tblHorasAbr[Evento 
(1º Período)],tblEvento[[Evento]:[Libera o Período]],4,FALSE)="Não",TRUE,FALSE)
),
-IF(VLOOKUP(tblHorasAbr[Dia],tblDiaUtil[[Abreviatura]:[1º Período]],3,FALSE)&lt;&gt;"",VLOOKUP(tblHorasAbr[Dia],tblDiaUtil[[Abreviatura]:[1º Período]],3,FALSE),JORNADA_PERIODO_1),
IF(IF(ISERROR(VLOOKUP(tblHorasAbr[Evento 
(2º Período)],tblEvento[[Evento]:[Libera o Período]],4,FALSE)),FALSE,IF(VLOOKUP(tblHorasAbr[Evento 
(2º Período)],tblEvento[[Evento]:[Libera o Período]],4,FALSE)="Não",TRUE,FALSE)),
-IF(VLOOKUP(tblHorasAbr[Dia],tblDiaUtil[[Abreviatura]:[2º Período]],4,FALSE)&lt;&gt;"",VLOOKUP(tblHorasAbr[Dia],tblDiaUtil[[Abreviatura]:[2º Período]],4,FALSE),JORNADA_PERIODO_2),0))))</f>
        <v>0</v>
      </c>
      <c r="O12" s="14">
        <f>IF(tblHorasAbr[Horas Trabalhadas Além Jornada]&gt;0,
        IF(ISNUMBER(tblHorasAbr[Jornada Diária]),
              IF(HOUR(tblHorasAbr[Horas Trabalhadas Além Jornada])&gt;=VLOOKUP(LIMITE,tblLimiteHora[],Tabelas!$I$1,FALSE),
                    VLOOKUP(LIMITE,tblLimiteHora[],Tabelas!$J$1,FALSE),
                    tblHorasAbr[Horas Trabalhadas Além Jornada]),
              tblHorasAbr[Horas Trabalhadas Além Jornada]),
        tblHorasAbr[Horas Trabalhadas Além Jornada])+O11</f>
        <v>0</v>
      </c>
      <c r="P12" s="14" t="str">
        <f>IF(tblHorasAbr[Horas Trabalhadas Além Jornada]&lt;0,IF(OR(tblHorasAbr[Evento 
(1º Período)]="",tblHorasAbr[Evento 
(2º Período)]=""),tblHorasAbr[Horas Trabalhadas Além Jornada],""),"")</f>
        <v/>
      </c>
      <c r="Q12" s="14" t="str">
        <f>IF(tblHorasAbr[Jornada Diária]&lt;&gt;"",IF((N(tblHorasAbr[Jornada Diária])-ABS(N(tblHorasAbr[Horas Trabalhadas Além Jornada])))=0,1,""),"")</f>
        <v/>
      </c>
      <c r="R12" s="14" t="str">
        <f>IF(tblHorasAbr[Horas Trabalhadas Além Jornada]&gt;0,
IF(AND(VLOOKUP(TEXT(tblHorasAbr[Data],"dddd"),tblDiaUtil[],3,FALSE)="Sim",IF(tblHorasAbr[Evento 
(1º Período)]&lt;&gt;"",IF(VLOOKUP(tblHorasAbr[Evento 
(1º Período)],tblEvento[],Tabelas!$E$1,FALSE)="Sim",FALSE,TRUE),TRUE),IF(tblHorasAbr[Evento 
(2º Período)]&lt;&gt;"",IF(VLOOKUP(tblHorasAbr[Evento 
(2º Período)],tblEvento[],Tabelas!$E$1,FALSE)="Sim",FALSE,TRUE),TRUE)),
tblHorasAbr[Horas Trabalhadas Além Jornada],""),"")</f>
        <v/>
      </c>
      <c r="S12" s="14" t="str">
        <f>IF(tblHorasAbr[Horas Trabalhadas Além Jornada]&gt;0,
IF(OR(VLOOKUP(TEXT(tblHorasAbr[Data],"dddd"),tblDiaUtil[],3,FALSE)="Não",IF(tblHorasAbr[Evento 
(1º Período)]&lt;&gt;"",IF(VLOOKUP(tblHorasAbr[Evento 
(1º Período)],tblEvento[],Tabelas!$E$1,FALSE)="Sim",TRUE,FALSE),FALSE),IF(tblHorasAbr[Evento 
(2º Período)]&lt;&gt;"",IF(VLOOKUP(tblHorasAbr[Evento 
(2º Período)],tblEvento[],Tabelas!$E$1,FALSE)="Sim",TRUE,FALSE),FALSE)),
tblHorasAbr[Horas Trabalhadas Além Jornada],""),"")</f>
        <v/>
      </c>
      <c r="T12" s="15" t="str">
        <f>IF(tblHorasAbr[Evento 
(1º Período)]&lt;&gt;""," - " &amp;VLOOKUP(tblHorasAbr[Evento 
(1º Período)],tblEvento[],Tabelas!$F$1,FALSE),"")&amp;IF(AND(tblHorasAbr[Evento 
(2º Período)]&lt;&gt;"",tblHorasAbr[Evento 
(2º Período)]&lt;&gt;tblHorasAbr[Evento 
(1º Período)])," - " &amp; VLOOKUP(tblHorasAbr[Evento 
(2º Período)],tblEvento[],Tabelas!$F$1,FALSE),"")</f>
        <v/>
      </c>
    </row>
    <row r="13" spans="2:25" x14ac:dyDescent="0.25">
      <c r="B13" s="11" t="str">
        <f t="shared" si="0"/>
        <v/>
      </c>
      <c r="C13" s="12" t="str">
        <f>TEXT(tblHorasAbr[Data],"ddd")</f>
        <v/>
      </c>
      <c r="D13" s="25"/>
      <c r="E13" s="1"/>
      <c r="F13" s="1"/>
      <c r="G13" s="1"/>
      <c r="H13" s="1"/>
      <c r="I13" s="53"/>
      <c r="J13" s="4">
        <f>IF($B$6&lt;&gt;"",
IF(AND(tblHorasAbr[Evento 
(1º Período)]&lt;&gt;"",IF(ISERROR(VLOOKUP(tblHorasAbr[Evento 
(1º Período)],tblEvento[],Tabelas!$D$1,FALSE)),FALSE,VLOOKUP(tblHorasAbr[Evento 
(1º Período)],tblEvento[],Tabelas!$D$1,FALSE)="Sim")),
        IF(JORNADA_PERIODO_1&lt;&gt;"",
IF(VLOOKUP(tblHorasAbr[Dia],tblDiaUtil[[Abreviatura]:[1º Período]],3,FALSE)&gt;0,VLOOKUP(tblHorasAbr[Dia],tblDiaUtil[[Abreviatura]:[1º Período]],3,FALSE),JORNADA_PERIODO_1),
IF(VLOOKUP(tblHorasAbr[Dia],tblDiaUtil[[Abreviatura]:[1º Período]],3,FALSE)&gt;0,VLOOKUP(tblHorasAbr[Dia],tblDiaUtil[[Abreviatura]:[1º Período]],3,FALSE),JORNADA/2)),
        IF(AND(ISNUMBER(tblHorasAbr[Saída - 1 (Almoço)]),ISNUMBER(tblHorasAbr[Entrada - 1])),
              IF(OR(AND(tblHorasAbr[Evento 
(1º Período)]&lt;&gt;"",IF(ISERROR(VLOOKUP(tblHorasAbr[Evento 
(1º Período)],tblEvento[],Tabelas!$E$1,FALSE)),FALSE,VLOOKUP(tblHorasAbr[Evento 
(1º Período)],tblEvento[],Tabelas!$E$1,FALSE)="Sim")),IF(VLOOKUP(TEXT(tblHorasAbr[Data],"dddd"),tblDiaUtil[],2,FALSE)="Não",TRUE,FALSE)),
                   tblHorasAbr[Saída - 1 (Almoço)]-tblHorasAbr[Entrada - 1],
                   IF(OR(HOUR(tblHorasAbr[Saída - 1 (Almoço)]-tblHorasAbr[Entrada - 1])&gt;0,ROUND(tblHorasAbr[Saída - 1 (Almoço)]-tblHorasAbr[Entrada - 1],6)&gt;ROUND(CARENCIA,6)),
                          tblHorasAbr[Saída - 1 (Almoço)]-tblHorasAbr[Entrada - 1],
                          0)),
                    0)),0)</f>
        <v>0</v>
      </c>
      <c r="K13" s="4">
        <f>IF($B$6&lt;&gt;"",
IF(AND(tblHorasAbr[Evento 
(2º Período)]&lt;&gt;"",IF(ISERROR(VLOOKUP(tblHorasAbr[Evento 
(2º Período)],tblEvento[],Tabelas!$D$1,FALSE)),FALSE,VLOOKUP(tblHorasAbr[Evento 
(2º Período)],tblEvento[],Tabelas!$D$1,FALSE)="Sim")),
        IF(JORNADA_PERIODO_2&lt;&gt;"",
IF(VLOOKUP(tblHorasAbr[Dia],tblDiaUtil[[Abreviatura]:[2º Período]],4,FALSE)&gt;0,VLOOKUP(tblHorasAbr[Dia],tblDiaUtil[[Abreviatura]:[2º Período]],4,FALSE),JORNADA_PERIODO_2),
IF(VLOOKUP(tblHorasAbr[Dia],tblDiaUtil[[Abreviatura]:[2º Período]],4,FALSE)&gt;0,VLOOKUP(tblHorasAbr[Dia],tblDiaUtil[[Abreviatura]:[2º Período]],4,FALSE),JORNADA/2)),
        IF(AND(ISNUMBER(tblHorasAbr[Saída - 2]),ISNUMBER(tblHorasAbr[Entrada - 2 (Almoço)])),
              IF(OR(AND(tblHorasAbr[Evento 
(2º Período)]&lt;&gt;"",IF(ISERROR(VLOOKUP(tblHorasAbr[Evento 
(2º Período)],tblEvento[],Tabelas!$E$1,FALSE)),FALSE,VLOOKUP(tblHorasAbr[Evento 
(2º Período)],tblEvento[],Tabelas!$E$1,FALSE)="Sim")),IF(VLOOKUP(TEXT(tblHorasAbr[Data],"dddd"),tblDiaUtil[],2,FALSE)="Não",TRUE,FALSE)),
                   tblHorasAbr[Saída - 2]-tblHorasAbr[Entrada - 2 (Almoço)],
                   IF(OR(HOUR(tblHorasAbr[Saída - 2]-tblHorasAbr[Entrada - 2 (Almoço)])&gt;0,MINUTE(tblHorasAbr[Saída - 2]-tblHorasAbr[Entrada - 2 (Almoço)])&gt;CARENCIA),
                         tblHorasAbr[Saída - 2]-tblHorasAbr[Entrada - 2 (Almoço)],
                         0)),
       0)),0)</f>
        <v>0</v>
      </c>
      <c r="L13" s="4">
        <f>tblHorasAbr[Horas Trabalhadas (1º Período)]+tblHorasAbr[Horas Trabalhadas (2º Período)]</f>
        <v>0</v>
      </c>
      <c r="M13" s="4" t="str">
        <f>IF(tblHorasAbr[Data]&lt;&gt;"",
        IF(
AND(VLOOKUP(TEXT(tblHorasAbr[Data],"dddd"),tblDiaUtil[],3,FALSE)="Sim",IF(tblHorasAbr[Evento 
(1º Período)]&lt;&gt;"",IF(VLOOKUP(tblHorasAbr[Evento 
(1º Período)],tblEvento[],Tabelas!$E$1,FALSE)="Sim",FALSE,TRUE),TRUE),IF(tblHorasAbr[Evento 
(2º Período)]&lt;&gt;"",IF(VLOOKUP(tblHorasAbr[Evento 
(2º Período)],tblEvento[],Tabelas!$E$1,FALSE)="Sim",FALSE,TRUE),TRUE)),
              IF(VLOOKUP(tblHorasAbr[Dia],tblDiaUtil[[Abreviatura]:[1º Período]],3,FALSE)&gt;0,VLOOKUP(tblHorasAbr[Dia],tblDiaUtil[[Abreviatura]:[1º Período]],3,FALSE),JORNADA),
              ""),
         "")</f>
        <v/>
      </c>
      <c r="N13" s="14">
        <f>IF(OR(tblHorasAbr[Horas Trabalhadas (1º Período)]&lt;&gt;0,tblHorasAbr[Horas Trabalhadas (2º Período)]&lt;&gt;0),
        IF(ISNUMBER(tblHorasAbr[Jornada Diária]),
              IF(tblHorasAbr[Jornada Diária]&gt;(tblHorasAbr[Horas Trabalhadas (2º Período)]+tblHorasAbr[Horas Trabalhadas (1º Período)]),
                     IF(ROUND((tblHorasAbr[Jornada Diária]-(tblHorasAbr[Horas Trabalhadas (2º Período)]+tblHorasAbr[Horas Trabalhadas (1º Período)])),6)&gt;ROUND(CARENCIA,6),
                           -tblHorasAbr[Jornada Diária]+(tblHorasAbr[Horas Trabalhadas (2º Período)]+tblHorasAbr[Horas Trabalhadas (1º Período)]),
                           0),
                      IF(ROUND((tblHorasAbr[Jornada Diária]-(tblHorasAbr[Horas Trabalhadas (2º Período)]+tblHorasAbr[Horas Trabalhadas (1º Período)])),6)&lt;ROUND(-CARENCIA,6),
                           -tblHorasAbr[Jornada Diária]+(tblHorasAbr[Horas Trabalhadas (2º Período)]+tblHorasAbr[Horas Trabalhadas (1º Período)]),
                           0)),
              tblHorasAbr[Horas Trabalhadas (2º Período)]+tblHorasAbr[Horas Trabalhadas (1º Período)]),
         IF(AND(IF(ISERROR(VLOOKUP(tblHorasAbr[Evento 
(1º Período)],tblEvento[[Evento]:[Libera o Período]],4,FALSE)),FALSE,IF(VLOOKUP(tblHorasAbr[Evento 
(1º Período)],tblEvento[[Evento]:[Libera o Período]],4,FALSE)="Não",TRUE,FALSE)),IF(ISERROR(VLOOKUP(tblHorasAbr[Evento 
(2º Período)],tblEvento[[Evento]:[Libera o Período]],4,FALSE)),FALSE,IF(VLOOKUP(tblHorasAbr[Evento 
(2º Período)],tblEvento[[Evento]:[Libera o Período]],4,FALSE)="Não",TRUE,FALSE))),
-IF(VLOOKUP(tblHorasAbr[Dia],tblDiaUtil[[Abreviatura]:[Total Jornada]],5,FALSE)&lt;&gt;"",VLOOKUP(tblHorasAbr[Dia],tblDiaUtil[[Abreviatura]:[Total Jornada]],5,FALSE),JORNADA),
IF(IF(ISERROR(VLOOKUP(tblHorasAbr[Evento 
(1º Período)],tblEvento[[Evento]:[Libera o Período]],4,FALSE)),FALSE,
IF(VLOOKUP(tblHorasAbr[Evento 
(1º Período)],tblEvento[[Evento]:[Libera o Período]],4,FALSE)="Não",TRUE,FALSE)
),
-IF(VLOOKUP(tblHorasAbr[Dia],tblDiaUtil[[Abreviatura]:[1º Período]],3,FALSE)&lt;&gt;"",VLOOKUP(tblHorasAbr[Dia],tblDiaUtil[[Abreviatura]:[1º Período]],3,FALSE),JORNADA_PERIODO_1),
IF(IF(ISERROR(VLOOKUP(tblHorasAbr[Evento 
(2º Período)],tblEvento[[Evento]:[Libera o Período]],4,FALSE)),FALSE,IF(VLOOKUP(tblHorasAbr[Evento 
(2º Período)],tblEvento[[Evento]:[Libera o Período]],4,FALSE)="Não",TRUE,FALSE)),
-IF(VLOOKUP(tblHorasAbr[Dia],tblDiaUtil[[Abreviatura]:[2º Período]],4,FALSE)&lt;&gt;"",VLOOKUP(tblHorasAbr[Dia],tblDiaUtil[[Abreviatura]:[2º Período]],4,FALSE),JORNADA_PERIODO_2),0))))</f>
        <v>0</v>
      </c>
      <c r="O13" s="14">
        <f>IF(tblHorasAbr[Horas Trabalhadas Além Jornada]&gt;0,
        IF(ISNUMBER(tblHorasAbr[Jornada Diária]),
              IF(HOUR(tblHorasAbr[Horas Trabalhadas Além Jornada])&gt;=VLOOKUP(LIMITE,tblLimiteHora[],Tabelas!$I$1,FALSE),
                    VLOOKUP(LIMITE,tblLimiteHora[],Tabelas!$J$1,FALSE),
                    tblHorasAbr[Horas Trabalhadas Além Jornada]),
              tblHorasAbr[Horas Trabalhadas Além Jornada]),
        tblHorasAbr[Horas Trabalhadas Além Jornada])+O12</f>
        <v>0</v>
      </c>
      <c r="P13" s="14" t="str">
        <f>IF(tblHorasAbr[Horas Trabalhadas Além Jornada]&lt;0,IF(OR(tblHorasAbr[Evento 
(1º Período)]="",tblHorasAbr[Evento 
(2º Período)]=""),tblHorasAbr[Horas Trabalhadas Além Jornada],""),"")</f>
        <v/>
      </c>
      <c r="Q13" s="14" t="str">
        <f>IF(tblHorasAbr[Jornada Diária]&lt;&gt;"",IF((N(tblHorasAbr[Jornada Diária])-ABS(N(tblHorasAbr[Horas Trabalhadas Além Jornada])))=0,1,""),"")</f>
        <v/>
      </c>
      <c r="R13" s="14" t="str">
        <f>IF(tblHorasAbr[Horas Trabalhadas Além Jornada]&gt;0,
IF(AND(VLOOKUP(TEXT(tblHorasAbr[Data],"dddd"),tblDiaUtil[],3,FALSE)="Sim",IF(tblHorasAbr[Evento 
(1º Período)]&lt;&gt;"",IF(VLOOKUP(tblHorasAbr[Evento 
(1º Período)],tblEvento[],Tabelas!$E$1,FALSE)="Sim",FALSE,TRUE),TRUE),IF(tblHorasAbr[Evento 
(2º Período)]&lt;&gt;"",IF(VLOOKUP(tblHorasAbr[Evento 
(2º Período)],tblEvento[],Tabelas!$E$1,FALSE)="Sim",FALSE,TRUE),TRUE)),
tblHorasAbr[Horas Trabalhadas Além Jornada],""),"")</f>
        <v/>
      </c>
      <c r="S13" s="14" t="str">
        <f>IF(tblHorasAbr[Horas Trabalhadas Além Jornada]&gt;0,
IF(OR(VLOOKUP(TEXT(tblHorasAbr[Data],"dddd"),tblDiaUtil[],3,FALSE)="Não",IF(tblHorasAbr[Evento 
(1º Período)]&lt;&gt;"",IF(VLOOKUP(tblHorasAbr[Evento 
(1º Período)],tblEvento[],Tabelas!$E$1,FALSE)="Sim",TRUE,FALSE),FALSE),IF(tblHorasAbr[Evento 
(2º Período)]&lt;&gt;"",IF(VLOOKUP(tblHorasAbr[Evento 
(2º Período)],tblEvento[],Tabelas!$E$1,FALSE)="Sim",TRUE,FALSE),FALSE)),
tblHorasAbr[Horas Trabalhadas Além Jornada],""),"")</f>
        <v/>
      </c>
      <c r="T13" s="15" t="str">
        <f>IF(tblHorasAbr[Evento 
(1º Período)]&lt;&gt;""," - " &amp;VLOOKUP(tblHorasAbr[Evento 
(1º Período)],tblEvento[],Tabelas!$F$1,FALSE),"")&amp;IF(AND(tblHorasAbr[Evento 
(2º Período)]&lt;&gt;"",tblHorasAbr[Evento 
(2º Período)]&lt;&gt;tblHorasAbr[Evento 
(1º Período)])," - " &amp; VLOOKUP(tblHorasAbr[Evento 
(2º Período)],tblEvento[],Tabelas!$F$1,FALSE),"")</f>
        <v/>
      </c>
    </row>
    <row r="14" spans="2:25" x14ac:dyDescent="0.25">
      <c r="B14" s="11" t="str">
        <f t="shared" si="0"/>
        <v/>
      </c>
      <c r="C14" s="12" t="str">
        <f>TEXT(tblHorasAbr[Data],"ddd")</f>
        <v/>
      </c>
      <c r="D14" s="25"/>
      <c r="E14" s="1"/>
      <c r="F14" s="1"/>
      <c r="G14" s="1"/>
      <c r="H14" s="1"/>
      <c r="I14" s="53"/>
      <c r="J14" s="4">
        <f>IF($B$6&lt;&gt;"",
IF(AND(tblHorasAbr[Evento 
(1º Período)]&lt;&gt;"",IF(ISERROR(VLOOKUP(tblHorasAbr[Evento 
(1º Período)],tblEvento[],Tabelas!$D$1,FALSE)),FALSE,VLOOKUP(tblHorasAbr[Evento 
(1º Período)],tblEvento[],Tabelas!$D$1,FALSE)="Sim")),
        IF(JORNADA_PERIODO_1&lt;&gt;"",
IF(VLOOKUP(tblHorasAbr[Dia],tblDiaUtil[[Abreviatura]:[1º Período]],3,FALSE)&gt;0,VLOOKUP(tblHorasAbr[Dia],tblDiaUtil[[Abreviatura]:[1º Período]],3,FALSE),JORNADA_PERIODO_1),
IF(VLOOKUP(tblHorasAbr[Dia],tblDiaUtil[[Abreviatura]:[1º Período]],3,FALSE)&gt;0,VLOOKUP(tblHorasAbr[Dia],tblDiaUtil[[Abreviatura]:[1º Período]],3,FALSE),JORNADA/2)),
        IF(AND(ISNUMBER(tblHorasAbr[Saída - 1 (Almoço)]),ISNUMBER(tblHorasAbr[Entrada - 1])),
              IF(OR(AND(tblHorasAbr[Evento 
(1º Período)]&lt;&gt;"",IF(ISERROR(VLOOKUP(tblHorasAbr[Evento 
(1º Período)],tblEvento[],Tabelas!$E$1,FALSE)),FALSE,VLOOKUP(tblHorasAbr[Evento 
(1º Período)],tblEvento[],Tabelas!$E$1,FALSE)="Sim")),IF(VLOOKUP(TEXT(tblHorasAbr[Data],"dddd"),tblDiaUtil[],2,FALSE)="Não",TRUE,FALSE)),
                   tblHorasAbr[Saída - 1 (Almoço)]-tblHorasAbr[Entrada - 1],
                   IF(OR(HOUR(tblHorasAbr[Saída - 1 (Almoço)]-tblHorasAbr[Entrada - 1])&gt;0,ROUND(tblHorasAbr[Saída - 1 (Almoço)]-tblHorasAbr[Entrada - 1],6)&gt;ROUND(CARENCIA,6)),
                          tblHorasAbr[Saída - 1 (Almoço)]-tblHorasAbr[Entrada - 1],
                          0)),
                    0)),0)</f>
        <v>0</v>
      </c>
      <c r="K14" s="4">
        <f>IF($B$6&lt;&gt;"",
IF(AND(tblHorasAbr[Evento 
(2º Período)]&lt;&gt;"",IF(ISERROR(VLOOKUP(tblHorasAbr[Evento 
(2º Período)],tblEvento[],Tabelas!$D$1,FALSE)),FALSE,VLOOKUP(tblHorasAbr[Evento 
(2º Período)],tblEvento[],Tabelas!$D$1,FALSE)="Sim")),
        IF(JORNADA_PERIODO_2&lt;&gt;"",
IF(VLOOKUP(tblHorasAbr[Dia],tblDiaUtil[[Abreviatura]:[2º Período]],4,FALSE)&gt;0,VLOOKUP(tblHorasAbr[Dia],tblDiaUtil[[Abreviatura]:[2º Período]],4,FALSE),JORNADA_PERIODO_2),
IF(VLOOKUP(tblHorasAbr[Dia],tblDiaUtil[[Abreviatura]:[2º Período]],4,FALSE)&gt;0,VLOOKUP(tblHorasAbr[Dia],tblDiaUtil[[Abreviatura]:[2º Período]],4,FALSE),JORNADA/2)),
        IF(AND(ISNUMBER(tblHorasAbr[Saída - 2]),ISNUMBER(tblHorasAbr[Entrada - 2 (Almoço)])),
              IF(OR(AND(tblHorasAbr[Evento 
(2º Período)]&lt;&gt;"",IF(ISERROR(VLOOKUP(tblHorasAbr[Evento 
(2º Período)],tblEvento[],Tabelas!$E$1,FALSE)),FALSE,VLOOKUP(tblHorasAbr[Evento 
(2º Período)],tblEvento[],Tabelas!$E$1,FALSE)="Sim")),IF(VLOOKUP(TEXT(tblHorasAbr[Data],"dddd"),tblDiaUtil[],2,FALSE)="Não",TRUE,FALSE)),
                   tblHorasAbr[Saída - 2]-tblHorasAbr[Entrada - 2 (Almoço)],
                   IF(OR(HOUR(tblHorasAbr[Saída - 2]-tblHorasAbr[Entrada - 2 (Almoço)])&gt;0,MINUTE(tblHorasAbr[Saída - 2]-tblHorasAbr[Entrada - 2 (Almoço)])&gt;CARENCIA),
                         tblHorasAbr[Saída - 2]-tblHorasAbr[Entrada - 2 (Almoço)],
                         0)),
       0)),0)</f>
        <v>0</v>
      </c>
      <c r="L14" s="4">
        <f>tblHorasAbr[Horas Trabalhadas (1º Período)]+tblHorasAbr[Horas Trabalhadas (2º Período)]</f>
        <v>0</v>
      </c>
      <c r="M14" s="4" t="str">
        <f>IF(tblHorasAbr[Data]&lt;&gt;"",
        IF(
AND(VLOOKUP(TEXT(tblHorasAbr[Data],"dddd"),tblDiaUtil[],3,FALSE)="Sim",IF(tblHorasAbr[Evento 
(1º Período)]&lt;&gt;"",IF(VLOOKUP(tblHorasAbr[Evento 
(1º Período)],tblEvento[],Tabelas!$E$1,FALSE)="Sim",FALSE,TRUE),TRUE),IF(tblHorasAbr[Evento 
(2º Período)]&lt;&gt;"",IF(VLOOKUP(tblHorasAbr[Evento 
(2º Período)],tblEvento[],Tabelas!$E$1,FALSE)="Sim",FALSE,TRUE),TRUE)),
              IF(VLOOKUP(tblHorasAbr[Dia],tblDiaUtil[[Abreviatura]:[1º Período]],3,FALSE)&gt;0,VLOOKUP(tblHorasAbr[Dia],tblDiaUtil[[Abreviatura]:[1º Período]],3,FALSE),JORNADA),
              ""),
         "")</f>
        <v/>
      </c>
      <c r="N14" s="14">
        <f>IF(OR(tblHorasAbr[Horas Trabalhadas (1º Período)]&lt;&gt;0,tblHorasAbr[Horas Trabalhadas (2º Período)]&lt;&gt;0),
        IF(ISNUMBER(tblHorasAbr[Jornada Diária]),
              IF(tblHorasAbr[Jornada Diária]&gt;(tblHorasAbr[Horas Trabalhadas (2º Período)]+tblHorasAbr[Horas Trabalhadas (1º Período)]),
                     IF(ROUND((tblHorasAbr[Jornada Diária]-(tblHorasAbr[Horas Trabalhadas (2º Período)]+tblHorasAbr[Horas Trabalhadas (1º Período)])),6)&gt;ROUND(CARENCIA,6),
                           -tblHorasAbr[Jornada Diária]+(tblHorasAbr[Horas Trabalhadas (2º Período)]+tblHorasAbr[Horas Trabalhadas (1º Período)]),
                           0),
                      IF(ROUND((tblHorasAbr[Jornada Diária]-(tblHorasAbr[Horas Trabalhadas (2º Período)]+tblHorasAbr[Horas Trabalhadas (1º Período)])),6)&lt;ROUND(-CARENCIA,6),
                           -tblHorasAbr[Jornada Diária]+(tblHorasAbr[Horas Trabalhadas (2º Período)]+tblHorasAbr[Horas Trabalhadas (1º Período)]),
                           0)),
              tblHorasAbr[Horas Trabalhadas (2º Período)]+tblHorasAbr[Horas Trabalhadas (1º Período)]),
         IF(AND(IF(ISERROR(VLOOKUP(tblHorasAbr[Evento 
(1º Período)],tblEvento[[Evento]:[Libera o Período]],4,FALSE)),FALSE,IF(VLOOKUP(tblHorasAbr[Evento 
(1º Período)],tblEvento[[Evento]:[Libera o Período]],4,FALSE)="Não",TRUE,FALSE)),IF(ISERROR(VLOOKUP(tblHorasAbr[Evento 
(2º Período)],tblEvento[[Evento]:[Libera o Período]],4,FALSE)),FALSE,IF(VLOOKUP(tblHorasAbr[Evento 
(2º Período)],tblEvento[[Evento]:[Libera o Período]],4,FALSE)="Não",TRUE,FALSE))),
-IF(VLOOKUP(tblHorasAbr[Dia],tblDiaUtil[[Abreviatura]:[Total Jornada]],5,FALSE)&lt;&gt;"",VLOOKUP(tblHorasAbr[Dia],tblDiaUtil[[Abreviatura]:[Total Jornada]],5,FALSE),JORNADA),
IF(IF(ISERROR(VLOOKUP(tblHorasAbr[Evento 
(1º Período)],tblEvento[[Evento]:[Libera o Período]],4,FALSE)),FALSE,
IF(VLOOKUP(tblHorasAbr[Evento 
(1º Período)],tblEvento[[Evento]:[Libera o Período]],4,FALSE)="Não",TRUE,FALSE)
),
-IF(VLOOKUP(tblHorasAbr[Dia],tblDiaUtil[[Abreviatura]:[1º Período]],3,FALSE)&lt;&gt;"",VLOOKUP(tblHorasAbr[Dia],tblDiaUtil[[Abreviatura]:[1º Período]],3,FALSE),JORNADA_PERIODO_1),
IF(IF(ISERROR(VLOOKUP(tblHorasAbr[Evento 
(2º Período)],tblEvento[[Evento]:[Libera o Período]],4,FALSE)),FALSE,IF(VLOOKUP(tblHorasAbr[Evento 
(2º Período)],tblEvento[[Evento]:[Libera o Período]],4,FALSE)="Não",TRUE,FALSE)),
-IF(VLOOKUP(tblHorasAbr[Dia],tblDiaUtil[[Abreviatura]:[2º Período]],4,FALSE)&lt;&gt;"",VLOOKUP(tblHorasAbr[Dia],tblDiaUtil[[Abreviatura]:[2º Período]],4,FALSE),JORNADA_PERIODO_2),0))))</f>
        <v>0</v>
      </c>
      <c r="O14" s="14">
        <f>IF(tblHorasAbr[Horas Trabalhadas Além Jornada]&gt;0,
        IF(ISNUMBER(tblHorasAbr[Jornada Diária]),
              IF(HOUR(tblHorasAbr[Horas Trabalhadas Além Jornada])&gt;=VLOOKUP(LIMITE,tblLimiteHora[],Tabelas!$I$1,FALSE),
                    VLOOKUP(LIMITE,tblLimiteHora[],Tabelas!$J$1,FALSE),
                    tblHorasAbr[Horas Trabalhadas Além Jornada]),
              tblHorasAbr[Horas Trabalhadas Além Jornada]),
        tblHorasAbr[Horas Trabalhadas Além Jornada])+O13</f>
        <v>0</v>
      </c>
      <c r="P14" s="14" t="str">
        <f>IF(tblHorasAbr[Horas Trabalhadas Além Jornada]&lt;0,IF(OR(tblHorasAbr[Evento 
(1º Período)]="",tblHorasAbr[Evento 
(2º Período)]=""),tblHorasAbr[Horas Trabalhadas Além Jornada],""),"")</f>
        <v/>
      </c>
      <c r="Q14" s="14" t="str">
        <f>IF(tblHorasAbr[Jornada Diária]&lt;&gt;"",IF((N(tblHorasAbr[Jornada Diária])-ABS(N(tblHorasAbr[Horas Trabalhadas Além Jornada])))=0,1,""),"")</f>
        <v/>
      </c>
      <c r="R14" s="14" t="str">
        <f>IF(tblHorasAbr[Horas Trabalhadas Além Jornada]&gt;0,
IF(AND(VLOOKUP(TEXT(tblHorasAbr[Data],"dddd"),tblDiaUtil[],3,FALSE)="Sim",IF(tblHorasAbr[Evento 
(1º Período)]&lt;&gt;"",IF(VLOOKUP(tblHorasAbr[Evento 
(1º Período)],tblEvento[],Tabelas!$E$1,FALSE)="Sim",FALSE,TRUE),TRUE),IF(tblHorasAbr[Evento 
(2º Período)]&lt;&gt;"",IF(VLOOKUP(tblHorasAbr[Evento 
(2º Período)],tblEvento[],Tabelas!$E$1,FALSE)="Sim",FALSE,TRUE),TRUE)),
tblHorasAbr[Horas Trabalhadas Além Jornada],""),"")</f>
        <v/>
      </c>
      <c r="S14" s="14" t="str">
        <f>IF(tblHorasAbr[Horas Trabalhadas Além Jornada]&gt;0,
IF(OR(VLOOKUP(TEXT(tblHorasAbr[Data],"dddd"),tblDiaUtil[],3,FALSE)="Não",IF(tblHorasAbr[Evento 
(1º Período)]&lt;&gt;"",IF(VLOOKUP(tblHorasAbr[Evento 
(1º Período)],tblEvento[],Tabelas!$E$1,FALSE)="Sim",TRUE,FALSE),FALSE),IF(tblHorasAbr[Evento 
(2º Período)]&lt;&gt;"",IF(VLOOKUP(tblHorasAbr[Evento 
(2º Período)],tblEvento[],Tabelas!$E$1,FALSE)="Sim",TRUE,FALSE),FALSE)),
tblHorasAbr[Horas Trabalhadas Além Jornada],""),"")</f>
        <v/>
      </c>
      <c r="T14" s="15" t="str">
        <f>IF(tblHorasAbr[Evento 
(1º Período)]&lt;&gt;""," - " &amp;VLOOKUP(tblHorasAbr[Evento 
(1º Período)],tblEvento[],Tabelas!$F$1,FALSE),"")&amp;IF(AND(tblHorasAbr[Evento 
(2º Período)]&lt;&gt;"",tblHorasAbr[Evento 
(2º Período)]&lt;&gt;tblHorasAbr[Evento 
(1º Período)])," - " &amp; VLOOKUP(tblHorasAbr[Evento 
(2º Período)],tblEvento[],Tabelas!$F$1,FALSE),"")</f>
        <v/>
      </c>
      <c r="X14" s="18"/>
      <c r="Y14" s="18"/>
    </row>
    <row r="15" spans="2:25" x14ac:dyDescent="0.25">
      <c r="B15" s="11" t="str">
        <f t="shared" si="0"/>
        <v/>
      </c>
      <c r="C15" s="12" t="str">
        <f>TEXT(tblHorasAbr[Data],"ddd")</f>
        <v/>
      </c>
      <c r="D15" s="25"/>
      <c r="E15" s="1"/>
      <c r="F15" s="1"/>
      <c r="G15" s="1"/>
      <c r="H15" s="1"/>
      <c r="I15" s="53"/>
      <c r="J15" s="4">
        <f>IF($B$6&lt;&gt;"",
IF(AND(tblHorasAbr[Evento 
(1º Período)]&lt;&gt;"",IF(ISERROR(VLOOKUP(tblHorasAbr[Evento 
(1º Período)],tblEvento[],Tabelas!$D$1,FALSE)),FALSE,VLOOKUP(tblHorasAbr[Evento 
(1º Período)],tblEvento[],Tabelas!$D$1,FALSE)="Sim")),
        IF(JORNADA_PERIODO_1&lt;&gt;"",
IF(VLOOKUP(tblHorasAbr[Dia],tblDiaUtil[[Abreviatura]:[1º Período]],3,FALSE)&gt;0,VLOOKUP(tblHorasAbr[Dia],tblDiaUtil[[Abreviatura]:[1º Período]],3,FALSE),JORNADA_PERIODO_1),
IF(VLOOKUP(tblHorasAbr[Dia],tblDiaUtil[[Abreviatura]:[1º Período]],3,FALSE)&gt;0,VLOOKUP(tblHorasAbr[Dia],tblDiaUtil[[Abreviatura]:[1º Período]],3,FALSE),JORNADA/2)),
        IF(AND(ISNUMBER(tblHorasAbr[Saída - 1 (Almoço)]),ISNUMBER(tblHorasAbr[Entrada - 1])),
              IF(OR(AND(tblHorasAbr[Evento 
(1º Período)]&lt;&gt;"",IF(ISERROR(VLOOKUP(tblHorasAbr[Evento 
(1º Período)],tblEvento[],Tabelas!$E$1,FALSE)),FALSE,VLOOKUP(tblHorasAbr[Evento 
(1º Período)],tblEvento[],Tabelas!$E$1,FALSE)="Sim")),IF(VLOOKUP(TEXT(tblHorasAbr[Data],"dddd"),tblDiaUtil[],2,FALSE)="Não",TRUE,FALSE)),
                   tblHorasAbr[Saída - 1 (Almoço)]-tblHorasAbr[Entrada - 1],
                   IF(OR(HOUR(tblHorasAbr[Saída - 1 (Almoço)]-tblHorasAbr[Entrada - 1])&gt;0,ROUND(tblHorasAbr[Saída - 1 (Almoço)]-tblHorasAbr[Entrada - 1],6)&gt;ROUND(CARENCIA,6)),
                          tblHorasAbr[Saída - 1 (Almoço)]-tblHorasAbr[Entrada - 1],
                          0)),
                    0)),0)</f>
        <v>0</v>
      </c>
      <c r="K15" s="4">
        <f>IF($B$6&lt;&gt;"",
IF(AND(tblHorasAbr[Evento 
(2º Período)]&lt;&gt;"",IF(ISERROR(VLOOKUP(tblHorasAbr[Evento 
(2º Período)],tblEvento[],Tabelas!$D$1,FALSE)),FALSE,VLOOKUP(tblHorasAbr[Evento 
(2º Período)],tblEvento[],Tabelas!$D$1,FALSE)="Sim")),
        IF(JORNADA_PERIODO_2&lt;&gt;"",
IF(VLOOKUP(tblHorasAbr[Dia],tblDiaUtil[[Abreviatura]:[2º Período]],4,FALSE)&gt;0,VLOOKUP(tblHorasAbr[Dia],tblDiaUtil[[Abreviatura]:[2º Período]],4,FALSE),JORNADA_PERIODO_2),
IF(VLOOKUP(tblHorasAbr[Dia],tblDiaUtil[[Abreviatura]:[2º Período]],4,FALSE)&gt;0,VLOOKUP(tblHorasAbr[Dia],tblDiaUtil[[Abreviatura]:[2º Período]],4,FALSE),JORNADA/2)),
        IF(AND(ISNUMBER(tblHorasAbr[Saída - 2]),ISNUMBER(tblHorasAbr[Entrada - 2 (Almoço)])),
              IF(OR(AND(tblHorasAbr[Evento 
(2º Período)]&lt;&gt;"",IF(ISERROR(VLOOKUP(tblHorasAbr[Evento 
(2º Período)],tblEvento[],Tabelas!$E$1,FALSE)),FALSE,VLOOKUP(tblHorasAbr[Evento 
(2º Período)],tblEvento[],Tabelas!$E$1,FALSE)="Sim")),IF(VLOOKUP(TEXT(tblHorasAbr[Data],"dddd"),tblDiaUtil[],2,FALSE)="Não",TRUE,FALSE)),
                   tblHorasAbr[Saída - 2]-tblHorasAbr[Entrada - 2 (Almoço)],
                   IF(OR(HOUR(tblHorasAbr[Saída - 2]-tblHorasAbr[Entrada - 2 (Almoço)])&gt;0,MINUTE(tblHorasAbr[Saída - 2]-tblHorasAbr[Entrada - 2 (Almoço)])&gt;CARENCIA),
                         tblHorasAbr[Saída - 2]-tblHorasAbr[Entrada - 2 (Almoço)],
                         0)),
       0)),0)</f>
        <v>0</v>
      </c>
      <c r="L15" s="4">
        <f>tblHorasAbr[Horas Trabalhadas (1º Período)]+tblHorasAbr[Horas Trabalhadas (2º Período)]</f>
        <v>0</v>
      </c>
      <c r="M15" s="4" t="str">
        <f>IF(tblHorasAbr[Data]&lt;&gt;"",
        IF(
AND(VLOOKUP(TEXT(tblHorasAbr[Data],"dddd"),tblDiaUtil[],3,FALSE)="Sim",IF(tblHorasAbr[Evento 
(1º Período)]&lt;&gt;"",IF(VLOOKUP(tblHorasAbr[Evento 
(1º Período)],tblEvento[],Tabelas!$E$1,FALSE)="Sim",FALSE,TRUE),TRUE),IF(tblHorasAbr[Evento 
(2º Período)]&lt;&gt;"",IF(VLOOKUP(tblHorasAbr[Evento 
(2º Período)],tblEvento[],Tabelas!$E$1,FALSE)="Sim",FALSE,TRUE),TRUE)),
              IF(VLOOKUP(tblHorasAbr[Dia],tblDiaUtil[[Abreviatura]:[1º Período]],3,FALSE)&gt;0,VLOOKUP(tblHorasAbr[Dia],tblDiaUtil[[Abreviatura]:[1º Período]],3,FALSE),JORNADA),
              ""),
         "")</f>
        <v/>
      </c>
      <c r="N15" s="14">
        <f>IF(OR(tblHorasAbr[Horas Trabalhadas (1º Período)]&lt;&gt;0,tblHorasAbr[Horas Trabalhadas (2º Período)]&lt;&gt;0),
        IF(ISNUMBER(tblHorasAbr[Jornada Diária]),
              IF(tblHorasAbr[Jornada Diária]&gt;(tblHorasAbr[Horas Trabalhadas (2º Período)]+tblHorasAbr[Horas Trabalhadas (1º Período)]),
                     IF(ROUND((tblHorasAbr[Jornada Diária]-(tblHorasAbr[Horas Trabalhadas (2º Período)]+tblHorasAbr[Horas Trabalhadas (1º Período)])),6)&gt;ROUND(CARENCIA,6),
                           -tblHorasAbr[Jornada Diária]+(tblHorasAbr[Horas Trabalhadas (2º Período)]+tblHorasAbr[Horas Trabalhadas (1º Período)]),
                           0),
                      IF(ROUND((tblHorasAbr[Jornada Diária]-(tblHorasAbr[Horas Trabalhadas (2º Período)]+tblHorasAbr[Horas Trabalhadas (1º Período)])),6)&lt;ROUND(-CARENCIA,6),
                           -tblHorasAbr[Jornada Diária]+(tblHorasAbr[Horas Trabalhadas (2º Período)]+tblHorasAbr[Horas Trabalhadas (1º Período)]),
                           0)),
              tblHorasAbr[Horas Trabalhadas (2º Período)]+tblHorasAbr[Horas Trabalhadas (1º Período)]),
         IF(AND(IF(ISERROR(VLOOKUP(tblHorasAbr[Evento 
(1º Período)],tblEvento[[Evento]:[Libera o Período]],4,FALSE)),FALSE,IF(VLOOKUP(tblHorasAbr[Evento 
(1º Período)],tblEvento[[Evento]:[Libera o Período]],4,FALSE)="Não",TRUE,FALSE)),IF(ISERROR(VLOOKUP(tblHorasAbr[Evento 
(2º Período)],tblEvento[[Evento]:[Libera o Período]],4,FALSE)),FALSE,IF(VLOOKUP(tblHorasAbr[Evento 
(2º Período)],tblEvento[[Evento]:[Libera o Período]],4,FALSE)="Não",TRUE,FALSE))),
-IF(VLOOKUP(tblHorasAbr[Dia],tblDiaUtil[[Abreviatura]:[Total Jornada]],5,FALSE)&lt;&gt;"",VLOOKUP(tblHorasAbr[Dia],tblDiaUtil[[Abreviatura]:[Total Jornada]],5,FALSE),JORNADA),
IF(IF(ISERROR(VLOOKUP(tblHorasAbr[Evento 
(1º Período)],tblEvento[[Evento]:[Libera o Período]],4,FALSE)),FALSE,
IF(VLOOKUP(tblHorasAbr[Evento 
(1º Período)],tblEvento[[Evento]:[Libera o Período]],4,FALSE)="Não",TRUE,FALSE)
),
-IF(VLOOKUP(tblHorasAbr[Dia],tblDiaUtil[[Abreviatura]:[1º Período]],3,FALSE)&lt;&gt;"",VLOOKUP(tblHorasAbr[Dia],tblDiaUtil[[Abreviatura]:[1º Período]],3,FALSE),JORNADA_PERIODO_1),
IF(IF(ISERROR(VLOOKUP(tblHorasAbr[Evento 
(2º Período)],tblEvento[[Evento]:[Libera o Período]],4,FALSE)),FALSE,IF(VLOOKUP(tblHorasAbr[Evento 
(2º Período)],tblEvento[[Evento]:[Libera o Período]],4,FALSE)="Não",TRUE,FALSE)),
-IF(VLOOKUP(tblHorasAbr[Dia],tblDiaUtil[[Abreviatura]:[2º Período]],4,FALSE)&lt;&gt;"",VLOOKUP(tblHorasAbr[Dia],tblDiaUtil[[Abreviatura]:[2º Período]],4,FALSE),JORNADA_PERIODO_2),0))))</f>
        <v>0</v>
      </c>
      <c r="O15" s="14">
        <f>IF(tblHorasAbr[Horas Trabalhadas Além Jornada]&gt;0,
        IF(ISNUMBER(tblHorasAbr[Jornada Diária]),
              IF(HOUR(tblHorasAbr[Horas Trabalhadas Além Jornada])&gt;=VLOOKUP(LIMITE,tblLimiteHora[],Tabelas!$I$1,FALSE),
                    VLOOKUP(LIMITE,tblLimiteHora[],Tabelas!$J$1,FALSE),
                    tblHorasAbr[Horas Trabalhadas Além Jornada]),
              tblHorasAbr[Horas Trabalhadas Além Jornada]),
        tblHorasAbr[Horas Trabalhadas Além Jornada])+O14</f>
        <v>0</v>
      </c>
      <c r="P15" s="14" t="str">
        <f>IF(tblHorasAbr[Horas Trabalhadas Além Jornada]&lt;0,IF(OR(tblHorasAbr[Evento 
(1º Período)]="",tblHorasAbr[Evento 
(2º Período)]=""),tblHorasAbr[Horas Trabalhadas Além Jornada],""),"")</f>
        <v/>
      </c>
      <c r="Q15" s="14" t="str">
        <f>IF(tblHorasAbr[Jornada Diária]&lt;&gt;"",IF((N(tblHorasAbr[Jornada Diária])-ABS(N(tblHorasAbr[Horas Trabalhadas Além Jornada])))=0,1,""),"")</f>
        <v/>
      </c>
      <c r="R15" s="14" t="str">
        <f>IF(tblHorasAbr[Horas Trabalhadas Além Jornada]&gt;0,
IF(AND(VLOOKUP(TEXT(tblHorasAbr[Data],"dddd"),tblDiaUtil[],3,FALSE)="Sim",IF(tblHorasAbr[Evento 
(1º Período)]&lt;&gt;"",IF(VLOOKUP(tblHorasAbr[Evento 
(1º Período)],tblEvento[],Tabelas!$E$1,FALSE)="Sim",FALSE,TRUE),TRUE),IF(tblHorasAbr[Evento 
(2º Período)]&lt;&gt;"",IF(VLOOKUP(tblHorasAbr[Evento 
(2º Período)],tblEvento[],Tabelas!$E$1,FALSE)="Sim",FALSE,TRUE),TRUE)),
tblHorasAbr[Horas Trabalhadas Além Jornada],""),"")</f>
        <v/>
      </c>
      <c r="S15" s="14" t="str">
        <f>IF(tblHorasAbr[Horas Trabalhadas Além Jornada]&gt;0,
IF(OR(VLOOKUP(TEXT(tblHorasAbr[Data],"dddd"),tblDiaUtil[],3,FALSE)="Não",IF(tblHorasAbr[Evento 
(1º Período)]&lt;&gt;"",IF(VLOOKUP(tblHorasAbr[Evento 
(1º Período)],tblEvento[],Tabelas!$E$1,FALSE)="Sim",TRUE,FALSE),FALSE),IF(tblHorasAbr[Evento 
(2º Período)]&lt;&gt;"",IF(VLOOKUP(tblHorasAbr[Evento 
(2º Período)],tblEvento[],Tabelas!$E$1,FALSE)="Sim",TRUE,FALSE),FALSE)),
tblHorasAbr[Horas Trabalhadas Além Jornada],""),"")</f>
        <v/>
      </c>
      <c r="T15" s="15" t="str">
        <f>IF(tblHorasAbr[Evento 
(1º Período)]&lt;&gt;""," - " &amp;VLOOKUP(tblHorasAbr[Evento 
(1º Período)],tblEvento[],Tabelas!$F$1,FALSE),"")&amp;IF(AND(tblHorasAbr[Evento 
(2º Período)]&lt;&gt;"",tblHorasAbr[Evento 
(2º Período)]&lt;&gt;tblHorasAbr[Evento 
(1º Período)])," - " &amp; VLOOKUP(tblHorasAbr[Evento 
(2º Período)],tblEvento[],Tabelas!$F$1,FALSE),"")</f>
        <v/>
      </c>
      <c r="X15" s="17"/>
    </row>
    <row r="16" spans="2:25" x14ac:dyDescent="0.25">
      <c r="B16" s="11" t="str">
        <f t="shared" si="0"/>
        <v/>
      </c>
      <c r="C16" s="12" t="str">
        <f>TEXT(tblHorasAbr[Data],"ddd")</f>
        <v/>
      </c>
      <c r="D16" s="25"/>
      <c r="E16" s="1"/>
      <c r="F16" s="1"/>
      <c r="G16" s="1"/>
      <c r="H16" s="1"/>
      <c r="I16" s="53"/>
      <c r="J16" s="4">
        <f>IF($B$6&lt;&gt;"",
IF(AND(tblHorasAbr[Evento 
(1º Período)]&lt;&gt;"",IF(ISERROR(VLOOKUP(tblHorasAbr[Evento 
(1º Período)],tblEvento[],Tabelas!$D$1,FALSE)),FALSE,VLOOKUP(tblHorasAbr[Evento 
(1º Período)],tblEvento[],Tabelas!$D$1,FALSE)="Sim")),
        IF(JORNADA_PERIODO_1&lt;&gt;"",
IF(VLOOKUP(tblHorasAbr[Dia],tblDiaUtil[[Abreviatura]:[1º Período]],3,FALSE)&gt;0,VLOOKUP(tblHorasAbr[Dia],tblDiaUtil[[Abreviatura]:[1º Período]],3,FALSE),JORNADA_PERIODO_1),
IF(VLOOKUP(tblHorasAbr[Dia],tblDiaUtil[[Abreviatura]:[1º Período]],3,FALSE)&gt;0,VLOOKUP(tblHorasAbr[Dia],tblDiaUtil[[Abreviatura]:[1º Período]],3,FALSE),JORNADA/2)),
        IF(AND(ISNUMBER(tblHorasAbr[Saída - 1 (Almoço)]),ISNUMBER(tblHorasAbr[Entrada - 1])),
              IF(OR(AND(tblHorasAbr[Evento 
(1º Período)]&lt;&gt;"",IF(ISERROR(VLOOKUP(tblHorasAbr[Evento 
(1º Período)],tblEvento[],Tabelas!$E$1,FALSE)),FALSE,VLOOKUP(tblHorasAbr[Evento 
(1º Período)],tblEvento[],Tabelas!$E$1,FALSE)="Sim")),IF(VLOOKUP(TEXT(tblHorasAbr[Data],"dddd"),tblDiaUtil[],2,FALSE)="Não",TRUE,FALSE)),
                   tblHorasAbr[Saída - 1 (Almoço)]-tblHorasAbr[Entrada - 1],
                   IF(OR(HOUR(tblHorasAbr[Saída - 1 (Almoço)]-tblHorasAbr[Entrada - 1])&gt;0,ROUND(tblHorasAbr[Saída - 1 (Almoço)]-tblHorasAbr[Entrada - 1],6)&gt;ROUND(CARENCIA,6)),
                          tblHorasAbr[Saída - 1 (Almoço)]-tblHorasAbr[Entrada - 1],
                          0)),
                    0)),0)</f>
        <v>0</v>
      </c>
      <c r="K16" s="4">
        <f>IF($B$6&lt;&gt;"",
IF(AND(tblHorasAbr[Evento 
(2º Período)]&lt;&gt;"",IF(ISERROR(VLOOKUP(tblHorasAbr[Evento 
(2º Período)],tblEvento[],Tabelas!$D$1,FALSE)),FALSE,VLOOKUP(tblHorasAbr[Evento 
(2º Período)],tblEvento[],Tabelas!$D$1,FALSE)="Sim")),
        IF(JORNADA_PERIODO_2&lt;&gt;"",
IF(VLOOKUP(tblHorasAbr[Dia],tblDiaUtil[[Abreviatura]:[2º Período]],4,FALSE)&gt;0,VLOOKUP(tblHorasAbr[Dia],tblDiaUtil[[Abreviatura]:[2º Período]],4,FALSE),JORNADA_PERIODO_2),
IF(VLOOKUP(tblHorasAbr[Dia],tblDiaUtil[[Abreviatura]:[2º Período]],4,FALSE)&gt;0,VLOOKUP(tblHorasAbr[Dia],tblDiaUtil[[Abreviatura]:[2º Período]],4,FALSE),JORNADA/2)),
        IF(AND(ISNUMBER(tblHorasAbr[Saída - 2]),ISNUMBER(tblHorasAbr[Entrada - 2 (Almoço)])),
              IF(OR(AND(tblHorasAbr[Evento 
(2º Período)]&lt;&gt;"",IF(ISERROR(VLOOKUP(tblHorasAbr[Evento 
(2º Período)],tblEvento[],Tabelas!$E$1,FALSE)),FALSE,VLOOKUP(tblHorasAbr[Evento 
(2º Período)],tblEvento[],Tabelas!$E$1,FALSE)="Sim")),IF(VLOOKUP(TEXT(tblHorasAbr[Data],"dddd"),tblDiaUtil[],2,FALSE)="Não",TRUE,FALSE)),
                   tblHorasAbr[Saída - 2]-tblHorasAbr[Entrada - 2 (Almoço)],
                   IF(OR(HOUR(tblHorasAbr[Saída - 2]-tblHorasAbr[Entrada - 2 (Almoço)])&gt;0,MINUTE(tblHorasAbr[Saída - 2]-tblHorasAbr[Entrada - 2 (Almoço)])&gt;CARENCIA),
                         tblHorasAbr[Saída - 2]-tblHorasAbr[Entrada - 2 (Almoço)],
                         0)),
       0)),0)</f>
        <v>0</v>
      </c>
      <c r="L16" s="4">
        <f>tblHorasAbr[Horas Trabalhadas (1º Período)]+tblHorasAbr[Horas Trabalhadas (2º Período)]</f>
        <v>0</v>
      </c>
      <c r="M16" s="4" t="str">
        <f>IF(tblHorasAbr[Data]&lt;&gt;"",
        IF(
AND(VLOOKUP(TEXT(tblHorasAbr[Data],"dddd"),tblDiaUtil[],3,FALSE)="Sim",IF(tblHorasAbr[Evento 
(1º Período)]&lt;&gt;"",IF(VLOOKUP(tblHorasAbr[Evento 
(1º Período)],tblEvento[],Tabelas!$E$1,FALSE)="Sim",FALSE,TRUE),TRUE),IF(tblHorasAbr[Evento 
(2º Período)]&lt;&gt;"",IF(VLOOKUP(tblHorasAbr[Evento 
(2º Período)],tblEvento[],Tabelas!$E$1,FALSE)="Sim",FALSE,TRUE),TRUE)),
              IF(VLOOKUP(tblHorasAbr[Dia],tblDiaUtil[[Abreviatura]:[1º Período]],3,FALSE)&gt;0,VLOOKUP(tblHorasAbr[Dia],tblDiaUtil[[Abreviatura]:[1º Período]],3,FALSE),JORNADA),
              ""),
         "")</f>
        <v/>
      </c>
      <c r="N16" s="14">
        <f>IF(OR(tblHorasAbr[Horas Trabalhadas (1º Período)]&lt;&gt;0,tblHorasAbr[Horas Trabalhadas (2º Período)]&lt;&gt;0),
        IF(ISNUMBER(tblHorasAbr[Jornada Diária]),
              IF(tblHorasAbr[Jornada Diária]&gt;(tblHorasAbr[Horas Trabalhadas (2º Período)]+tblHorasAbr[Horas Trabalhadas (1º Período)]),
                     IF(ROUND((tblHorasAbr[Jornada Diária]-(tblHorasAbr[Horas Trabalhadas (2º Período)]+tblHorasAbr[Horas Trabalhadas (1º Período)])),6)&gt;ROUND(CARENCIA,6),
                           -tblHorasAbr[Jornada Diária]+(tblHorasAbr[Horas Trabalhadas (2º Período)]+tblHorasAbr[Horas Trabalhadas (1º Período)]),
                           0),
                      IF(ROUND((tblHorasAbr[Jornada Diária]-(tblHorasAbr[Horas Trabalhadas (2º Período)]+tblHorasAbr[Horas Trabalhadas (1º Período)])),6)&lt;ROUND(-CARENCIA,6),
                           -tblHorasAbr[Jornada Diária]+(tblHorasAbr[Horas Trabalhadas (2º Período)]+tblHorasAbr[Horas Trabalhadas (1º Período)]),
                           0)),
              tblHorasAbr[Horas Trabalhadas (2º Período)]+tblHorasAbr[Horas Trabalhadas (1º Período)]),
         IF(AND(IF(ISERROR(VLOOKUP(tblHorasAbr[Evento 
(1º Período)],tblEvento[[Evento]:[Libera o Período]],4,FALSE)),FALSE,IF(VLOOKUP(tblHorasAbr[Evento 
(1º Período)],tblEvento[[Evento]:[Libera o Período]],4,FALSE)="Não",TRUE,FALSE)),IF(ISERROR(VLOOKUP(tblHorasAbr[Evento 
(2º Período)],tblEvento[[Evento]:[Libera o Período]],4,FALSE)),FALSE,IF(VLOOKUP(tblHorasAbr[Evento 
(2º Período)],tblEvento[[Evento]:[Libera o Período]],4,FALSE)="Não",TRUE,FALSE))),
-IF(VLOOKUP(tblHorasAbr[Dia],tblDiaUtil[[Abreviatura]:[Total Jornada]],5,FALSE)&lt;&gt;"",VLOOKUP(tblHorasAbr[Dia],tblDiaUtil[[Abreviatura]:[Total Jornada]],5,FALSE),JORNADA),
IF(IF(ISERROR(VLOOKUP(tblHorasAbr[Evento 
(1º Período)],tblEvento[[Evento]:[Libera o Período]],4,FALSE)),FALSE,
IF(VLOOKUP(tblHorasAbr[Evento 
(1º Período)],tblEvento[[Evento]:[Libera o Período]],4,FALSE)="Não",TRUE,FALSE)
),
-IF(VLOOKUP(tblHorasAbr[Dia],tblDiaUtil[[Abreviatura]:[1º Período]],3,FALSE)&lt;&gt;"",VLOOKUP(tblHorasAbr[Dia],tblDiaUtil[[Abreviatura]:[1º Período]],3,FALSE),JORNADA_PERIODO_1),
IF(IF(ISERROR(VLOOKUP(tblHorasAbr[Evento 
(2º Período)],tblEvento[[Evento]:[Libera o Período]],4,FALSE)),FALSE,IF(VLOOKUP(tblHorasAbr[Evento 
(2º Período)],tblEvento[[Evento]:[Libera o Período]],4,FALSE)="Não",TRUE,FALSE)),
-IF(VLOOKUP(tblHorasAbr[Dia],tblDiaUtil[[Abreviatura]:[2º Período]],4,FALSE)&lt;&gt;"",VLOOKUP(tblHorasAbr[Dia],tblDiaUtil[[Abreviatura]:[2º Período]],4,FALSE),JORNADA_PERIODO_2),0))))</f>
        <v>0</v>
      </c>
      <c r="O16" s="14">
        <f>IF(tblHorasAbr[Horas Trabalhadas Além Jornada]&gt;0,
        IF(ISNUMBER(tblHorasAbr[Jornada Diária]),
              IF(HOUR(tblHorasAbr[Horas Trabalhadas Além Jornada])&gt;=VLOOKUP(LIMITE,tblLimiteHora[],Tabelas!$I$1,FALSE),
                    VLOOKUP(LIMITE,tblLimiteHora[],Tabelas!$J$1,FALSE),
                    tblHorasAbr[Horas Trabalhadas Além Jornada]),
              tblHorasAbr[Horas Trabalhadas Além Jornada]),
        tblHorasAbr[Horas Trabalhadas Além Jornada])+O15</f>
        <v>0</v>
      </c>
      <c r="P16" s="14" t="str">
        <f>IF(tblHorasAbr[Horas Trabalhadas Além Jornada]&lt;0,IF(OR(tblHorasAbr[Evento 
(1º Período)]="",tblHorasAbr[Evento 
(2º Período)]=""),tblHorasAbr[Horas Trabalhadas Além Jornada],""),"")</f>
        <v/>
      </c>
      <c r="Q16" s="14" t="str">
        <f>IF(tblHorasAbr[Jornada Diária]&lt;&gt;"",IF((N(tblHorasAbr[Jornada Diária])-ABS(N(tblHorasAbr[Horas Trabalhadas Além Jornada])))=0,1,""),"")</f>
        <v/>
      </c>
      <c r="R16" s="14" t="str">
        <f>IF(tblHorasAbr[Horas Trabalhadas Além Jornada]&gt;0,
IF(AND(VLOOKUP(TEXT(tblHorasAbr[Data],"dddd"),tblDiaUtil[],3,FALSE)="Sim",IF(tblHorasAbr[Evento 
(1º Período)]&lt;&gt;"",IF(VLOOKUP(tblHorasAbr[Evento 
(1º Período)],tblEvento[],Tabelas!$E$1,FALSE)="Sim",FALSE,TRUE),TRUE),IF(tblHorasAbr[Evento 
(2º Período)]&lt;&gt;"",IF(VLOOKUP(tblHorasAbr[Evento 
(2º Período)],tblEvento[],Tabelas!$E$1,FALSE)="Sim",FALSE,TRUE),TRUE)),
tblHorasAbr[Horas Trabalhadas Além Jornada],""),"")</f>
        <v/>
      </c>
      <c r="S16" s="14" t="str">
        <f>IF(tblHorasAbr[Horas Trabalhadas Além Jornada]&gt;0,
IF(OR(VLOOKUP(TEXT(tblHorasAbr[Data],"dddd"),tblDiaUtil[],3,FALSE)="Não",IF(tblHorasAbr[Evento 
(1º Período)]&lt;&gt;"",IF(VLOOKUP(tblHorasAbr[Evento 
(1º Período)],tblEvento[],Tabelas!$E$1,FALSE)="Sim",TRUE,FALSE),FALSE),IF(tblHorasAbr[Evento 
(2º Período)]&lt;&gt;"",IF(VLOOKUP(tblHorasAbr[Evento 
(2º Período)],tblEvento[],Tabelas!$E$1,FALSE)="Sim",TRUE,FALSE),FALSE)),
tblHorasAbr[Horas Trabalhadas Além Jornada],""),"")</f>
        <v/>
      </c>
      <c r="T16" s="15" t="str">
        <f>IF(tblHorasAbr[Evento 
(1º Período)]&lt;&gt;""," - " &amp;VLOOKUP(tblHorasAbr[Evento 
(1º Período)],tblEvento[],Tabelas!$F$1,FALSE),"")&amp;IF(AND(tblHorasAbr[Evento 
(2º Período)]&lt;&gt;"",tblHorasAbr[Evento 
(2º Período)]&lt;&gt;tblHorasAbr[Evento 
(1º Período)])," - " &amp; VLOOKUP(tblHorasAbr[Evento 
(2º Período)],tblEvento[],Tabelas!$F$1,FALSE),"")</f>
        <v/>
      </c>
    </row>
    <row r="17" spans="2:20" x14ac:dyDescent="0.25">
      <c r="B17" s="11" t="str">
        <f t="shared" si="0"/>
        <v/>
      </c>
      <c r="C17" s="12" t="str">
        <f>TEXT(tblHorasAbr[Data],"ddd")</f>
        <v/>
      </c>
      <c r="D17" s="25"/>
      <c r="E17" s="1"/>
      <c r="F17" s="1"/>
      <c r="G17" s="1"/>
      <c r="H17" s="1"/>
      <c r="I17" s="53"/>
      <c r="J17" s="4">
        <f>IF($B$6&lt;&gt;"",
IF(AND(tblHorasAbr[Evento 
(1º Período)]&lt;&gt;"",IF(ISERROR(VLOOKUP(tblHorasAbr[Evento 
(1º Período)],tblEvento[],Tabelas!$D$1,FALSE)),FALSE,VLOOKUP(tblHorasAbr[Evento 
(1º Período)],tblEvento[],Tabelas!$D$1,FALSE)="Sim")),
        IF(JORNADA_PERIODO_1&lt;&gt;"",
IF(VLOOKUP(tblHorasAbr[Dia],tblDiaUtil[[Abreviatura]:[1º Período]],3,FALSE)&gt;0,VLOOKUP(tblHorasAbr[Dia],tblDiaUtil[[Abreviatura]:[1º Período]],3,FALSE),JORNADA_PERIODO_1),
IF(VLOOKUP(tblHorasAbr[Dia],tblDiaUtil[[Abreviatura]:[1º Período]],3,FALSE)&gt;0,VLOOKUP(tblHorasAbr[Dia],tblDiaUtil[[Abreviatura]:[1º Período]],3,FALSE),JORNADA/2)),
        IF(AND(ISNUMBER(tblHorasAbr[Saída - 1 (Almoço)]),ISNUMBER(tblHorasAbr[Entrada - 1])),
              IF(OR(AND(tblHorasAbr[Evento 
(1º Período)]&lt;&gt;"",IF(ISERROR(VLOOKUP(tblHorasAbr[Evento 
(1º Período)],tblEvento[],Tabelas!$E$1,FALSE)),FALSE,VLOOKUP(tblHorasAbr[Evento 
(1º Período)],tblEvento[],Tabelas!$E$1,FALSE)="Sim")),IF(VLOOKUP(TEXT(tblHorasAbr[Data],"dddd"),tblDiaUtil[],2,FALSE)="Não",TRUE,FALSE)),
                   tblHorasAbr[Saída - 1 (Almoço)]-tblHorasAbr[Entrada - 1],
                   IF(OR(HOUR(tblHorasAbr[Saída - 1 (Almoço)]-tblHorasAbr[Entrada - 1])&gt;0,ROUND(tblHorasAbr[Saída - 1 (Almoço)]-tblHorasAbr[Entrada - 1],6)&gt;ROUND(CARENCIA,6)),
                          tblHorasAbr[Saída - 1 (Almoço)]-tblHorasAbr[Entrada - 1],
                          0)),
                    0)),0)</f>
        <v>0</v>
      </c>
      <c r="K17" s="4">
        <f>IF($B$6&lt;&gt;"",
IF(AND(tblHorasAbr[Evento 
(2º Período)]&lt;&gt;"",IF(ISERROR(VLOOKUP(tblHorasAbr[Evento 
(2º Período)],tblEvento[],Tabelas!$D$1,FALSE)),FALSE,VLOOKUP(tblHorasAbr[Evento 
(2º Período)],tblEvento[],Tabelas!$D$1,FALSE)="Sim")),
        IF(JORNADA_PERIODO_2&lt;&gt;"",
IF(VLOOKUP(tblHorasAbr[Dia],tblDiaUtil[[Abreviatura]:[2º Período]],4,FALSE)&gt;0,VLOOKUP(tblHorasAbr[Dia],tblDiaUtil[[Abreviatura]:[2º Período]],4,FALSE),JORNADA_PERIODO_2),
IF(VLOOKUP(tblHorasAbr[Dia],tblDiaUtil[[Abreviatura]:[2º Período]],4,FALSE)&gt;0,VLOOKUP(tblHorasAbr[Dia],tblDiaUtil[[Abreviatura]:[2º Período]],4,FALSE),JORNADA/2)),
        IF(AND(ISNUMBER(tblHorasAbr[Saída - 2]),ISNUMBER(tblHorasAbr[Entrada - 2 (Almoço)])),
              IF(OR(AND(tblHorasAbr[Evento 
(2º Período)]&lt;&gt;"",IF(ISERROR(VLOOKUP(tblHorasAbr[Evento 
(2º Período)],tblEvento[],Tabelas!$E$1,FALSE)),FALSE,VLOOKUP(tblHorasAbr[Evento 
(2º Período)],tblEvento[],Tabelas!$E$1,FALSE)="Sim")),IF(VLOOKUP(TEXT(tblHorasAbr[Data],"dddd"),tblDiaUtil[],2,FALSE)="Não",TRUE,FALSE)),
                   tblHorasAbr[Saída - 2]-tblHorasAbr[Entrada - 2 (Almoço)],
                   IF(OR(HOUR(tblHorasAbr[Saída - 2]-tblHorasAbr[Entrada - 2 (Almoço)])&gt;0,MINUTE(tblHorasAbr[Saída - 2]-tblHorasAbr[Entrada - 2 (Almoço)])&gt;CARENCIA),
                         tblHorasAbr[Saída - 2]-tblHorasAbr[Entrada - 2 (Almoço)],
                         0)),
       0)),0)</f>
        <v>0</v>
      </c>
      <c r="L17" s="4">
        <f>tblHorasAbr[Horas Trabalhadas (1º Período)]+tblHorasAbr[Horas Trabalhadas (2º Período)]</f>
        <v>0</v>
      </c>
      <c r="M17" s="4" t="str">
        <f>IF(tblHorasAbr[Data]&lt;&gt;"",
        IF(
AND(VLOOKUP(TEXT(tblHorasAbr[Data],"dddd"),tblDiaUtil[],3,FALSE)="Sim",IF(tblHorasAbr[Evento 
(1º Período)]&lt;&gt;"",IF(VLOOKUP(tblHorasAbr[Evento 
(1º Período)],tblEvento[],Tabelas!$E$1,FALSE)="Sim",FALSE,TRUE),TRUE),IF(tblHorasAbr[Evento 
(2º Período)]&lt;&gt;"",IF(VLOOKUP(tblHorasAbr[Evento 
(2º Período)],tblEvento[],Tabelas!$E$1,FALSE)="Sim",FALSE,TRUE),TRUE)),
              IF(VLOOKUP(tblHorasAbr[Dia],tblDiaUtil[[Abreviatura]:[1º Período]],3,FALSE)&gt;0,VLOOKUP(tblHorasAbr[Dia],tblDiaUtil[[Abreviatura]:[1º Período]],3,FALSE),JORNADA),
              ""),
         "")</f>
        <v/>
      </c>
      <c r="N17" s="14">
        <f>IF(OR(tblHorasAbr[Horas Trabalhadas (1º Período)]&lt;&gt;0,tblHorasAbr[Horas Trabalhadas (2º Período)]&lt;&gt;0),
        IF(ISNUMBER(tblHorasAbr[Jornada Diária]),
              IF(tblHorasAbr[Jornada Diária]&gt;(tblHorasAbr[Horas Trabalhadas (2º Período)]+tblHorasAbr[Horas Trabalhadas (1º Período)]),
                     IF(ROUND((tblHorasAbr[Jornada Diária]-(tblHorasAbr[Horas Trabalhadas (2º Período)]+tblHorasAbr[Horas Trabalhadas (1º Período)])),6)&gt;ROUND(CARENCIA,6),
                           -tblHorasAbr[Jornada Diária]+(tblHorasAbr[Horas Trabalhadas (2º Período)]+tblHorasAbr[Horas Trabalhadas (1º Período)]),
                           0),
                      IF(ROUND((tblHorasAbr[Jornada Diária]-(tblHorasAbr[Horas Trabalhadas (2º Período)]+tblHorasAbr[Horas Trabalhadas (1º Período)])),6)&lt;ROUND(-CARENCIA,6),
                           -tblHorasAbr[Jornada Diária]+(tblHorasAbr[Horas Trabalhadas (2º Período)]+tblHorasAbr[Horas Trabalhadas (1º Período)]),
                           0)),
              tblHorasAbr[Horas Trabalhadas (2º Período)]+tblHorasAbr[Horas Trabalhadas (1º Período)]),
         IF(AND(IF(ISERROR(VLOOKUP(tblHorasAbr[Evento 
(1º Período)],tblEvento[[Evento]:[Libera o Período]],4,FALSE)),FALSE,IF(VLOOKUP(tblHorasAbr[Evento 
(1º Período)],tblEvento[[Evento]:[Libera o Período]],4,FALSE)="Não",TRUE,FALSE)),IF(ISERROR(VLOOKUP(tblHorasAbr[Evento 
(2º Período)],tblEvento[[Evento]:[Libera o Período]],4,FALSE)),FALSE,IF(VLOOKUP(tblHorasAbr[Evento 
(2º Período)],tblEvento[[Evento]:[Libera o Período]],4,FALSE)="Não",TRUE,FALSE))),
-IF(VLOOKUP(tblHorasAbr[Dia],tblDiaUtil[[Abreviatura]:[Total Jornada]],5,FALSE)&lt;&gt;"",VLOOKUP(tblHorasAbr[Dia],tblDiaUtil[[Abreviatura]:[Total Jornada]],5,FALSE),JORNADA),
IF(IF(ISERROR(VLOOKUP(tblHorasAbr[Evento 
(1º Período)],tblEvento[[Evento]:[Libera o Período]],4,FALSE)),FALSE,
IF(VLOOKUP(tblHorasAbr[Evento 
(1º Período)],tblEvento[[Evento]:[Libera o Período]],4,FALSE)="Não",TRUE,FALSE)
),
-IF(VLOOKUP(tblHorasAbr[Dia],tblDiaUtil[[Abreviatura]:[1º Período]],3,FALSE)&lt;&gt;"",VLOOKUP(tblHorasAbr[Dia],tblDiaUtil[[Abreviatura]:[1º Período]],3,FALSE),JORNADA_PERIODO_1),
IF(IF(ISERROR(VLOOKUP(tblHorasAbr[Evento 
(2º Período)],tblEvento[[Evento]:[Libera o Período]],4,FALSE)),FALSE,IF(VLOOKUP(tblHorasAbr[Evento 
(2º Período)],tblEvento[[Evento]:[Libera o Período]],4,FALSE)="Não",TRUE,FALSE)),
-IF(VLOOKUP(tblHorasAbr[Dia],tblDiaUtil[[Abreviatura]:[2º Período]],4,FALSE)&lt;&gt;"",VLOOKUP(tblHorasAbr[Dia],tblDiaUtil[[Abreviatura]:[2º Período]],4,FALSE),JORNADA_PERIODO_2),0))))</f>
        <v>0</v>
      </c>
      <c r="O17" s="14">
        <f>IF(tblHorasAbr[Horas Trabalhadas Além Jornada]&gt;0,
        IF(ISNUMBER(tblHorasAbr[Jornada Diária]),
              IF(HOUR(tblHorasAbr[Horas Trabalhadas Além Jornada])&gt;=VLOOKUP(LIMITE,tblLimiteHora[],Tabelas!$I$1,FALSE),
                    VLOOKUP(LIMITE,tblLimiteHora[],Tabelas!$J$1,FALSE),
                    tblHorasAbr[Horas Trabalhadas Além Jornada]),
              tblHorasAbr[Horas Trabalhadas Além Jornada]),
        tblHorasAbr[Horas Trabalhadas Além Jornada])+O16</f>
        <v>0</v>
      </c>
      <c r="P17" s="14" t="str">
        <f>IF(tblHorasAbr[Horas Trabalhadas Além Jornada]&lt;0,IF(OR(tblHorasAbr[Evento 
(1º Período)]="",tblHorasAbr[Evento 
(2º Período)]=""),tblHorasAbr[Horas Trabalhadas Além Jornada],""),"")</f>
        <v/>
      </c>
      <c r="Q17" s="14" t="str">
        <f>IF(tblHorasAbr[Jornada Diária]&lt;&gt;"",IF((N(tblHorasAbr[Jornada Diária])-ABS(N(tblHorasAbr[Horas Trabalhadas Além Jornada])))=0,1,""),"")</f>
        <v/>
      </c>
      <c r="R17" s="14" t="str">
        <f>IF(tblHorasAbr[Horas Trabalhadas Além Jornada]&gt;0,
IF(AND(VLOOKUP(TEXT(tblHorasAbr[Data],"dddd"),tblDiaUtil[],3,FALSE)="Sim",IF(tblHorasAbr[Evento 
(1º Período)]&lt;&gt;"",IF(VLOOKUP(tblHorasAbr[Evento 
(1º Período)],tblEvento[],Tabelas!$E$1,FALSE)="Sim",FALSE,TRUE),TRUE),IF(tblHorasAbr[Evento 
(2º Período)]&lt;&gt;"",IF(VLOOKUP(tblHorasAbr[Evento 
(2º Período)],tblEvento[],Tabelas!$E$1,FALSE)="Sim",FALSE,TRUE),TRUE)),
tblHorasAbr[Horas Trabalhadas Além Jornada],""),"")</f>
        <v/>
      </c>
      <c r="S17" s="14" t="str">
        <f>IF(tblHorasAbr[Horas Trabalhadas Além Jornada]&gt;0,
IF(OR(VLOOKUP(TEXT(tblHorasAbr[Data],"dddd"),tblDiaUtil[],3,FALSE)="Não",IF(tblHorasAbr[Evento 
(1º Período)]&lt;&gt;"",IF(VLOOKUP(tblHorasAbr[Evento 
(1º Período)],tblEvento[],Tabelas!$E$1,FALSE)="Sim",TRUE,FALSE),FALSE),IF(tblHorasAbr[Evento 
(2º Período)]&lt;&gt;"",IF(VLOOKUP(tblHorasAbr[Evento 
(2º Período)],tblEvento[],Tabelas!$E$1,FALSE)="Sim",TRUE,FALSE),FALSE)),
tblHorasAbr[Horas Trabalhadas Além Jornada],""),"")</f>
        <v/>
      </c>
      <c r="T17" s="15" t="str">
        <f>IF(tblHorasAbr[Evento 
(1º Período)]&lt;&gt;""," - " &amp;VLOOKUP(tblHorasAbr[Evento 
(1º Período)],tblEvento[],Tabelas!$F$1,FALSE),"")&amp;IF(AND(tblHorasAbr[Evento 
(2º Período)]&lt;&gt;"",tblHorasAbr[Evento 
(2º Período)]&lt;&gt;tblHorasAbr[Evento 
(1º Período)])," - " &amp; VLOOKUP(tblHorasAbr[Evento 
(2º Período)],tblEvento[],Tabelas!$F$1,FALSE),"")</f>
        <v/>
      </c>
    </row>
    <row r="18" spans="2:20" x14ac:dyDescent="0.25">
      <c r="B18" s="11" t="str">
        <f t="shared" si="0"/>
        <v/>
      </c>
      <c r="C18" s="12" t="str">
        <f>TEXT(tblHorasAbr[Data],"ddd")</f>
        <v/>
      </c>
      <c r="D18" s="25"/>
      <c r="E18" s="1"/>
      <c r="F18" s="1"/>
      <c r="G18" s="1"/>
      <c r="H18" s="1"/>
      <c r="I18" s="53"/>
      <c r="J18" s="4">
        <f>IF($B$6&lt;&gt;"",
IF(AND(tblHorasAbr[Evento 
(1º Período)]&lt;&gt;"",IF(ISERROR(VLOOKUP(tblHorasAbr[Evento 
(1º Período)],tblEvento[],Tabelas!$D$1,FALSE)),FALSE,VLOOKUP(tblHorasAbr[Evento 
(1º Período)],tblEvento[],Tabelas!$D$1,FALSE)="Sim")),
        IF(JORNADA_PERIODO_1&lt;&gt;"",
IF(VLOOKUP(tblHorasAbr[Dia],tblDiaUtil[[Abreviatura]:[1º Período]],3,FALSE)&gt;0,VLOOKUP(tblHorasAbr[Dia],tblDiaUtil[[Abreviatura]:[1º Período]],3,FALSE),JORNADA_PERIODO_1),
IF(VLOOKUP(tblHorasAbr[Dia],tblDiaUtil[[Abreviatura]:[1º Período]],3,FALSE)&gt;0,VLOOKUP(tblHorasAbr[Dia],tblDiaUtil[[Abreviatura]:[1º Período]],3,FALSE),JORNADA/2)),
        IF(AND(ISNUMBER(tblHorasAbr[Saída - 1 (Almoço)]),ISNUMBER(tblHorasAbr[Entrada - 1])),
              IF(OR(AND(tblHorasAbr[Evento 
(1º Período)]&lt;&gt;"",IF(ISERROR(VLOOKUP(tblHorasAbr[Evento 
(1º Período)],tblEvento[],Tabelas!$E$1,FALSE)),FALSE,VLOOKUP(tblHorasAbr[Evento 
(1º Período)],tblEvento[],Tabelas!$E$1,FALSE)="Sim")),IF(VLOOKUP(TEXT(tblHorasAbr[Data],"dddd"),tblDiaUtil[],2,FALSE)="Não",TRUE,FALSE)),
                   tblHorasAbr[Saída - 1 (Almoço)]-tblHorasAbr[Entrada - 1],
                   IF(OR(HOUR(tblHorasAbr[Saída - 1 (Almoço)]-tblHorasAbr[Entrada - 1])&gt;0,ROUND(tblHorasAbr[Saída - 1 (Almoço)]-tblHorasAbr[Entrada - 1],6)&gt;ROUND(CARENCIA,6)),
                          tblHorasAbr[Saída - 1 (Almoço)]-tblHorasAbr[Entrada - 1],
                          0)),
                    0)),0)</f>
        <v>0</v>
      </c>
      <c r="K18" s="4">
        <f>IF($B$6&lt;&gt;"",
IF(AND(tblHorasAbr[Evento 
(2º Período)]&lt;&gt;"",IF(ISERROR(VLOOKUP(tblHorasAbr[Evento 
(2º Período)],tblEvento[],Tabelas!$D$1,FALSE)),FALSE,VLOOKUP(tblHorasAbr[Evento 
(2º Período)],tblEvento[],Tabelas!$D$1,FALSE)="Sim")),
        IF(JORNADA_PERIODO_2&lt;&gt;"",
IF(VLOOKUP(tblHorasAbr[Dia],tblDiaUtil[[Abreviatura]:[2º Período]],4,FALSE)&gt;0,VLOOKUP(tblHorasAbr[Dia],tblDiaUtil[[Abreviatura]:[2º Período]],4,FALSE),JORNADA_PERIODO_2),
IF(VLOOKUP(tblHorasAbr[Dia],tblDiaUtil[[Abreviatura]:[2º Período]],4,FALSE)&gt;0,VLOOKUP(tblHorasAbr[Dia],tblDiaUtil[[Abreviatura]:[2º Período]],4,FALSE),JORNADA/2)),
        IF(AND(ISNUMBER(tblHorasAbr[Saída - 2]),ISNUMBER(tblHorasAbr[Entrada - 2 (Almoço)])),
              IF(OR(AND(tblHorasAbr[Evento 
(2º Período)]&lt;&gt;"",IF(ISERROR(VLOOKUP(tblHorasAbr[Evento 
(2º Período)],tblEvento[],Tabelas!$E$1,FALSE)),FALSE,VLOOKUP(tblHorasAbr[Evento 
(2º Período)],tblEvento[],Tabelas!$E$1,FALSE)="Sim")),IF(VLOOKUP(TEXT(tblHorasAbr[Data],"dddd"),tblDiaUtil[],2,FALSE)="Não",TRUE,FALSE)),
                   tblHorasAbr[Saída - 2]-tblHorasAbr[Entrada - 2 (Almoço)],
                   IF(OR(HOUR(tblHorasAbr[Saída - 2]-tblHorasAbr[Entrada - 2 (Almoço)])&gt;0,MINUTE(tblHorasAbr[Saída - 2]-tblHorasAbr[Entrada - 2 (Almoço)])&gt;CARENCIA),
                         tblHorasAbr[Saída - 2]-tblHorasAbr[Entrada - 2 (Almoço)],
                         0)),
       0)),0)</f>
        <v>0</v>
      </c>
      <c r="L18" s="4">
        <f>tblHorasAbr[Horas Trabalhadas (1º Período)]+tblHorasAbr[Horas Trabalhadas (2º Período)]</f>
        <v>0</v>
      </c>
      <c r="M18" s="4" t="str">
        <f>IF(tblHorasAbr[Data]&lt;&gt;"",
        IF(
AND(VLOOKUP(TEXT(tblHorasAbr[Data],"dddd"),tblDiaUtil[],3,FALSE)="Sim",IF(tblHorasAbr[Evento 
(1º Período)]&lt;&gt;"",IF(VLOOKUP(tblHorasAbr[Evento 
(1º Período)],tblEvento[],Tabelas!$E$1,FALSE)="Sim",FALSE,TRUE),TRUE),IF(tblHorasAbr[Evento 
(2º Período)]&lt;&gt;"",IF(VLOOKUP(tblHorasAbr[Evento 
(2º Período)],tblEvento[],Tabelas!$E$1,FALSE)="Sim",FALSE,TRUE),TRUE)),
              IF(VLOOKUP(tblHorasAbr[Dia],tblDiaUtil[[Abreviatura]:[1º Período]],3,FALSE)&gt;0,VLOOKUP(tblHorasAbr[Dia],tblDiaUtil[[Abreviatura]:[1º Período]],3,FALSE),JORNADA),
              ""),
         "")</f>
        <v/>
      </c>
      <c r="N18" s="14">
        <f>IF(OR(tblHorasAbr[Horas Trabalhadas (1º Período)]&lt;&gt;0,tblHorasAbr[Horas Trabalhadas (2º Período)]&lt;&gt;0),
        IF(ISNUMBER(tblHorasAbr[Jornada Diária]),
              IF(tblHorasAbr[Jornada Diária]&gt;(tblHorasAbr[Horas Trabalhadas (2º Período)]+tblHorasAbr[Horas Trabalhadas (1º Período)]),
                     IF(ROUND((tblHorasAbr[Jornada Diária]-(tblHorasAbr[Horas Trabalhadas (2º Período)]+tblHorasAbr[Horas Trabalhadas (1º Período)])),6)&gt;ROUND(CARENCIA,6),
                           -tblHorasAbr[Jornada Diária]+(tblHorasAbr[Horas Trabalhadas (2º Período)]+tblHorasAbr[Horas Trabalhadas (1º Período)]),
                           0),
                      IF(ROUND((tblHorasAbr[Jornada Diária]-(tblHorasAbr[Horas Trabalhadas (2º Período)]+tblHorasAbr[Horas Trabalhadas (1º Período)])),6)&lt;ROUND(-CARENCIA,6),
                           -tblHorasAbr[Jornada Diária]+(tblHorasAbr[Horas Trabalhadas (2º Período)]+tblHorasAbr[Horas Trabalhadas (1º Período)]),
                           0)),
              tblHorasAbr[Horas Trabalhadas (2º Período)]+tblHorasAbr[Horas Trabalhadas (1º Período)]),
         IF(AND(IF(ISERROR(VLOOKUP(tblHorasAbr[Evento 
(1º Período)],tblEvento[[Evento]:[Libera o Período]],4,FALSE)),FALSE,IF(VLOOKUP(tblHorasAbr[Evento 
(1º Período)],tblEvento[[Evento]:[Libera o Período]],4,FALSE)="Não",TRUE,FALSE)),IF(ISERROR(VLOOKUP(tblHorasAbr[Evento 
(2º Período)],tblEvento[[Evento]:[Libera o Período]],4,FALSE)),FALSE,IF(VLOOKUP(tblHorasAbr[Evento 
(2º Período)],tblEvento[[Evento]:[Libera o Período]],4,FALSE)="Não",TRUE,FALSE))),
-IF(VLOOKUP(tblHorasAbr[Dia],tblDiaUtil[[Abreviatura]:[Total Jornada]],5,FALSE)&lt;&gt;"",VLOOKUP(tblHorasAbr[Dia],tblDiaUtil[[Abreviatura]:[Total Jornada]],5,FALSE),JORNADA),
IF(IF(ISERROR(VLOOKUP(tblHorasAbr[Evento 
(1º Período)],tblEvento[[Evento]:[Libera o Período]],4,FALSE)),FALSE,
IF(VLOOKUP(tblHorasAbr[Evento 
(1º Período)],tblEvento[[Evento]:[Libera o Período]],4,FALSE)="Não",TRUE,FALSE)
),
-IF(VLOOKUP(tblHorasAbr[Dia],tblDiaUtil[[Abreviatura]:[1º Período]],3,FALSE)&lt;&gt;"",VLOOKUP(tblHorasAbr[Dia],tblDiaUtil[[Abreviatura]:[1º Período]],3,FALSE),JORNADA_PERIODO_1),
IF(IF(ISERROR(VLOOKUP(tblHorasAbr[Evento 
(2º Período)],tblEvento[[Evento]:[Libera o Período]],4,FALSE)),FALSE,IF(VLOOKUP(tblHorasAbr[Evento 
(2º Período)],tblEvento[[Evento]:[Libera o Período]],4,FALSE)="Não",TRUE,FALSE)),
-IF(VLOOKUP(tblHorasAbr[Dia],tblDiaUtil[[Abreviatura]:[2º Período]],4,FALSE)&lt;&gt;"",VLOOKUP(tblHorasAbr[Dia],tblDiaUtil[[Abreviatura]:[2º Período]],4,FALSE),JORNADA_PERIODO_2),0))))</f>
        <v>0</v>
      </c>
      <c r="O18" s="14">
        <f>IF(tblHorasAbr[Horas Trabalhadas Além Jornada]&gt;0,
        IF(ISNUMBER(tblHorasAbr[Jornada Diária]),
              IF(HOUR(tblHorasAbr[Horas Trabalhadas Além Jornada])&gt;=VLOOKUP(LIMITE,tblLimiteHora[],Tabelas!$I$1,FALSE),
                    VLOOKUP(LIMITE,tblLimiteHora[],Tabelas!$J$1,FALSE),
                    tblHorasAbr[Horas Trabalhadas Além Jornada]),
              tblHorasAbr[Horas Trabalhadas Além Jornada]),
        tblHorasAbr[Horas Trabalhadas Além Jornada])+O17</f>
        <v>0</v>
      </c>
      <c r="P18" s="14" t="str">
        <f>IF(tblHorasAbr[Horas Trabalhadas Além Jornada]&lt;0,IF(OR(tblHorasAbr[Evento 
(1º Período)]="",tblHorasAbr[Evento 
(2º Período)]=""),tblHorasAbr[Horas Trabalhadas Além Jornada],""),"")</f>
        <v/>
      </c>
      <c r="Q18" s="14" t="str">
        <f>IF(tblHorasAbr[Jornada Diária]&lt;&gt;"",IF((N(tblHorasAbr[Jornada Diária])-ABS(N(tblHorasAbr[Horas Trabalhadas Além Jornada])))=0,1,""),"")</f>
        <v/>
      </c>
      <c r="R18" s="14" t="str">
        <f>IF(tblHorasAbr[Horas Trabalhadas Além Jornada]&gt;0,
IF(AND(VLOOKUP(TEXT(tblHorasAbr[Data],"dddd"),tblDiaUtil[],3,FALSE)="Sim",IF(tblHorasAbr[Evento 
(1º Período)]&lt;&gt;"",IF(VLOOKUP(tblHorasAbr[Evento 
(1º Período)],tblEvento[],Tabelas!$E$1,FALSE)="Sim",FALSE,TRUE),TRUE),IF(tblHorasAbr[Evento 
(2º Período)]&lt;&gt;"",IF(VLOOKUP(tblHorasAbr[Evento 
(2º Período)],tblEvento[],Tabelas!$E$1,FALSE)="Sim",FALSE,TRUE),TRUE)),
tblHorasAbr[Horas Trabalhadas Além Jornada],""),"")</f>
        <v/>
      </c>
      <c r="S18" s="14" t="str">
        <f>IF(tblHorasAbr[Horas Trabalhadas Além Jornada]&gt;0,
IF(OR(VLOOKUP(TEXT(tblHorasAbr[Data],"dddd"),tblDiaUtil[],3,FALSE)="Não",IF(tblHorasAbr[Evento 
(1º Período)]&lt;&gt;"",IF(VLOOKUP(tblHorasAbr[Evento 
(1º Período)],tblEvento[],Tabelas!$E$1,FALSE)="Sim",TRUE,FALSE),FALSE),IF(tblHorasAbr[Evento 
(2º Período)]&lt;&gt;"",IF(VLOOKUP(tblHorasAbr[Evento 
(2º Período)],tblEvento[],Tabelas!$E$1,FALSE)="Sim",TRUE,FALSE),FALSE)),
tblHorasAbr[Horas Trabalhadas Além Jornada],""),"")</f>
        <v/>
      </c>
      <c r="T18" s="15" t="str">
        <f>IF(tblHorasAbr[Evento 
(1º Período)]&lt;&gt;""," - " &amp;VLOOKUP(tblHorasAbr[Evento 
(1º Período)],tblEvento[],Tabelas!$F$1,FALSE),"")&amp;IF(AND(tblHorasAbr[Evento 
(2º Período)]&lt;&gt;"",tblHorasAbr[Evento 
(2º Período)]&lt;&gt;tblHorasAbr[Evento 
(1º Período)])," - " &amp; VLOOKUP(tblHorasAbr[Evento 
(2º Período)],tblEvento[],Tabelas!$F$1,FALSE),"")</f>
        <v/>
      </c>
    </row>
    <row r="19" spans="2:20" x14ac:dyDescent="0.25">
      <c r="B19" s="11" t="str">
        <f t="shared" si="0"/>
        <v/>
      </c>
      <c r="C19" s="12" t="str">
        <f>TEXT(tblHorasAbr[Data],"ddd")</f>
        <v/>
      </c>
      <c r="D19" s="25"/>
      <c r="E19" s="1"/>
      <c r="F19" s="1"/>
      <c r="G19" s="1"/>
      <c r="H19" s="1"/>
      <c r="I19" s="53"/>
      <c r="J19" s="4">
        <f>IF($B$6&lt;&gt;"",
IF(AND(tblHorasAbr[Evento 
(1º Período)]&lt;&gt;"",IF(ISERROR(VLOOKUP(tblHorasAbr[Evento 
(1º Período)],tblEvento[],Tabelas!$D$1,FALSE)),FALSE,VLOOKUP(tblHorasAbr[Evento 
(1º Período)],tblEvento[],Tabelas!$D$1,FALSE)="Sim")),
        IF(JORNADA_PERIODO_1&lt;&gt;"",
IF(VLOOKUP(tblHorasAbr[Dia],tblDiaUtil[[Abreviatura]:[1º Período]],3,FALSE)&gt;0,VLOOKUP(tblHorasAbr[Dia],tblDiaUtil[[Abreviatura]:[1º Período]],3,FALSE),JORNADA_PERIODO_1),
IF(VLOOKUP(tblHorasAbr[Dia],tblDiaUtil[[Abreviatura]:[1º Período]],3,FALSE)&gt;0,VLOOKUP(tblHorasAbr[Dia],tblDiaUtil[[Abreviatura]:[1º Período]],3,FALSE),JORNADA/2)),
        IF(AND(ISNUMBER(tblHorasAbr[Saída - 1 (Almoço)]),ISNUMBER(tblHorasAbr[Entrada - 1])),
              IF(OR(AND(tblHorasAbr[Evento 
(1º Período)]&lt;&gt;"",IF(ISERROR(VLOOKUP(tblHorasAbr[Evento 
(1º Período)],tblEvento[],Tabelas!$E$1,FALSE)),FALSE,VLOOKUP(tblHorasAbr[Evento 
(1º Período)],tblEvento[],Tabelas!$E$1,FALSE)="Sim")),IF(VLOOKUP(TEXT(tblHorasAbr[Data],"dddd"),tblDiaUtil[],2,FALSE)="Não",TRUE,FALSE)),
                   tblHorasAbr[Saída - 1 (Almoço)]-tblHorasAbr[Entrada - 1],
                   IF(OR(HOUR(tblHorasAbr[Saída - 1 (Almoço)]-tblHorasAbr[Entrada - 1])&gt;0,ROUND(tblHorasAbr[Saída - 1 (Almoço)]-tblHorasAbr[Entrada - 1],6)&gt;ROUND(CARENCIA,6)),
                          tblHorasAbr[Saída - 1 (Almoço)]-tblHorasAbr[Entrada - 1],
                          0)),
                    0)),0)</f>
        <v>0</v>
      </c>
      <c r="K19" s="4">
        <f>IF($B$6&lt;&gt;"",
IF(AND(tblHorasAbr[Evento 
(2º Período)]&lt;&gt;"",IF(ISERROR(VLOOKUP(tblHorasAbr[Evento 
(2º Período)],tblEvento[],Tabelas!$D$1,FALSE)),FALSE,VLOOKUP(tblHorasAbr[Evento 
(2º Período)],tblEvento[],Tabelas!$D$1,FALSE)="Sim")),
        IF(JORNADA_PERIODO_2&lt;&gt;"",
IF(VLOOKUP(tblHorasAbr[Dia],tblDiaUtil[[Abreviatura]:[2º Período]],4,FALSE)&gt;0,VLOOKUP(tblHorasAbr[Dia],tblDiaUtil[[Abreviatura]:[2º Período]],4,FALSE),JORNADA_PERIODO_2),
IF(VLOOKUP(tblHorasAbr[Dia],tblDiaUtil[[Abreviatura]:[2º Período]],4,FALSE)&gt;0,VLOOKUP(tblHorasAbr[Dia],tblDiaUtil[[Abreviatura]:[2º Período]],4,FALSE),JORNADA/2)),
        IF(AND(ISNUMBER(tblHorasAbr[Saída - 2]),ISNUMBER(tblHorasAbr[Entrada - 2 (Almoço)])),
              IF(OR(AND(tblHorasAbr[Evento 
(2º Período)]&lt;&gt;"",IF(ISERROR(VLOOKUP(tblHorasAbr[Evento 
(2º Período)],tblEvento[],Tabelas!$E$1,FALSE)),FALSE,VLOOKUP(tblHorasAbr[Evento 
(2º Período)],tblEvento[],Tabelas!$E$1,FALSE)="Sim")),IF(VLOOKUP(TEXT(tblHorasAbr[Data],"dddd"),tblDiaUtil[],2,FALSE)="Não",TRUE,FALSE)),
                   tblHorasAbr[Saída - 2]-tblHorasAbr[Entrada - 2 (Almoço)],
                   IF(OR(HOUR(tblHorasAbr[Saída - 2]-tblHorasAbr[Entrada - 2 (Almoço)])&gt;0,MINUTE(tblHorasAbr[Saída - 2]-tblHorasAbr[Entrada - 2 (Almoço)])&gt;CARENCIA),
                         tblHorasAbr[Saída - 2]-tblHorasAbr[Entrada - 2 (Almoço)],
                         0)),
       0)),0)</f>
        <v>0</v>
      </c>
      <c r="L19" s="4">
        <f>tblHorasAbr[Horas Trabalhadas (1º Período)]+tblHorasAbr[Horas Trabalhadas (2º Período)]</f>
        <v>0</v>
      </c>
      <c r="M19" s="4" t="str">
        <f>IF(tblHorasAbr[Data]&lt;&gt;"",
        IF(
AND(VLOOKUP(TEXT(tblHorasAbr[Data],"dddd"),tblDiaUtil[],3,FALSE)="Sim",IF(tblHorasAbr[Evento 
(1º Período)]&lt;&gt;"",IF(VLOOKUP(tblHorasAbr[Evento 
(1º Período)],tblEvento[],Tabelas!$E$1,FALSE)="Sim",FALSE,TRUE),TRUE),IF(tblHorasAbr[Evento 
(2º Período)]&lt;&gt;"",IF(VLOOKUP(tblHorasAbr[Evento 
(2º Período)],tblEvento[],Tabelas!$E$1,FALSE)="Sim",FALSE,TRUE),TRUE)),
              IF(VLOOKUP(tblHorasAbr[Dia],tblDiaUtil[[Abreviatura]:[1º Período]],3,FALSE)&gt;0,VLOOKUP(tblHorasAbr[Dia],tblDiaUtil[[Abreviatura]:[1º Período]],3,FALSE),JORNADA),
              ""),
         "")</f>
        <v/>
      </c>
      <c r="N19" s="14">
        <f>IF(OR(tblHorasAbr[Horas Trabalhadas (1º Período)]&lt;&gt;0,tblHorasAbr[Horas Trabalhadas (2º Período)]&lt;&gt;0),
        IF(ISNUMBER(tblHorasAbr[Jornada Diária]),
              IF(tblHorasAbr[Jornada Diária]&gt;(tblHorasAbr[Horas Trabalhadas (2º Período)]+tblHorasAbr[Horas Trabalhadas (1º Período)]),
                     IF(ROUND((tblHorasAbr[Jornada Diária]-(tblHorasAbr[Horas Trabalhadas (2º Período)]+tblHorasAbr[Horas Trabalhadas (1º Período)])),6)&gt;ROUND(CARENCIA,6),
                           -tblHorasAbr[Jornada Diária]+(tblHorasAbr[Horas Trabalhadas (2º Período)]+tblHorasAbr[Horas Trabalhadas (1º Período)]),
                           0),
                      IF(ROUND((tblHorasAbr[Jornada Diária]-(tblHorasAbr[Horas Trabalhadas (2º Período)]+tblHorasAbr[Horas Trabalhadas (1º Período)])),6)&lt;ROUND(-CARENCIA,6),
                           -tblHorasAbr[Jornada Diária]+(tblHorasAbr[Horas Trabalhadas (2º Período)]+tblHorasAbr[Horas Trabalhadas (1º Período)]),
                           0)),
              tblHorasAbr[Horas Trabalhadas (2º Período)]+tblHorasAbr[Horas Trabalhadas (1º Período)]),
         IF(AND(IF(ISERROR(VLOOKUP(tblHorasAbr[Evento 
(1º Período)],tblEvento[[Evento]:[Libera o Período]],4,FALSE)),FALSE,IF(VLOOKUP(tblHorasAbr[Evento 
(1º Período)],tblEvento[[Evento]:[Libera o Período]],4,FALSE)="Não",TRUE,FALSE)),IF(ISERROR(VLOOKUP(tblHorasAbr[Evento 
(2º Período)],tblEvento[[Evento]:[Libera o Período]],4,FALSE)),FALSE,IF(VLOOKUP(tblHorasAbr[Evento 
(2º Período)],tblEvento[[Evento]:[Libera o Período]],4,FALSE)="Não",TRUE,FALSE))),
-IF(VLOOKUP(tblHorasAbr[Dia],tblDiaUtil[[Abreviatura]:[Total Jornada]],5,FALSE)&lt;&gt;"",VLOOKUP(tblHorasAbr[Dia],tblDiaUtil[[Abreviatura]:[Total Jornada]],5,FALSE),JORNADA),
IF(IF(ISERROR(VLOOKUP(tblHorasAbr[Evento 
(1º Período)],tblEvento[[Evento]:[Libera o Período]],4,FALSE)),FALSE,
IF(VLOOKUP(tblHorasAbr[Evento 
(1º Período)],tblEvento[[Evento]:[Libera o Período]],4,FALSE)="Não",TRUE,FALSE)
),
-IF(VLOOKUP(tblHorasAbr[Dia],tblDiaUtil[[Abreviatura]:[1º Período]],3,FALSE)&lt;&gt;"",VLOOKUP(tblHorasAbr[Dia],tblDiaUtil[[Abreviatura]:[1º Período]],3,FALSE),JORNADA_PERIODO_1),
IF(IF(ISERROR(VLOOKUP(tblHorasAbr[Evento 
(2º Período)],tblEvento[[Evento]:[Libera o Período]],4,FALSE)),FALSE,IF(VLOOKUP(tblHorasAbr[Evento 
(2º Período)],tblEvento[[Evento]:[Libera o Período]],4,FALSE)="Não",TRUE,FALSE)),
-IF(VLOOKUP(tblHorasAbr[Dia],tblDiaUtil[[Abreviatura]:[2º Período]],4,FALSE)&lt;&gt;"",VLOOKUP(tblHorasAbr[Dia],tblDiaUtil[[Abreviatura]:[2º Período]],4,FALSE),JORNADA_PERIODO_2),0))))</f>
        <v>0</v>
      </c>
      <c r="O19" s="14">
        <f>IF(tblHorasAbr[Horas Trabalhadas Além Jornada]&gt;0,
        IF(ISNUMBER(tblHorasAbr[Jornada Diária]),
              IF(HOUR(tblHorasAbr[Horas Trabalhadas Além Jornada])&gt;=VLOOKUP(LIMITE,tblLimiteHora[],Tabelas!$I$1,FALSE),
                    VLOOKUP(LIMITE,tblLimiteHora[],Tabelas!$J$1,FALSE),
                    tblHorasAbr[Horas Trabalhadas Além Jornada]),
              tblHorasAbr[Horas Trabalhadas Além Jornada]),
        tblHorasAbr[Horas Trabalhadas Além Jornada])+O18</f>
        <v>0</v>
      </c>
      <c r="P19" s="14" t="str">
        <f>IF(tblHorasAbr[Horas Trabalhadas Além Jornada]&lt;0,IF(OR(tblHorasAbr[Evento 
(1º Período)]="",tblHorasAbr[Evento 
(2º Período)]=""),tblHorasAbr[Horas Trabalhadas Além Jornada],""),"")</f>
        <v/>
      </c>
      <c r="Q19" s="14" t="str">
        <f>IF(tblHorasAbr[Jornada Diária]&lt;&gt;"",IF((N(tblHorasAbr[Jornada Diária])-ABS(N(tblHorasAbr[Horas Trabalhadas Além Jornada])))=0,1,""),"")</f>
        <v/>
      </c>
      <c r="R19" s="14" t="str">
        <f>IF(tblHorasAbr[Horas Trabalhadas Além Jornada]&gt;0,
IF(AND(VLOOKUP(TEXT(tblHorasAbr[Data],"dddd"),tblDiaUtil[],3,FALSE)="Sim",IF(tblHorasAbr[Evento 
(1º Período)]&lt;&gt;"",IF(VLOOKUP(tblHorasAbr[Evento 
(1º Período)],tblEvento[],Tabelas!$E$1,FALSE)="Sim",FALSE,TRUE),TRUE),IF(tblHorasAbr[Evento 
(2º Período)]&lt;&gt;"",IF(VLOOKUP(tblHorasAbr[Evento 
(2º Período)],tblEvento[],Tabelas!$E$1,FALSE)="Sim",FALSE,TRUE),TRUE)),
tblHorasAbr[Horas Trabalhadas Além Jornada],""),"")</f>
        <v/>
      </c>
      <c r="S19" s="14" t="str">
        <f>IF(tblHorasAbr[Horas Trabalhadas Além Jornada]&gt;0,
IF(OR(VLOOKUP(TEXT(tblHorasAbr[Data],"dddd"),tblDiaUtil[],3,FALSE)="Não",IF(tblHorasAbr[Evento 
(1º Período)]&lt;&gt;"",IF(VLOOKUP(tblHorasAbr[Evento 
(1º Período)],tblEvento[],Tabelas!$E$1,FALSE)="Sim",TRUE,FALSE),FALSE),IF(tblHorasAbr[Evento 
(2º Período)]&lt;&gt;"",IF(VLOOKUP(tblHorasAbr[Evento 
(2º Período)],tblEvento[],Tabelas!$E$1,FALSE)="Sim",TRUE,FALSE),FALSE)),
tblHorasAbr[Horas Trabalhadas Além Jornada],""),"")</f>
        <v/>
      </c>
      <c r="T19" s="15" t="str">
        <f>IF(tblHorasAbr[Evento 
(1º Período)]&lt;&gt;""," - " &amp;VLOOKUP(tblHorasAbr[Evento 
(1º Período)],tblEvento[],Tabelas!$F$1,FALSE),"")&amp;IF(AND(tblHorasAbr[Evento 
(2º Período)]&lt;&gt;"",tblHorasAbr[Evento 
(2º Período)]&lt;&gt;tblHorasAbr[Evento 
(1º Período)])," - " &amp; VLOOKUP(tblHorasAbr[Evento 
(2º Período)],tblEvento[],Tabelas!$F$1,FALSE),"")</f>
        <v/>
      </c>
    </row>
    <row r="20" spans="2:20" x14ac:dyDescent="0.25">
      <c r="B20" s="11" t="str">
        <f t="shared" si="0"/>
        <v/>
      </c>
      <c r="C20" s="12" t="str">
        <f>TEXT(tblHorasAbr[Data],"ddd")</f>
        <v/>
      </c>
      <c r="D20" s="25"/>
      <c r="E20" s="1"/>
      <c r="F20" s="1"/>
      <c r="G20" s="1"/>
      <c r="H20" s="1"/>
      <c r="I20" s="53"/>
      <c r="J20" s="4">
        <f>IF($B$6&lt;&gt;"",
IF(AND(tblHorasAbr[Evento 
(1º Período)]&lt;&gt;"",IF(ISERROR(VLOOKUP(tblHorasAbr[Evento 
(1º Período)],tblEvento[],Tabelas!$D$1,FALSE)),FALSE,VLOOKUP(tblHorasAbr[Evento 
(1º Período)],tblEvento[],Tabelas!$D$1,FALSE)="Sim")),
        IF(JORNADA_PERIODO_1&lt;&gt;"",
IF(VLOOKUP(tblHorasAbr[Dia],tblDiaUtil[[Abreviatura]:[1º Período]],3,FALSE)&gt;0,VLOOKUP(tblHorasAbr[Dia],tblDiaUtil[[Abreviatura]:[1º Período]],3,FALSE),JORNADA_PERIODO_1),
IF(VLOOKUP(tblHorasAbr[Dia],tblDiaUtil[[Abreviatura]:[1º Período]],3,FALSE)&gt;0,VLOOKUP(tblHorasAbr[Dia],tblDiaUtil[[Abreviatura]:[1º Período]],3,FALSE),JORNADA/2)),
        IF(AND(ISNUMBER(tblHorasAbr[Saída - 1 (Almoço)]),ISNUMBER(tblHorasAbr[Entrada - 1])),
              IF(OR(AND(tblHorasAbr[Evento 
(1º Período)]&lt;&gt;"",IF(ISERROR(VLOOKUP(tblHorasAbr[Evento 
(1º Período)],tblEvento[],Tabelas!$E$1,FALSE)),FALSE,VLOOKUP(tblHorasAbr[Evento 
(1º Período)],tblEvento[],Tabelas!$E$1,FALSE)="Sim")),IF(VLOOKUP(TEXT(tblHorasAbr[Data],"dddd"),tblDiaUtil[],2,FALSE)="Não",TRUE,FALSE)),
                   tblHorasAbr[Saída - 1 (Almoço)]-tblHorasAbr[Entrada - 1],
                   IF(OR(HOUR(tblHorasAbr[Saída - 1 (Almoço)]-tblHorasAbr[Entrada - 1])&gt;0,ROUND(tblHorasAbr[Saída - 1 (Almoço)]-tblHorasAbr[Entrada - 1],6)&gt;ROUND(CARENCIA,6)),
                          tblHorasAbr[Saída - 1 (Almoço)]-tblHorasAbr[Entrada - 1],
                          0)),
                    0)),0)</f>
        <v>0</v>
      </c>
      <c r="K20" s="4">
        <f>IF($B$6&lt;&gt;"",
IF(AND(tblHorasAbr[Evento 
(2º Período)]&lt;&gt;"",IF(ISERROR(VLOOKUP(tblHorasAbr[Evento 
(2º Período)],tblEvento[],Tabelas!$D$1,FALSE)),FALSE,VLOOKUP(tblHorasAbr[Evento 
(2º Período)],tblEvento[],Tabelas!$D$1,FALSE)="Sim")),
        IF(JORNADA_PERIODO_2&lt;&gt;"",
IF(VLOOKUP(tblHorasAbr[Dia],tblDiaUtil[[Abreviatura]:[2º Período]],4,FALSE)&gt;0,VLOOKUP(tblHorasAbr[Dia],tblDiaUtil[[Abreviatura]:[2º Período]],4,FALSE),JORNADA_PERIODO_2),
IF(VLOOKUP(tblHorasAbr[Dia],tblDiaUtil[[Abreviatura]:[2º Período]],4,FALSE)&gt;0,VLOOKUP(tblHorasAbr[Dia],tblDiaUtil[[Abreviatura]:[2º Período]],4,FALSE),JORNADA/2)),
        IF(AND(ISNUMBER(tblHorasAbr[Saída - 2]),ISNUMBER(tblHorasAbr[Entrada - 2 (Almoço)])),
              IF(OR(AND(tblHorasAbr[Evento 
(2º Período)]&lt;&gt;"",IF(ISERROR(VLOOKUP(tblHorasAbr[Evento 
(2º Período)],tblEvento[],Tabelas!$E$1,FALSE)),FALSE,VLOOKUP(tblHorasAbr[Evento 
(2º Período)],tblEvento[],Tabelas!$E$1,FALSE)="Sim")),IF(VLOOKUP(TEXT(tblHorasAbr[Data],"dddd"),tblDiaUtil[],2,FALSE)="Não",TRUE,FALSE)),
                   tblHorasAbr[Saída - 2]-tblHorasAbr[Entrada - 2 (Almoço)],
                   IF(OR(HOUR(tblHorasAbr[Saída - 2]-tblHorasAbr[Entrada - 2 (Almoço)])&gt;0,MINUTE(tblHorasAbr[Saída - 2]-tblHorasAbr[Entrada - 2 (Almoço)])&gt;CARENCIA),
                         tblHorasAbr[Saída - 2]-tblHorasAbr[Entrada - 2 (Almoço)],
                         0)),
       0)),0)</f>
        <v>0</v>
      </c>
      <c r="L20" s="4">
        <f>tblHorasAbr[Horas Trabalhadas (1º Período)]+tblHorasAbr[Horas Trabalhadas (2º Período)]</f>
        <v>0</v>
      </c>
      <c r="M20" s="4" t="str">
        <f>IF(tblHorasAbr[Data]&lt;&gt;"",
        IF(
AND(VLOOKUP(TEXT(tblHorasAbr[Data],"dddd"),tblDiaUtil[],3,FALSE)="Sim",IF(tblHorasAbr[Evento 
(1º Período)]&lt;&gt;"",IF(VLOOKUP(tblHorasAbr[Evento 
(1º Período)],tblEvento[],Tabelas!$E$1,FALSE)="Sim",FALSE,TRUE),TRUE),IF(tblHorasAbr[Evento 
(2º Período)]&lt;&gt;"",IF(VLOOKUP(tblHorasAbr[Evento 
(2º Período)],tblEvento[],Tabelas!$E$1,FALSE)="Sim",FALSE,TRUE),TRUE)),
              IF(VLOOKUP(tblHorasAbr[Dia],tblDiaUtil[[Abreviatura]:[1º Período]],3,FALSE)&gt;0,VLOOKUP(tblHorasAbr[Dia],tblDiaUtil[[Abreviatura]:[1º Período]],3,FALSE),JORNADA),
              ""),
         "")</f>
        <v/>
      </c>
      <c r="N20" s="14">
        <f>IF(OR(tblHorasAbr[Horas Trabalhadas (1º Período)]&lt;&gt;0,tblHorasAbr[Horas Trabalhadas (2º Período)]&lt;&gt;0),
        IF(ISNUMBER(tblHorasAbr[Jornada Diária]),
              IF(tblHorasAbr[Jornada Diária]&gt;(tblHorasAbr[Horas Trabalhadas (2º Período)]+tblHorasAbr[Horas Trabalhadas (1º Período)]),
                     IF(ROUND((tblHorasAbr[Jornada Diária]-(tblHorasAbr[Horas Trabalhadas (2º Período)]+tblHorasAbr[Horas Trabalhadas (1º Período)])),6)&gt;ROUND(CARENCIA,6),
                           -tblHorasAbr[Jornada Diária]+(tblHorasAbr[Horas Trabalhadas (2º Período)]+tblHorasAbr[Horas Trabalhadas (1º Período)]),
                           0),
                      IF(ROUND((tblHorasAbr[Jornada Diária]-(tblHorasAbr[Horas Trabalhadas (2º Período)]+tblHorasAbr[Horas Trabalhadas (1º Período)])),6)&lt;ROUND(-CARENCIA,6),
                           -tblHorasAbr[Jornada Diária]+(tblHorasAbr[Horas Trabalhadas (2º Período)]+tblHorasAbr[Horas Trabalhadas (1º Período)]),
                           0)),
              tblHorasAbr[Horas Trabalhadas (2º Período)]+tblHorasAbr[Horas Trabalhadas (1º Período)]),
         IF(AND(IF(ISERROR(VLOOKUP(tblHorasAbr[Evento 
(1º Período)],tblEvento[[Evento]:[Libera o Período]],4,FALSE)),FALSE,IF(VLOOKUP(tblHorasAbr[Evento 
(1º Período)],tblEvento[[Evento]:[Libera o Período]],4,FALSE)="Não",TRUE,FALSE)),IF(ISERROR(VLOOKUP(tblHorasAbr[Evento 
(2º Período)],tblEvento[[Evento]:[Libera o Período]],4,FALSE)),FALSE,IF(VLOOKUP(tblHorasAbr[Evento 
(2º Período)],tblEvento[[Evento]:[Libera o Período]],4,FALSE)="Não",TRUE,FALSE))),
-IF(VLOOKUP(tblHorasAbr[Dia],tblDiaUtil[[Abreviatura]:[Total Jornada]],5,FALSE)&lt;&gt;"",VLOOKUP(tblHorasAbr[Dia],tblDiaUtil[[Abreviatura]:[Total Jornada]],5,FALSE),JORNADA),
IF(IF(ISERROR(VLOOKUP(tblHorasAbr[Evento 
(1º Período)],tblEvento[[Evento]:[Libera o Período]],4,FALSE)),FALSE,
IF(VLOOKUP(tblHorasAbr[Evento 
(1º Período)],tblEvento[[Evento]:[Libera o Período]],4,FALSE)="Não",TRUE,FALSE)
),
-IF(VLOOKUP(tblHorasAbr[Dia],tblDiaUtil[[Abreviatura]:[1º Período]],3,FALSE)&lt;&gt;"",VLOOKUP(tblHorasAbr[Dia],tblDiaUtil[[Abreviatura]:[1º Período]],3,FALSE),JORNADA_PERIODO_1),
IF(IF(ISERROR(VLOOKUP(tblHorasAbr[Evento 
(2º Período)],tblEvento[[Evento]:[Libera o Período]],4,FALSE)),FALSE,IF(VLOOKUP(tblHorasAbr[Evento 
(2º Período)],tblEvento[[Evento]:[Libera o Período]],4,FALSE)="Não",TRUE,FALSE)),
-IF(VLOOKUP(tblHorasAbr[Dia],tblDiaUtil[[Abreviatura]:[2º Período]],4,FALSE)&lt;&gt;"",VLOOKUP(tblHorasAbr[Dia],tblDiaUtil[[Abreviatura]:[2º Período]],4,FALSE),JORNADA_PERIODO_2),0))))</f>
        <v>0</v>
      </c>
      <c r="O20" s="14">
        <f>IF(tblHorasAbr[Horas Trabalhadas Além Jornada]&gt;0,
        IF(ISNUMBER(tblHorasAbr[Jornada Diária]),
              IF(HOUR(tblHorasAbr[Horas Trabalhadas Além Jornada])&gt;=VLOOKUP(LIMITE,tblLimiteHora[],Tabelas!$I$1,FALSE),
                    VLOOKUP(LIMITE,tblLimiteHora[],Tabelas!$J$1,FALSE),
                    tblHorasAbr[Horas Trabalhadas Além Jornada]),
              tblHorasAbr[Horas Trabalhadas Além Jornada]),
        tblHorasAbr[Horas Trabalhadas Além Jornada])+O19</f>
        <v>0</v>
      </c>
      <c r="P20" s="14" t="str">
        <f>IF(tblHorasAbr[Horas Trabalhadas Além Jornada]&lt;0,IF(OR(tblHorasAbr[Evento 
(1º Período)]="",tblHorasAbr[Evento 
(2º Período)]=""),tblHorasAbr[Horas Trabalhadas Além Jornada],""),"")</f>
        <v/>
      </c>
      <c r="Q20" s="14" t="str">
        <f>IF(tblHorasAbr[Jornada Diária]&lt;&gt;"",IF((N(tblHorasAbr[Jornada Diária])-ABS(N(tblHorasAbr[Horas Trabalhadas Além Jornada])))=0,1,""),"")</f>
        <v/>
      </c>
      <c r="R20" s="14" t="str">
        <f>IF(tblHorasAbr[Horas Trabalhadas Além Jornada]&gt;0,
IF(AND(VLOOKUP(TEXT(tblHorasAbr[Data],"dddd"),tblDiaUtil[],3,FALSE)="Sim",IF(tblHorasAbr[Evento 
(1º Período)]&lt;&gt;"",IF(VLOOKUP(tblHorasAbr[Evento 
(1º Período)],tblEvento[],Tabelas!$E$1,FALSE)="Sim",FALSE,TRUE),TRUE),IF(tblHorasAbr[Evento 
(2º Período)]&lt;&gt;"",IF(VLOOKUP(tblHorasAbr[Evento 
(2º Período)],tblEvento[],Tabelas!$E$1,FALSE)="Sim",FALSE,TRUE),TRUE)),
tblHorasAbr[Horas Trabalhadas Além Jornada],""),"")</f>
        <v/>
      </c>
      <c r="S20" s="14" t="str">
        <f>IF(tblHorasAbr[Horas Trabalhadas Além Jornada]&gt;0,
IF(OR(VLOOKUP(TEXT(tblHorasAbr[Data],"dddd"),tblDiaUtil[],3,FALSE)="Não",IF(tblHorasAbr[Evento 
(1º Período)]&lt;&gt;"",IF(VLOOKUP(tblHorasAbr[Evento 
(1º Período)],tblEvento[],Tabelas!$E$1,FALSE)="Sim",TRUE,FALSE),FALSE),IF(tblHorasAbr[Evento 
(2º Período)]&lt;&gt;"",IF(VLOOKUP(tblHorasAbr[Evento 
(2º Período)],tblEvento[],Tabelas!$E$1,FALSE)="Sim",TRUE,FALSE),FALSE)),
tblHorasAbr[Horas Trabalhadas Além Jornada],""),"")</f>
        <v/>
      </c>
      <c r="T20" s="15" t="str">
        <f>IF(tblHorasAbr[Evento 
(1º Período)]&lt;&gt;""," - " &amp;VLOOKUP(tblHorasAbr[Evento 
(1º Período)],tblEvento[],Tabelas!$F$1,FALSE),"")&amp;IF(AND(tblHorasAbr[Evento 
(2º Período)]&lt;&gt;"",tblHorasAbr[Evento 
(2º Período)]&lt;&gt;tblHorasAbr[Evento 
(1º Período)])," - " &amp; VLOOKUP(tblHorasAbr[Evento 
(2º Período)],tblEvento[],Tabelas!$F$1,FALSE),"")</f>
        <v/>
      </c>
    </row>
    <row r="21" spans="2:20" x14ac:dyDescent="0.25">
      <c r="B21" s="11" t="str">
        <f t="shared" si="0"/>
        <v/>
      </c>
      <c r="C21" s="12" t="str">
        <f>TEXT(tblHorasAbr[Data],"ddd")</f>
        <v/>
      </c>
      <c r="D21" s="25"/>
      <c r="E21" s="1"/>
      <c r="F21" s="1"/>
      <c r="G21" s="1"/>
      <c r="H21" s="1"/>
      <c r="I21" s="53"/>
      <c r="J21" s="4">
        <f>IF($B$6&lt;&gt;"",
IF(AND(tblHorasAbr[Evento 
(1º Período)]&lt;&gt;"",IF(ISERROR(VLOOKUP(tblHorasAbr[Evento 
(1º Período)],tblEvento[],Tabelas!$D$1,FALSE)),FALSE,VLOOKUP(tblHorasAbr[Evento 
(1º Período)],tblEvento[],Tabelas!$D$1,FALSE)="Sim")),
        IF(JORNADA_PERIODO_1&lt;&gt;"",
IF(VLOOKUP(tblHorasAbr[Dia],tblDiaUtil[[Abreviatura]:[1º Período]],3,FALSE)&gt;0,VLOOKUP(tblHorasAbr[Dia],tblDiaUtil[[Abreviatura]:[1º Período]],3,FALSE),JORNADA_PERIODO_1),
IF(VLOOKUP(tblHorasAbr[Dia],tblDiaUtil[[Abreviatura]:[1º Período]],3,FALSE)&gt;0,VLOOKUP(tblHorasAbr[Dia],tblDiaUtil[[Abreviatura]:[1º Período]],3,FALSE),JORNADA/2)),
        IF(AND(ISNUMBER(tblHorasAbr[Saída - 1 (Almoço)]),ISNUMBER(tblHorasAbr[Entrada - 1])),
              IF(OR(AND(tblHorasAbr[Evento 
(1º Período)]&lt;&gt;"",IF(ISERROR(VLOOKUP(tblHorasAbr[Evento 
(1º Período)],tblEvento[],Tabelas!$E$1,FALSE)),FALSE,VLOOKUP(tblHorasAbr[Evento 
(1º Período)],tblEvento[],Tabelas!$E$1,FALSE)="Sim")),IF(VLOOKUP(TEXT(tblHorasAbr[Data],"dddd"),tblDiaUtil[],2,FALSE)="Não",TRUE,FALSE)),
                   tblHorasAbr[Saída - 1 (Almoço)]-tblHorasAbr[Entrada - 1],
                   IF(OR(HOUR(tblHorasAbr[Saída - 1 (Almoço)]-tblHorasAbr[Entrada - 1])&gt;0,ROUND(tblHorasAbr[Saída - 1 (Almoço)]-tblHorasAbr[Entrada - 1],6)&gt;ROUND(CARENCIA,6)),
                          tblHorasAbr[Saída - 1 (Almoço)]-tblHorasAbr[Entrada - 1],
                          0)),
                    0)),0)</f>
        <v>0</v>
      </c>
      <c r="K21" s="4">
        <f>IF($B$6&lt;&gt;"",
IF(AND(tblHorasAbr[Evento 
(2º Período)]&lt;&gt;"",IF(ISERROR(VLOOKUP(tblHorasAbr[Evento 
(2º Período)],tblEvento[],Tabelas!$D$1,FALSE)),FALSE,VLOOKUP(tblHorasAbr[Evento 
(2º Período)],tblEvento[],Tabelas!$D$1,FALSE)="Sim")),
        IF(JORNADA_PERIODO_2&lt;&gt;"",
IF(VLOOKUP(tblHorasAbr[Dia],tblDiaUtil[[Abreviatura]:[2º Período]],4,FALSE)&gt;0,VLOOKUP(tblHorasAbr[Dia],tblDiaUtil[[Abreviatura]:[2º Período]],4,FALSE),JORNADA_PERIODO_2),
IF(VLOOKUP(tblHorasAbr[Dia],tblDiaUtil[[Abreviatura]:[2º Período]],4,FALSE)&gt;0,VLOOKUP(tblHorasAbr[Dia],tblDiaUtil[[Abreviatura]:[2º Período]],4,FALSE),JORNADA/2)),
        IF(AND(ISNUMBER(tblHorasAbr[Saída - 2]),ISNUMBER(tblHorasAbr[Entrada - 2 (Almoço)])),
              IF(OR(AND(tblHorasAbr[Evento 
(2º Período)]&lt;&gt;"",IF(ISERROR(VLOOKUP(tblHorasAbr[Evento 
(2º Período)],tblEvento[],Tabelas!$E$1,FALSE)),FALSE,VLOOKUP(tblHorasAbr[Evento 
(2º Período)],tblEvento[],Tabelas!$E$1,FALSE)="Sim")),IF(VLOOKUP(TEXT(tblHorasAbr[Data],"dddd"),tblDiaUtil[],2,FALSE)="Não",TRUE,FALSE)),
                   tblHorasAbr[Saída - 2]-tblHorasAbr[Entrada - 2 (Almoço)],
                   IF(OR(HOUR(tblHorasAbr[Saída - 2]-tblHorasAbr[Entrada - 2 (Almoço)])&gt;0,MINUTE(tblHorasAbr[Saída - 2]-tblHorasAbr[Entrada - 2 (Almoço)])&gt;CARENCIA),
                         tblHorasAbr[Saída - 2]-tblHorasAbr[Entrada - 2 (Almoço)],
                         0)),
       0)),0)</f>
        <v>0</v>
      </c>
      <c r="L21" s="4">
        <f>tblHorasAbr[Horas Trabalhadas (1º Período)]+tblHorasAbr[Horas Trabalhadas (2º Período)]</f>
        <v>0</v>
      </c>
      <c r="M21" s="4" t="str">
        <f>IF(tblHorasAbr[Data]&lt;&gt;"",
        IF(
AND(VLOOKUP(TEXT(tblHorasAbr[Data],"dddd"),tblDiaUtil[],3,FALSE)="Sim",IF(tblHorasAbr[Evento 
(1º Período)]&lt;&gt;"",IF(VLOOKUP(tblHorasAbr[Evento 
(1º Período)],tblEvento[],Tabelas!$E$1,FALSE)="Sim",FALSE,TRUE),TRUE),IF(tblHorasAbr[Evento 
(2º Período)]&lt;&gt;"",IF(VLOOKUP(tblHorasAbr[Evento 
(2º Período)],tblEvento[],Tabelas!$E$1,FALSE)="Sim",FALSE,TRUE),TRUE)),
              IF(VLOOKUP(tblHorasAbr[Dia],tblDiaUtil[[Abreviatura]:[1º Período]],3,FALSE)&gt;0,VLOOKUP(tblHorasAbr[Dia],tblDiaUtil[[Abreviatura]:[1º Período]],3,FALSE),JORNADA),
              ""),
         "")</f>
        <v/>
      </c>
      <c r="N21" s="14">
        <f>IF(OR(tblHorasAbr[Horas Trabalhadas (1º Período)]&lt;&gt;0,tblHorasAbr[Horas Trabalhadas (2º Período)]&lt;&gt;0),
        IF(ISNUMBER(tblHorasAbr[Jornada Diária]),
              IF(tblHorasAbr[Jornada Diária]&gt;(tblHorasAbr[Horas Trabalhadas (2º Período)]+tblHorasAbr[Horas Trabalhadas (1º Período)]),
                     IF(ROUND((tblHorasAbr[Jornada Diária]-(tblHorasAbr[Horas Trabalhadas (2º Período)]+tblHorasAbr[Horas Trabalhadas (1º Período)])),6)&gt;ROUND(CARENCIA,6),
                           -tblHorasAbr[Jornada Diária]+(tblHorasAbr[Horas Trabalhadas (2º Período)]+tblHorasAbr[Horas Trabalhadas (1º Período)]),
                           0),
                      IF(ROUND((tblHorasAbr[Jornada Diária]-(tblHorasAbr[Horas Trabalhadas (2º Período)]+tblHorasAbr[Horas Trabalhadas (1º Período)])),6)&lt;ROUND(-CARENCIA,6),
                           -tblHorasAbr[Jornada Diária]+(tblHorasAbr[Horas Trabalhadas (2º Período)]+tblHorasAbr[Horas Trabalhadas (1º Período)]),
                           0)),
              tblHorasAbr[Horas Trabalhadas (2º Período)]+tblHorasAbr[Horas Trabalhadas (1º Período)]),
         IF(AND(IF(ISERROR(VLOOKUP(tblHorasAbr[Evento 
(1º Período)],tblEvento[[Evento]:[Libera o Período]],4,FALSE)),FALSE,IF(VLOOKUP(tblHorasAbr[Evento 
(1º Período)],tblEvento[[Evento]:[Libera o Período]],4,FALSE)="Não",TRUE,FALSE)),IF(ISERROR(VLOOKUP(tblHorasAbr[Evento 
(2º Período)],tblEvento[[Evento]:[Libera o Período]],4,FALSE)),FALSE,IF(VLOOKUP(tblHorasAbr[Evento 
(2º Período)],tblEvento[[Evento]:[Libera o Período]],4,FALSE)="Não",TRUE,FALSE))),
-IF(VLOOKUP(tblHorasAbr[Dia],tblDiaUtil[[Abreviatura]:[Total Jornada]],5,FALSE)&lt;&gt;"",VLOOKUP(tblHorasAbr[Dia],tblDiaUtil[[Abreviatura]:[Total Jornada]],5,FALSE),JORNADA),
IF(IF(ISERROR(VLOOKUP(tblHorasAbr[Evento 
(1º Período)],tblEvento[[Evento]:[Libera o Período]],4,FALSE)),FALSE,
IF(VLOOKUP(tblHorasAbr[Evento 
(1º Período)],tblEvento[[Evento]:[Libera o Período]],4,FALSE)="Não",TRUE,FALSE)
),
-IF(VLOOKUP(tblHorasAbr[Dia],tblDiaUtil[[Abreviatura]:[1º Período]],3,FALSE)&lt;&gt;"",VLOOKUP(tblHorasAbr[Dia],tblDiaUtil[[Abreviatura]:[1º Período]],3,FALSE),JORNADA_PERIODO_1),
IF(IF(ISERROR(VLOOKUP(tblHorasAbr[Evento 
(2º Período)],tblEvento[[Evento]:[Libera o Período]],4,FALSE)),FALSE,IF(VLOOKUP(tblHorasAbr[Evento 
(2º Período)],tblEvento[[Evento]:[Libera o Período]],4,FALSE)="Não",TRUE,FALSE)),
-IF(VLOOKUP(tblHorasAbr[Dia],tblDiaUtil[[Abreviatura]:[2º Período]],4,FALSE)&lt;&gt;"",VLOOKUP(tblHorasAbr[Dia],tblDiaUtil[[Abreviatura]:[2º Período]],4,FALSE),JORNADA_PERIODO_2),0))))</f>
        <v>0</v>
      </c>
      <c r="O21" s="14">
        <f>IF(tblHorasAbr[Horas Trabalhadas Além Jornada]&gt;0,
        IF(ISNUMBER(tblHorasAbr[Jornada Diária]),
              IF(HOUR(tblHorasAbr[Horas Trabalhadas Além Jornada])&gt;=VLOOKUP(LIMITE,tblLimiteHora[],Tabelas!$I$1,FALSE),
                    VLOOKUP(LIMITE,tblLimiteHora[],Tabelas!$J$1,FALSE),
                    tblHorasAbr[Horas Trabalhadas Além Jornada]),
              tblHorasAbr[Horas Trabalhadas Além Jornada]),
        tblHorasAbr[Horas Trabalhadas Além Jornada])+O20</f>
        <v>0</v>
      </c>
      <c r="P21" s="14" t="str">
        <f>IF(tblHorasAbr[Horas Trabalhadas Além Jornada]&lt;0,IF(OR(tblHorasAbr[Evento 
(1º Período)]="",tblHorasAbr[Evento 
(2º Período)]=""),tblHorasAbr[Horas Trabalhadas Além Jornada],""),"")</f>
        <v/>
      </c>
      <c r="Q21" s="14" t="str">
        <f>IF(tblHorasAbr[Jornada Diária]&lt;&gt;"",IF((N(tblHorasAbr[Jornada Diária])-ABS(N(tblHorasAbr[Horas Trabalhadas Além Jornada])))=0,1,""),"")</f>
        <v/>
      </c>
      <c r="R21" s="14" t="str">
        <f>IF(tblHorasAbr[Horas Trabalhadas Além Jornada]&gt;0,
IF(AND(VLOOKUP(TEXT(tblHorasAbr[Data],"dddd"),tblDiaUtil[],3,FALSE)="Sim",IF(tblHorasAbr[Evento 
(1º Período)]&lt;&gt;"",IF(VLOOKUP(tblHorasAbr[Evento 
(1º Período)],tblEvento[],Tabelas!$E$1,FALSE)="Sim",FALSE,TRUE),TRUE),IF(tblHorasAbr[Evento 
(2º Período)]&lt;&gt;"",IF(VLOOKUP(tblHorasAbr[Evento 
(2º Período)],tblEvento[],Tabelas!$E$1,FALSE)="Sim",FALSE,TRUE),TRUE)),
tblHorasAbr[Horas Trabalhadas Além Jornada],""),"")</f>
        <v/>
      </c>
      <c r="S21" s="14" t="str">
        <f>IF(tblHorasAbr[Horas Trabalhadas Além Jornada]&gt;0,
IF(OR(VLOOKUP(TEXT(tblHorasAbr[Data],"dddd"),tblDiaUtil[],3,FALSE)="Não",IF(tblHorasAbr[Evento 
(1º Período)]&lt;&gt;"",IF(VLOOKUP(tblHorasAbr[Evento 
(1º Período)],tblEvento[],Tabelas!$E$1,FALSE)="Sim",TRUE,FALSE),FALSE),IF(tblHorasAbr[Evento 
(2º Período)]&lt;&gt;"",IF(VLOOKUP(tblHorasAbr[Evento 
(2º Período)],tblEvento[],Tabelas!$E$1,FALSE)="Sim",TRUE,FALSE),FALSE)),
tblHorasAbr[Horas Trabalhadas Além Jornada],""),"")</f>
        <v/>
      </c>
      <c r="T21" s="15" t="str">
        <f>IF(tblHorasAbr[Evento 
(1º Período)]&lt;&gt;""," - " &amp;VLOOKUP(tblHorasAbr[Evento 
(1º Período)],tblEvento[],Tabelas!$F$1,FALSE),"")&amp;IF(AND(tblHorasAbr[Evento 
(2º Período)]&lt;&gt;"",tblHorasAbr[Evento 
(2º Período)]&lt;&gt;tblHorasAbr[Evento 
(1º Período)])," - " &amp; VLOOKUP(tblHorasAbr[Evento 
(2º Período)],tblEvento[],Tabelas!$F$1,FALSE),"")</f>
        <v/>
      </c>
    </row>
    <row r="22" spans="2:20" x14ac:dyDescent="0.25">
      <c r="B22" s="11" t="str">
        <f t="shared" si="0"/>
        <v/>
      </c>
      <c r="C22" s="12" t="str">
        <f>TEXT(tblHorasAbr[Data],"ddd")</f>
        <v/>
      </c>
      <c r="D22" s="25"/>
      <c r="E22" s="1"/>
      <c r="F22" s="1"/>
      <c r="G22" s="1"/>
      <c r="H22" s="1"/>
      <c r="I22" s="53"/>
      <c r="J22" s="4">
        <f>IF($B$6&lt;&gt;"",
IF(AND(tblHorasAbr[Evento 
(1º Período)]&lt;&gt;"",IF(ISERROR(VLOOKUP(tblHorasAbr[Evento 
(1º Período)],tblEvento[],Tabelas!$D$1,FALSE)),FALSE,VLOOKUP(tblHorasAbr[Evento 
(1º Período)],tblEvento[],Tabelas!$D$1,FALSE)="Sim")),
        IF(JORNADA_PERIODO_1&lt;&gt;"",
IF(VLOOKUP(tblHorasAbr[Dia],tblDiaUtil[[Abreviatura]:[1º Período]],3,FALSE)&gt;0,VLOOKUP(tblHorasAbr[Dia],tblDiaUtil[[Abreviatura]:[1º Período]],3,FALSE),JORNADA_PERIODO_1),
IF(VLOOKUP(tblHorasAbr[Dia],tblDiaUtil[[Abreviatura]:[1º Período]],3,FALSE)&gt;0,VLOOKUP(tblHorasAbr[Dia],tblDiaUtil[[Abreviatura]:[1º Período]],3,FALSE),JORNADA/2)),
        IF(AND(ISNUMBER(tblHorasAbr[Saída - 1 (Almoço)]),ISNUMBER(tblHorasAbr[Entrada - 1])),
              IF(OR(AND(tblHorasAbr[Evento 
(1º Período)]&lt;&gt;"",IF(ISERROR(VLOOKUP(tblHorasAbr[Evento 
(1º Período)],tblEvento[],Tabelas!$E$1,FALSE)),FALSE,VLOOKUP(tblHorasAbr[Evento 
(1º Período)],tblEvento[],Tabelas!$E$1,FALSE)="Sim")),IF(VLOOKUP(TEXT(tblHorasAbr[Data],"dddd"),tblDiaUtil[],2,FALSE)="Não",TRUE,FALSE)),
                   tblHorasAbr[Saída - 1 (Almoço)]-tblHorasAbr[Entrada - 1],
                   IF(OR(HOUR(tblHorasAbr[Saída - 1 (Almoço)]-tblHorasAbr[Entrada - 1])&gt;0,ROUND(tblHorasAbr[Saída - 1 (Almoço)]-tblHorasAbr[Entrada - 1],6)&gt;ROUND(CARENCIA,6)),
                          tblHorasAbr[Saída - 1 (Almoço)]-tblHorasAbr[Entrada - 1],
                          0)),
                    0)),0)</f>
        <v>0</v>
      </c>
      <c r="K22" s="4">
        <f>IF($B$6&lt;&gt;"",
IF(AND(tblHorasAbr[Evento 
(2º Período)]&lt;&gt;"",IF(ISERROR(VLOOKUP(tblHorasAbr[Evento 
(2º Período)],tblEvento[],Tabelas!$D$1,FALSE)),FALSE,VLOOKUP(tblHorasAbr[Evento 
(2º Período)],tblEvento[],Tabelas!$D$1,FALSE)="Sim")),
        IF(JORNADA_PERIODO_2&lt;&gt;"",
IF(VLOOKUP(tblHorasAbr[Dia],tblDiaUtil[[Abreviatura]:[2º Período]],4,FALSE)&gt;0,VLOOKUP(tblHorasAbr[Dia],tblDiaUtil[[Abreviatura]:[2º Período]],4,FALSE),JORNADA_PERIODO_2),
IF(VLOOKUP(tblHorasAbr[Dia],tblDiaUtil[[Abreviatura]:[2º Período]],4,FALSE)&gt;0,VLOOKUP(tblHorasAbr[Dia],tblDiaUtil[[Abreviatura]:[2º Período]],4,FALSE),JORNADA/2)),
        IF(AND(ISNUMBER(tblHorasAbr[Saída - 2]),ISNUMBER(tblHorasAbr[Entrada - 2 (Almoço)])),
              IF(OR(AND(tblHorasAbr[Evento 
(2º Período)]&lt;&gt;"",IF(ISERROR(VLOOKUP(tblHorasAbr[Evento 
(2º Período)],tblEvento[],Tabelas!$E$1,FALSE)),FALSE,VLOOKUP(tblHorasAbr[Evento 
(2º Período)],tblEvento[],Tabelas!$E$1,FALSE)="Sim")),IF(VLOOKUP(TEXT(tblHorasAbr[Data],"dddd"),tblDiaUtil[],2,FALSE)="Não",TRUE,FALSE)),
                   tblHorasAbr[Saída - 2]-tblHorasAbr[Entrada - 2 (Almoço)],
                   IF(OR(HOUR(tblHorasAbr[Saída - 2]-tblHorasAbr[Entrada - 2 (Almoço)])&gt;0,MINUTE(tblHorasAbr[Saída - 2]-tblHorasAbr[Entrada - 2 (Almoço)])&gt;CARENCIA),
                         tblHorasAbr[Saída - 2]-tblHorasAbr[Entrada - 2 (Almoço)],
                         0)),
       0)),0)</f>
        <v>0</v>
      </c>
      <c r="L22" s="4">
        <f>tblHorasAbr[Horas Trabalhadas (1º Período)]+tblHorasAbr[Horas Trabalhadas (2º Período)]</f>
        <v>0</v>
      </c>
      <c r="M22" s="4" t="str">
        <f>IF(tblHorasAbr[Data]&lt;&gt;"",
        IF(
AND(VLOOKUP(TEXT(tblHorasAbr[Data],"dddd"),tblDiaUtil[],3,FALSE)="Sim",IF(tblHorasAbr[Evento 
(1º Período)]&lt;&gt;"",IF(VLOOKUP(tblHorasAbr[Evento 
(1º Período)],tblEvento[],Tabelas!$E$1,FALSE)="Sim",FALSE,TRUE),TRUE),IF(tblHorasAbr[Evento 
(2º Período)]&lt;&gt;"",IF(VLOOKUP(tblHorasAbr[Evento 
(2º Período)],tblEvento[],Tabelas!$E$1,FALSE)="Sim",FALSE,TRUE),TRUE)),
              IF(VLOOKUP(tblHorasAbr[Dia],tblDiaUtil[[Abreviatura]:[1º Período]],3,FALSE)&gt;0,VLOOKUP(tblHorasAbr[Dia],tblDiaUtil[[Abreviatura]:[1º Período]],3,FALSE),JORNADA),
              ""),
         "")</f>
        <v/>
      </c>
      <c r="N22" s="14">
        <f>IF(OR(tblHorasAbr[Horas Trabalhadas (1º Período)]&lt;&gt;0,tblHorasAbr[Horas Trabalhadas (2º Período)]&lt;&gt;0),
        IF(ISNUMBER(tblHorasAbr[Jornada Diária]),
              IF(tblHorasAbr[Jornada Diária]&gt;(tblHorasAbr[Horas Trabalhadas (2º Período)]+tblHorasAbr[Horas Trabalhadas (1º Período)]),
                     IF(ROUND((tblHorasAbr[Jornada Diária]-(tblHorasAbr[Horas Trabalhadas (2º Período)]+tblHorasAbr[Horas Trabalhadas (1º Período)])),6)&gt;ROUND(CARENCIA,6),
                           -tblHorasAbr[Jornada Diária]+(tblHorasAbr[Horas Trabalhadas (2º Período)]+tblHorasAbr[Horas Trabalhadas (1º Período)]),
                           0),
                      IF(ROUND((tblHorasAbr[Jornada Diária]-(tblHorasAbr[Horas Trabalhadas (2º Período)]+tblHorasAbr[Horas Trabalhadas (1º Período)])),6)&lt;ROUND(-CARENCIA,6),
                           -tblHorasAbr[Jornada Diária]+(tblHorasAbr[Horas Trabalhadas (2º Período)]+tblHorasAbr[Horas Trabalhadas (1º Período)]),
                           0)),
              tblHorasAbr[Horas Trabalhadas (2º Período)]+tblHorasAbr[Horas Trabalhadas (1º Período)]),
         IF(AND(IF(ISERROR(VLOOKUP(tblHorasAbr[Evento 
(1º Período)],tblEvento[[Evento]:[Libera o Período]],4,FALSE)),FALSE,IF(VLOOKUP(tblHorasAbr[Evento 
(1º Período)],tblEvento[[Evento]:[Libera o Período]],4,FALSE)="Não",TRUE,FALSE)),IF(ISERROR(VLOOKUP(tblHorasAbr[Evento 
(2º Período)],tblEvento[[Evento]:[Libera o Período]],4,FALSE)),FALSE,IF(VLOOKUP(tblHorasAbr[Evento 
(2º Período)],tblEvento[[Evento]:[Libera o Período]],4,FALSE)="Não",TRUE,FALSE))),
-IF(VLOOKUP(tblHorasAbr[Dia],tblDiaUtil[[Abreviatura]:[Total Jornada]],5,FALSE)&lt;&gt;"",VLOOKUP(tblHorasAbr[Dia],tblDiaUtil[[Abreviatura]:[Total Jornada]],5,FALSE),JORNADA),
IF(IF(ISERROR(VLOOKUP(tblHorasAbr[Evento 
(1º Período)],tblEvento[[Evento]:[Libera o Período]],4,FALSE)),FALSE,
IF(VLOOKUP(tblHorasAbr[Evento 
(1º Período)],tblEvento[[Evento]:[Libera o Período]],4,FALSE)="Não",TRUE,FALSE)
),
-IF(VLOOKUP(tblHorasAbr[Dia],tblDiaUtil[[Abreviatura]:[1º Período]],3,FALSE)&lt;&gt;"",VLOOKUP(tblHorasAbr[Dia],tblDiaUtil[[Abreviatura]:[1º Período]],3,FALSE),JORNADA_PERIODO_1),
IF(IF(ISERROR(VLOOKUP(tblHorasAbr[Evento 
(2º Período)],tblEvento[[Evento]:[Libera o Período]],4,FALSE)),FALSE,IF(VLOOKUP(tblHorasAbr[Evento 
(2º Período)],tblEvento[[Evento]:[Libera o Período]],4,FALSE)="Não",TRUE,FALSE)),
-IF(VLOOKUP(tblHorasAbr[Dia],tblDiaUtil[[Abreviatura]:[2º Período]],4,FALSE)&lt;&gt;"",VLOOKUP(tblHorasAbr[Dia],tblDiaUtil[[Abreviatura]:[2º Período]],4,FALSE),JORNADA_PERIODO_2),0))))</f>
        <v>0</v>
      </c>
      <c r="O22" s="14">
        <f>IF(tblHorasAbr[Horas Trabalhadas Além Jornada]&gt;0,
        IF(ISNUMBER(tblHorasAbr[Jornada Diária]),
              IF(HOUR(tblHorasAbr[Horas Trabalhadas Além Jornada])&gt;=VLOOKUP(LIMITE,tblLimiteHora[],Tabelas!$I$1,FALSE),
                    VLOOKUP(LIMITE,tblLimiteHora[],Tabelas!$J$1,FALSE),
                    tblHorasAbr[Horas Trabalhadas Além Jornada]),
              tblHorasAbr[Horas Trabalhadas Além Jornada]),
        tblHorasAbr[Horas Trabalhadas Além Jornada])+O21</f>
        <v>0</v>
      </c>
      <c r="P22" s="14" t="str">
        <f>IF(tblHorasAbr[Horas Trabalhadas Além Jornada]&lt;0,IF(OR(tblHorasAbr[Evento 
(1º Período)]="",tblHorasAbr[Evento 
(2º Período)]=""),tblHorasAbr[Horas Trabalhadas Além Jornada],""),"")</f>
        <v/>
      </c>
      <c r="Q22" s="14" t="str">
        <f>IF(tblHorasAbr[Jornada Diária]&lt;&gt;"",IF((N(tblHorasAbr[Jornada Diária])-ABS(N(tblHorasAbr[Horas Trabalhadas Além Jornada])))=0,1,""),"")</f>
        <v/>
      </c>
      <c r="R22" s="14" t="str">
        <f>IF(tblHorasAbr[Horas Trabalhadas Além Jornada]&gt;0,
IF(AND(VLOOKUP(TEXT(tblHorasAbr[Data],"dddd"),tblDiaUtil[],3,FALSE)="Sim",IF(tblHorasAbr[Evento 
(1º Período)]&lt;&gt;"",IF(VLOOKUP(tblHorasAbr[Evento 
(1º Período)],tblEvento[],Tabelas!$E$1,FALSE)="Sim",FALSE,TRUE),TRUE),IF(tblHorasAbr[Evento 
(2º Período)]&lt;&gt;"",IF(VLOOKUP(tblHorasAbr[Evento 
(2º Período)],tblEvento[],Tabelas!$E$1,FALSE)="Sim",FALSE,TRUE),TRUE)),
tblHorasAbr[Horas Trabalhadas Além Jornada],""),"")</f>
        <v/>
      </c>
      <c r="S22" s="14" t="str">
        <f>IF(tblHorasAbr[Horas Trabalhadas Além Jornada]&gt;0,
IF(OR(VLOOKUP(TEXT(tblHorasAbr[Data],"dddd"),tblDiaUtil[],3,FALSE)="Não",IF(tblHorasAbr[Evento 
(1º Período)]&lt;&gt;"",IF(VLOOKUP(tblHorasAbr[Evento 
(1º Período)],tblEvento[],Tabelas!$E$1,FALSE)="Sim",TRUE,FALSE),FALSE),IF(tblHorasAbr[Evento 
(2º Período)]&lt;&gt;"",IF(VLOOKUP(tblHorasAbr[Evento 
(2º Período)],tblEvento[],Tabelas!$E$1,FALSE)="Sim",TRUE,FALSE),FALSE)),
tblHorasAbr[Horas Trabalhadas Além Jornada],""),"")</f>
        <v/>
      </c>
      <c r="T22" s="15" t="str">
        <f>IF(tblHorasAbr[Evento 
(1º Período)]&lt;&gt;""," - " &amp;VLOOKUP(tblHorasAbr[Evento 
(1º Período)],tblEvento[],Tabelas!$F$1,FALSE),"")&amp;IF(AND(tblHorasAbr[Evento 
(2º Período)]&lt;&gt;"",tblHorasAbr[Evento 
(2º Período)]&lt;&gt;tblHorasAbr[Evento 
(1º Período)])," - " &amp; VLOOKUP(tblHorasAbr[Evento 
(2º Período)],tblEvento[],Tabelas!$F$1,FALSE),"")</f>
        <v/>
      </c>
    </row>
    <row r="23" spans="2:20" x14ac:dyDescent="0.25">
      <c r="B23" s="11" t="str">
        <f t="shared" si="0"/>
        <v/>
      </c>
      <c r="C23" s="12" t="str">
        <f>TEXT(tblHorasAbr[Data],"ddd")</f>
        <v/>
      </c>
      <c r="D23" s="25"/>
      <c r="E23" s="1"/>
      <c r="F23" s="1"/>
      <c r="G23" s="1"/>
      <c r="H23" s="1"/>
      <c r="I23" s="53"/>
      <c r="J23" s="4">
        <f>IF($B$6&lt;&gt;"",
IF(AND(tblHorasAbr[Evento 
(1º Período)]&lt;&gt;"",IF(ISERROR(VLOOKUP(tblHorasAbr[Evento 
(1º Período)],tblEvento[],Tabelas!$D$1,FALSE)),FALSE,VLOOKUP(tblHorasAbr[Evento 
(1º Período)],tblEvento[],Tabelas!$D$1,FALSE)="Sim")),
        IF(JORNADA_PERIODO_1&lt;&gt;"",
IF(VLOOKUP(tblHorasAbr[Dia],tblDiaUtil[[Abreviatura]:[1º Período]],3,FALSE)&gt;0,VLOOKUP(tblHorasAbr[Dia],tblDiaUtil[[Abreviatura]:[1º Período]],3,FALSE),JORNADA_PERIODO_1),
IF(VLOOKUP(tblHorasAbr[Dia],tblDiaUtil[[Abreviatura]:[1º Período]],3,FALSE)&gt;0,VLOOKUP(tblHorasAbr[Dia],tblDiaUtil[[Abreviatura]:[1º Período]],3,FALSE),JORNADA/2)),
        IF(AND(ISNUMBER(tblHorasAbr[Saída - 1 (Almoço)]),ISNUMBER(tblHorasAbr[Entrada - 1])),
              IF(OR(AND(tblHorasAbr[Evento 
(1º Período)]&lt;&gt;"",IF(ISERROR(VLOOKUP(tblHorasAbr[Evento 
(1º Período)],tblEvento[],Tabelas!$E$1,FALSE)),FALSE,VLOOKUP(tblHorasAbr[Evento 
(1º Período)],tblEvento[],Tabelas!$E$1,FALSE)="Sim")),IF(VLOOKUP(TEXT(tblHorasAbr[Data],"dddd"),tblDiaUtil[],2,FALSE)="Não",TRUE,FALSE)),
                   tblHorasAbr[Saída - 1 (Almoço)]-tblHorasAbr[Entrada - 1],
                   IF(OR(HOUR(tblHorasAbr[Saída - 1 (Almoço)]-tblHorasAbr[Entrada - 1])&gt;0,ROUND(tblHorasAbr[Saída - 1 (Almoço)]-tblHorasAbr[Entrada - 1],6)&gt;ROUND(CARENCIA,6)),
                          tblHorasAbr[Saída - 1 (Almoço)]-tblHorasAbr[Entrada - 1],
                          0)),
                    0)),0)</f>
        <v>0</v>
      </c>
      <c r="K23" s="4">
        <f>IF($B$6&lt;&gt;"",
IF(AND(tblHorasAbr[Evento 
(2º Período)]&lt;&gt;"",IF(ISERROR(VLOOKUP(tblHorasAbr[Evento 
(2º Período)],tblEvento[],Tabelas!$D$1,FALSE)),FALSE,VLOOKUP(tblHorasAbr[Evento 
(2º Período)],tblEvento[],Tabelas!$D$1,FALSE)="Sim")),
        IF(JORNADA_PERIODO_2&lt;&gt;"",
IF(VLOOKUP(tblHorasAbr[Dia],tblDiaUtil[[Abreviatura]:[2º Período]],4,FALSE)&gt;0,VLOOKUP(tblHorasAbr[Dia],tblDiaUtil[[Abreviatura]:[2º Período]],4,FALSE),JORNADA_PERIODO_2),
IF(VLOOKUP(tblHorasAbr[Dia],tblDiaUtil[[Abreviatura]:[2º Período]],4,FALSE)&gt;0,VLOOKUP(tblHorasAbr[Dia],tblDiaUtil[[Abreviatura]:[2º Período]],4,FALSE),JORNADA/2)),
        IF(AND(ISNUMBER(tblHorasAbr[Saída - 2]),ISNUMBER(tblHorasAbr[Entrada - 2 (Almoço)])),
              IF(OR(AND(tblHorasAbr[Evento 
(2º Período)]&lt;&gt;"",IF(ISERROR(VLOOKUP(tblHorasAbr[Evento 
(2º Período)],tblEvento[],Tabelas!$E$1,FALSE)),FALSE,VLOOKUP(tblHorasAbr[Evento 
(2º Período)],tblEvento[],Tabelas!$E$1,FALSE)="Sim")),IF(VLOOKUP(TEXT(tblHorasAbr[Data],"dddd"),tblDiaUtil[],2,FALSE)="Não",TRUE,FALSE)),
                   tblHorasAbr[Saída - 2]-tblHorasAbr[Entrada - 2 (Almoço)],
                   IF(OR(HOUR(tblHorasAbr[Saída - 2]-tblHorasAbr[Entrada - 2 (Almoço)])&gt;0,MINUTE(tblHorasAbr[Saída - 2]-tblHorasAbr[Entrada - 2 (Almoço)])&gt;CARENCIA),
                         tblHorasAbr[Saída - 2]-tblHorasAbr[Entrada - 2 (Almoço)],
                         0)),
       0)),0)</f>
        <v>0</v>
      </c>
      <c r="L23" s="4">
        <f>tblHorasAbr[Horas Trabalhadas (1º Período)]+tblHorasAbr[Horas Trabalhadas (2º Período)]</f>
        <v>0</v>
      </c>
      <c r="M23" s="4" t="str">
        <f>IF(tblHorasAbr[Data]&lt;&gt;"",
        IF(
AND(VLOOKUP(TEXT(tblHorasAbr[Data],"dddd"),tblDiaUtil[],3,FALSE)="Sim",IF(tblHorasAbr[Evento 
(1º Período)]&lt;&gt;"",IF(VLOOKUP(tblHorasAbr[Evento 
(1º Período)],tblEvento[],Tabelas!$E$1,FALSE)="Sim",FALSE,TRUE),TRUE),IF(tblHorasAbr[Evento 
(2º Período)]&lt;&gt;"",IF(VLOOKUP(tblHorasAbr[Evento 
(2º Período)],tblEvento[],Tabelas!$E$1,FALSE)="Sim",FALSE,TRUE),TRUE)),
              IF(VLOOKUP(tblHorasAbr[Dia],tblDiaUtil[[Abreviatura]:[1º Período]],3,FALSE)&gt;0,VLOOKUP(tblHorasAbr[Dia],tblDiaUtil[[Abreviatura]:[1º Período]],3,FALSE),JORNADA),
              ""),
         "")</f>
        <v/>
      </c>
      <c r="N23" s="14">
        <f>IF(OR(tblHorasAbr[Horas Trabalhadas (1º Período)]&lt;&gt;0,tblHorasAbr[Horas Trabalhadas (2º Período)]&lt;&gt;0),
        IF(ISNUMBER(tblHorasAbr[Jornada Diária]),
              IF(tblHorasAbr[Jornada Diária]&gt;(tblHorasAbr[Horas Trabalhadas (2º Período)]+tblHorasAbr[Horas Trabalhadas (1º Período)]),
                     IF(ROUND((tblHorasAbr[Jornada Diária]-(tblHorasAbr[Horas Trabalhadas (2º Período)]+tblHorasAbr[Horas Trabalhadas (1º Período)])),6)&gt;ROUND(CARENCIA,6),
                           -tblHorasAbr[Jornada Diária]+(tblHorasAbr[Horas Trabalhadas (2º Período)]+tblHorasAbr[Horas Trabalhadas (1º Período)]),
                           0),
                      IF(ROUND((tblHorasAbr[Jornada Diária]-(tblHorasAbr[Horas Trabalhadas (2º Período)]+tblHorasAbr[Horas Trabalhadas (1º Período)])),6)&lt;ROUND(-CARENCIA,6),
                           -tblHorasAbr[Jornada Diária]+(tblHorasAbr[Horas Trabalhadas (2º Período)]+tblHorasAbr[Horas Trabalhadas (1º Período)]),
                           0)),
              tblHorasAbr[Horas Trabalhadas (2º Período)]+tblHorasAbr[Horas Trabalhadas (1º Período)]),
         IF(AND(IF(ISERROR(VLOOKUP(tblHorasAbr[Evento 
(1º Período)],tblEvento[[Evento]:[Libera o Período]],4,FALSE)),FALSE,IF(VLOOKUP(tblHorasAbr[Evento 
(1º Período)],tblEvento[[Evento]:[Libera o Período]],4,FALSE)="Não",TRUE,FALSE)),IF(ISERROR(VLOOKUP(tblHorasAbr[Evento 
(2º Período)],tblEvento[[Evento]:[Libera o Período]],4,FALSE)),FALSE,IF(VLOOKUP(tblHorasAbr[Evento 
(2º Período)],tblEvento[[Evento]:[Libera o Período]],4,FALSE)="Não",TRUE,FALSE))),
-IF(VLOOKUP(tblHorasAbr[Dia],tblDiaUtil[[Abreviatura]:[Total Jornada]],5,FALSE)&lt;&gt;"",VLOOKUP(tblHorasAbr[Dia],tblDiaUtil[[Abreviatura]:[Total Jornada]],5,FALSE),JORNADA),
IF(IF(ISERROR(VLOOKUP(tblHorasAbr[Evento 
(1º Período)],tblEvento[[Evento]:[Libera o Período]],4,FALSE)),FALSE,
IF(VLOOKUP(tblHorasAbr[Evento 
(1º Período)],tblEvento[[Evento]:[Libera o Período]],4,FALSE)="Não",TRUE,FALSE)
),
-IF(VLOOKUP(tblHorasAbr[Dia],tblDiaUtil[[Abreviatura]:[1º Período]],3,FALSE)&lt;&gt;"",VLOOKUP(tblHorasAbr[Dia],tblDiaUtil[[Abreviatura]:[1º Período]],3,FALSE),JORNADA_PERIODO_1),
IF(IF(ISERROR(VLOOKUP(tblHorasAbr[Evento 
(2º Período)],tblEvento[[Evento]:[Libera o Período]],4,FALSE)),FALSE,IF(VLOOKUP(tblHorasAbr[Evento 
(2º Período)],tblEvento[[Evento]:[Libera o Período]],4,FALSE)="Não",TRUE,FALSE)),
-IF(VLOOKUP(tblHorasAbr[Dia],tblDiaUtil[[Abreviatura]:[2º Período]],4,FALSE)&lt;&gt;"",VLOOKUP(tblHorasAbr[Dia],tblDiaUtil[[Abreviatura]:[2º Período]],4,FALSE),JORNADA_PERIODO_2),0))))</f>
        <v>0</v>
      </c>
      <c r="O23" s="14">
        <f>IF(tblHorasAbr[Horas Trabalhadas Além Jornada]&gt;0,
        IF(ISNUMBER(tblHorasAbr[Jornada Diária]),
              IF(HOUR(tblHorasAbr[Horas Trabalhadas Além Jornada])&gt;=VLOOKUP(LIMITE,tblLimiteHora[],Tabelas!$I$1,FALSE),
                    VLOOKUP(LIMITE,tblLimiteHora[],Tabelas!$J$1,FALSE),
                    tblHorasAbr[Horas Trabalhadas Além Jornada]),
              tblHorasAbr[Horas Trabalhadas Além Jornada]),
        tblHorasAbr[Horas Trabalhadas Além Jornada])+O22</f>
        <v>0</v>
      </c>
      <c r="P23" s="14" t="str">
        <f>IF(tblHorasAbr[Horas Trabalhadas Além Jornada]&lt;0,IF(OR(tblHorasAbr[Evento 
(1º Período)]="",tblHorasAbr[Evento 
(2º Período)]=""),tblHorasAbr[Horas Trabalhadas Além Jornada],""),"")</f>
        <v/>
      </c>
      <c r="Q23" s="14" t="str">
        <f>IF(tblHorasAbr[Jornada Diária]&lt;&gt;"",IF((N(tblHorasAbr[Jornada Diária])-ABS(N(tblHorasAbr[Horas Trabalhadas Além Jornada])))=0,1,""),"")</f>
        <v/>
      </c>
      <c r="R23" s="14" t="str">
        <f>IF(tblHorasAbr[Horas Trabalhadas Além Jornada]&gt;0,
IF(AND(VLOOKUP(TEXT(tblHorasAbr[Data],"dddd"),tblDiaUtil[],3,FALSE)="Sim",IF(tblHorasAbr[Evento 
(1º Período)]&lt;&gt;"",IF(VLOOKUP(tblHorasAbr[Evento 
(1º Período)],tblEvento[],Tabelas!$E$1,FALSE)="Sim",FALSE,TRUE),TRUE),IF(tblHorasAbr[Evento 
(2º Período)]&lt;&gt;"",IF(VLOOKUP(tblHorasAbr[Evento 
(2º Período)],tblEvento[],Tabelas!$E$1,FALSE)="Sim",FALSE,TRUE),TRUE)),
tblHorasAbr[Horas Trabalhadas Além Jornada],""),"")</f>
        <v/>
      </c>
      <c r="S23" s="14" t="str">
        <f>IF(tblHorasAbr[Horas Trabalhadas Além Jornada]&gt;0,
IF(OR(VLOOKUP(TEXT(tblHorasAbr[Data],"dddd"),tblDiaUtil[],3,FALSE)="Não",IF(tblHorasAbr[Evento 
(1º Período)]&lt;&gt;"",IF(VLOOKUP(tblHorasAbr[Evento 
(1º Período)],tblEvento[],Tabelas!$E$1,FALSE)="Sim",TRUE,FALSE),FALSE),IF(tblHorasAbr[Evento 
(2º Período)]&lt;&gt;"",IF(VLOOKUP(tblHorasAbr[Evento 
(2º Período)],tblEvento[],Tabelas!$E$1,FALSE)="Sim",TRUE,FALSE),FALSE)),
tblHorasAbr[Horas Trabalhadas Além Jornada],""),"")</f>
        <v/>
      </c>
      <c r="T23" s="15" t="str">
        <f>IF(tblHorasAbr[Evento 
(1º Período)]&lt;&gt;""," - " &amp;VLOOKUP(tblHorasAbr[Evento 
(1º Período)],tblEvento[],Tabelas!$F$1,FALSE),"")&amp;IF(AND(tblHorasAbr[Evento 
(2º Período)]&lt;&gt;"",tblHorasAbr[Evento 
(2º Período)]&lt;&gt;tblHorasAbr[Evento 
(1º Período)])," - " &amp; VLOOKUP(tblHorasAbr[Evento 
(2º Período)],tblEvento[],Tabelas!$F$1,FALSE),"")</f>
        <v/>
      </c>
    </row>
    <row r="24" spans="2:20" x14ac:dyDescent="0.25">
      <c r="B24" s="11" t="str">
        <f t="shared" si="0"/>
        <v/>
      </c>
      <c r="C24" s="12" t="str">
        <f>TEXT(tblHorasAbr[Data],"ddd")</f>
        <v/>
      </c>
      <c r="D24" s="25"/>
      <c r="E24" s="1"/>
      <c r="F24" s="1"/>
      <c r="G24" s="1"/>
      <c r="H24" s="1"/>
      <c r="I24" s="53"/>
      <c r="J24" s="4">
        <f>IF($B$6&lt;&gt;"",
IF(AND(tblHorasAbr[Evento 
(1º Período)]&lt;&gt;"",IF(ISERROR(VLOOKUP(tblHorasAbr[Evento 
(1º Período)],tblEvento[],Tabelas!$D$1,FALSE)),FALSE,VLOOKUP(tblHorasAbr[Evento 
(1º Período)],tblEvento[],Tabelas!$D$1,FALSE)="Sim")),
        IF(JORNADA_PERIODO_1&lt;&gt;"",
IF(VLOOKUP(tblHorasAbr[Dia],tblDiaUtil[[Abreviatura]:[1º Período]],3,FALSE)&gt;0,VLOOKUP(tblHorasAbr[Dia],tblDiaUtil[[Abreviatura]:[1º Período]],3,FALSE),JORNADA_PERIODO_1),
IF(VLOOKUP(tblHorasAbr[Dia],tblDiaUtil[[Abreviatura]:[1º Período]],3,FALSE)&gt;0,VLOOKUP(tblHorasAbr[Dia],tblDiaUtil[[Abreviatura]:[1º Período]],3,FALSE),JORNADA/2)),
        IF(AND(ISNUMBER(tblHorasAbr[Saída - 1 (Almoço)]),ISNUMBER(tblHorasAbr[Entrada - 1])),
              IF(OR(AND(tblHorasAbr[Evento 
(1º Período)]&lt;&gt;"",IF(ISERROR(VLOOKUP(tblHorasAbr[Evento 
(1º Período)],tblEvento[],Tabelas!$E$1,FALSE)),FALSE,VLOOKUP(tblHorasAbr[Evento 
(1º Período)],tblEvento[],Tabelas!$E$1,FALSE)="Sim")),IF(VLOOKUP(TEXT(tblHorasAbr[Data],"dddd"),tblDiaUtil[],2,FALSE)="Não",TRUE,FALSE)),
                   tblHorasAbr[Saída - 1 (Almoço)]-tblHorasAbr[Entrada - 1],
                   IF(OR(HOUR(tblHorasAbr[Saída - 1 (Almoço)]-tblHorasAbr[Entrada - 1])&gt;0,ROUND(tblHorasAbr[Saída - 1 (Almoço)]-tblHorasAbr[Entrada - 1],6)&gt;ROUND(CARENCIA,6)),
                          tblHorasAbr[Saída - 1 (Almoço)]-tblHorasAbr[Entrada - 1],
                          0)),
                    0)),0)</f>
        <v>0</v>
      </c>
      <c r="K24" s="4">
        <f>IF($B$6&lt;&gt;"",
IF(AND(tblHorasAbr[Evento 
(2º Período)]&lt;&gt;"",IF(ISERROR(VLOOKUP(tblHorasAbr[Evento 
(2º Período)],tblEvento[],Tabelas!$D$1,FALSE)),FALSE,VLOOKUP(tblHorasAbr[Evento 
(2º Período)],tblEvento[],Tabelas!$D$1,FALSE)="Sim")),
        IF(JORNADA_PERIODO_2&lt;&gt;"",
IF(VLOOKUP(tblHorasAbr[Dia],tblDiaUtil[[Abreviatura]:[2º Período]],4,FALSE)&gt;0,VLOOKUP(tblHorasAbr[Dia],tblDiaUtil[[Abreviatura]:[2º Período]],4,FALSE),JORNADA_PERIODO_2),
IF(VLOOKUP(tblHorasAbr[Dia],tblDiaUtil[[Abreviatura]:[2º Período]],4,FALSE)&gt;0,VLOOKUP(tblHorasAbr[Dia],tblDiaUtil[[Abreviatura]:[2º Período]],4,FALSE),JORNADA/2)),
        IF(AND(ISNUMBER(tblHorasAbr[Saída - 2]),ISNUMBER(tblHorasAbr[Entrada - 2 (Almoço)])),
              IF(OR(AND(tblHorasAbr[Evento 
(2º Período)]&lt;&gt;"",IF(ISERROR(VLOOKUP(tblHorasAbr[Evento 
(2º Período)],tblEvento[],Tabelas!$E$1,FALSE)),FALSE,VLOOKUP(tblHorasAbr[Evento 
(2º Período)],tblEvento[],Tabelas!$E$1,FALSE)="Sim")),IF(VLOOKUP(TEXT(tblHorasAbr[Data],"dddd"),tblDiaUtil[],2,FALSE)="Não",TRUE,FALSE)),
                   tblHorasAbr[Saída - 2]-tblHorasAbr[Entrada - 2 (Almoço)],
                   IF(OR(HOUR(tblHorasAbr[Saída - 2]-tblHorasAbr[Entrada - 2 (Almoço)])&gt;0,MINUTE(tblHorasAbr[Saída - 2]-tblHorasAbr[Entrada - 2 (Almoço)])&gt;CARENCIA),
                         tblHorasAbr[Saída - 2]-tblHorasAbr[Entrada - 2 (Almoço)],
                         0)),
       0)),0)</f>
        <v>0</v>
      </c>
      <c r="L24" s="4">
        <f>tblHorasAbr[Horas Trabalhadas (1º Período)]+tblHorasAbr[Horas Trabalhadas (2º Período)]</f>
        <v>0</v>
      </c>
      <c r="M24" s="4" t="str">
        <f>IF(tblHorasAbr[Data]&lt;&gt;"",
        IF(
AND(VLOOKUP(TEXT(tblHorasAbr[Data],"dddd"),tblDiaUtil[],3,FALSE)="Sim",IF(tblHorasAbr[Evento 
(1º Período)]&lt;&gt;"",IF(VLOOKUP(tblHorasAbr[Evento 
(1º Período)],tblEvento[],Tabelas!$E$1,FALSE)="Sim",FALSE,TRUE),TRUE),IF(tblHorasAbr[Evento 
(2º Período)]&lt;&gt;"",IF(VLOOKUP(tblHorasAbr[Evento 
(2º Período)],tblEvento[],Tabelas!$E$1,FALSE)="Sim",FALSE,TRUE),TRUE)),
              IF(VLOOKUP(tblHorasAbr[Dia],tblDiaUtil[[Abreviatura]:[1º Período]],3,FALSE)&gt;0,VLOOKUP(tblHorasAbr[Dia],tblDiaUtil[[Abreviatura]:[1º Período]],3,FALSE),JORNADA),
              ""),
         "")</f>
        <v/>
      </c>
      <c r="N24" s="14">
        <f>IF(OR(tblHorasAbr[Horas Trabalhadas (1º Período)]&lt;&gt;0,tblHorasAbr[Horas Trabalhadas (2º Período)]&lt;&gt;0),
        IF(ISNUMBER(tblHorasAbr[Jornada Diária]),
              IF(tblHorasAbr[Jornada Diária]&gt;(tblHorasAbr[Horas Trabalhadas (2º Período)]+tblHorasAbr[Horas Trabalhadas (1º Período)]),
                     IF(ROUND((tblHorasAbr[Jornada Diária]-(tblHorasAbr[Horas Trabalhadas (2º Período)]+tblHorasAbr[Horas Trabalhadas (1º Período)])),6)&gt;ROUND(CARENCIA,6),
                           -tblHorasAbr[Jornada Diária]+(tblHorasAbr[Horas Trabalhadas (2º Período)]+tblHorasAbr[Horas Trabalhadas (1º Período)]),
                           0),
                      IF(ROUND((tblHorasAbr[Jornada Diária]-(tblHorasAbr[Horas Trabalhadas (2º Período)]+tblHorasAbr[Horas Trabalhadas (1º Período)])),6)&lt;ROUND(-CARENCIA,6),
                           -tblHorasAbr[Jornada Diária]+(tblHorasAbr[Horas Trabalhadas (2º Período)]+tblHorasAbr[Horas Trabalhadas (1º Período)]),
                           0)),
              tblHorasAbr[Horas Trabalhadas (2º Período)]+tblHorasAbr[Horas Trabalhadas (1º Período)]),
         IF(AND(IF(ISERROR(VLOOKUP(tblHorasAbr[Evento 
(1º Período)],tblEvento[[Evento]:[Libera o Período]],4,FALSE)),FALSE,IF(VLOOKUP(tblHorasAbr[Evento 
(1º Período)],tblEvento[[Evento]:[Libera o Período]],4,FALSE)="Não",TRUE,FALSE)),IF(ISERROR(VLOOKUP(tblHorasAbr[Evento 
(2º Período)],tblEvento[[Evento]:[Libera o Período]],4,FALSE)),FALSE,IF(VLOOKUP(tblHorasAbr[Evento 
(2º Período)],tblEvento[[Evento]:[Libera o Período]],4,FALSE)="Não",TRUE,FALSE))),
-IF(VLOOKUP(tblHorasAbr[Dia],tblDiaUtil[[Abreviatura]:[Total Jornada]],5,FALSE)&lt;&gt;"",VLOOKUP(tblHorasAbr[Dia],tblDiaUtil[[Abreviatura]:[Total Jornada]],5,FALSE),JORNADA),
IF(IF(ISERROR(VLOOKUP(tblHorasAbr[Evento 
(1º Período)],tblEvento[[Evento]:[Libera o Período]],4,FALSE)),FALSE,
IF(VLOOKUP(tblHorasAbr[Evento 
(1º Período)],tblEvento[[Evento]:[Libera o Período]],4,FALSE)="Não",TRUE,FALSE)
),
-IF(VLOOKUP(tblHorasAbr[Dia],tblDiaUtil[[Abreviatura]:[1º Período]],3,FALSE)&lt;&gt;"",VLOOKUP(tblHorasAbr[Dia],tblDiaUtil[[Abreviatura]:[1º Período]],3,FALSE),JORNADA_PERIODO_1),
IF(IF(ISERROR(VLOOKUP(tblHorasAbr[Evento 
(2º Período)],tblEvento[[Evento]:[Libera o Período]],4,FALSE)),FALSE,IF(VLOOKUP(tblHorasAbr[Evento 
(2º Período)],tblEvento[[Evento]:[Libera o Período]],4,FALSE)="Não",TRUE,FALSE)),
-IF(VLOOKUP(tblHorasAbr[Dia],tblDiaUtil[[Abreviatura]:[2º Período]],4,FALSE)&lt;&gt;"",VLOOKUP(tblHorasAbr[Dia],tblDiaUtil[[Abreviatura]:[2º Período]],4,FALSE),JORNADA_PERIODO_2),0))))</f>
        <v>0</v>
      </c>
      <c r="O24" s="14">
        <f>IF(tblHorasAbr[Horas Trabalhadas Além Jornada]&gt;0,
        IF(ISNUMBER(tblHorasAbr[Jornada Diária]),
              IF(HOUR(tblHorasAbr[Horas Trabalhadas Além Jornada])&gt;=VLOOKUP(LIMITE,tblLimiteHora[],Tabelas!$I$1,FALSE),
                    VLOOKUP(LIMITE,tblLimiteHora[],Tabelas!$J$1,FALSE),
                    tblHorasAbr[Horas Trabalhadas Além Jornada]),
              tblHorasAbr[Horas Trabalhadas Além Jornada]),
        tblHorasAbr[Horas Trabalhadas Além Jornada])+O23</f>
        <v>0</v>
      </c>
      <c r="P24" s="14" t="str">
        <f>IF(tblHorasAbr[Horas Trabalhadas Além Jornada]&lt;0,IF(OR(tblHorasAbr[Evento 
(1º Período)]="",tblHorasAbr[Evento 
(2º Período)]=""),tblHorasAbr[Horas Trabalhadas Além Jornada],""),"")</f>
        <v/>
      </c>
      <c r="Q24" s="14" t="str">
        <f>IF(tblHorasAbr[Jornada Diária]&lt;&gt;"",IF((N(tblHorasAbr[Jornada Diária])-ABS(N(tblHorasAbr[Horas Trabalhadas Além Jornada])))=0,1,""),"")</f>
        <v/>
      </c>
      <c r="R24" s="14" t="str">
        <f>IF(tblHorasAbr[Horas Trabalhadas Além Jornada]&gt;0,
IF(AND(VLOOKUP(TEXT(tblHorasAbr[Data],"dddd"),tblDiaUtil[],3,FALSE)="Sim",IF(tblHorasAbr[Evento 
(1º Período)]&lt;&gt;"",IF(VLOOKUP(tblHorasAbr[Evento 
(1º Período)],tblEvento[],Tabelas!$E$1,FALSE)="Sim",FALSE,TRUE),TRUE),IF(tblHorasAbr[Evento 
(2º Período)]&lt;&gt;"",IF(VLOOKUP(tblHorasAbr[Evento 
(2º Período)],tblEvento[],Tabelas!$E$1,FALSE)="Sim",FALSE,TRUE),TRUE)),
tblHorasAbr[Horas Trabalhadas Além Jornada],""),"")</f>
        <v/>
      </c>
      <c r="S24" s="14" t="str">
        <f>IF(tblHorasAbr[Horas Trabalhadas Além Jornada]&gt;0,
IF(OR(VLOOKUP(TEXT(tblHorasAbr[Data],"dddd"),tblDiaUtil[],3,FALSE)="Não",IF(tblHorasAbr[Evento 
(1º Período)]&lt;&gt;"",IF(VLOOKUP(tblHorasAbr[Evento 
(1º Período)],tblEvento[],Tabelas!$E$1,FALSE)="Sim",TRUE,FALSE),FALSE),IF(tblHorasAbr[Evento 
(2º Período)]&lt;&gt;"",IF(VLOOKUP(tblHorasAbr[Evento 
(2º Período)],tblEvento[],Tabelas!$E$1,FALSE)="Sim",TRUE,FALSE),FALSE)),
tblHorasAbr[Horas Trabalhadas Além Jornada],""),"")</f>
        <v/>
      </c>
      <c r="T24" s="15" t="str">
        <f>IF(tblHorasAbr[Evento 
(1º Período)]&lt;&gt;""," - " &amp;VLOOKUP(tblHorasAbr[Evento 
(1º Período)],tblEvento[],Tabelas!$F$1,FALSE),"")&amp;IF(AND(tblHorasAbr[Evento 
(2º Período)]&lt;&gt;"",tblHorasAbr[Evento 
(2º Período)]&lt;&gt;tblHorasAbr[Evento 
(1º Período)])," - " &amp; VLOOKUP(tblHorasAbr[Evento 
(2º Período)],tblEvento[],Tabelas!$F$1,FALSE),"")</f>
        <v/>
      </c>
    </row>
    <row r="25" spans="2:20" x14ac:dyDescent="0.25">
      <c r="B25" s="11" t="str">
        <f t="shared" si="0"/>
        <v/>
      </c>
      <c r="C25" s="12" t="str">
        <f>TEXT(tblHorasAbr[Data],"ddd")</f>
        <v/>
      </c>
      <c r="D25" s="25"/>
      <c r="E25" s="1"/>
      <c r="F25" s="1"/>
      <c r="G25" s="1"/>
      <c r="H25" s="1"/>
      <c r="I25" s="53"/>
      <c r="J25" s="4">
        <f>IF($B$6&lt;&gt;"",
IF(AND(tblHorasAbr[Evento 
(1º Período)]&lt;&gt;"",IF(ISERROR(VLOOKUP(tblHorasAbr[Evento 
(1º Período)],tblEvento[],Tabelas!$D$1,FALSE)),FALSE,VLOOKUP(tblHorasAbr[Evento 
(1º Período)],tblEvento[],Tabelas!$D$1,FALSE)="Sim")),
        IF(JORNADA_PERIODO_1&lt;&gt;"",
IF(VLOOKUP(tblHorasAbr[Dia],tblDiaUtil[[Abreviatura]:[1º Período]],3,FALSE)&gt;0,VLOOKUP(tblHorasAbr[Dia],tblDiaUtil[[Abreviatura]:[1º Período]],3,FALSE),JORNADA_PERIODO_1),
IF(VLOOKUP(tblHorasAbr[Dia],tblDiaUtil[[Abreviatura]:[1º Período]],3,FALSE)&gt;0,VLOOKUP(tblHorasAbr[Dia],tblDiaUtil[[Abreviatura]:[1º Período]],3,FALSE),JORNADA/2)),
        IF(AND(ISNUMBER(tblHorasAbr[Saída - 1 (Almoço)]),ISNUMBER(tblHorasAbr[Entrada - 1])),
              IF(OR(AND(tblHorasAbr[Evento 
(1º Período)]&lt;&gt;"",IF(ISERROR(VLOOKUP(tblHorasAbr[Evento 
(1º Período)],tblEvento[],Tabelas!$E$1,FALSE)),FALSE,VLOOKUP(tblHorasAbr[Evento 
(1º Período)],tblEvento[],Tabelas!$E$1,FALSE)="Sim")),IF(VLOOKUP(TEXT(tblHorasAbr[Data],"dddd"),tblDiaUtil[],2,FALSE)="Não",TRUE,FALSE)),
                   tblHorasAbr[Saída - 1 (Almoço)]-tblHorasAbr[Entrada - 1],
                   IF(OR(HOUR(tblHorasAbr[Saída - 1 (Almoço)]-tblHorasAbr[Entrada - 1])&gt;0,ROUND(tblHorasAbr[Saída - 1 (Almoço)]-tblHorasAbr[Entrada - 1],6)&gt;ROUND(CARENCIA,6)),
                          tblHorasAbr[Saída - 1 (Almoço)]-tblHorasAbr[Entrada - 1],
                          0)),
                    0)),0)</f>
        <v>0</v>
      </c>
      <c r="K25" s="4">
        <f>IF($B$6&lt;&gt;"",
IF(AND(tblHorasAbr[Evento 
(2º Período)]&lt;&gt;"",IF(ISERROR(VLOOKUP(tblHorasAbr[Evento 
(2º Período)],tblEvento[],Tabelas!$D$1,FALSE)),FALSE,VLOOKUP(tblHorasAbr[Evento 
(2º Período)],tblEvento[],Tabelas!$D$1,FALSE)="Sim")),
        IF(JORNADA_PERIODO_2&lt;&gt;"",
IF(VLOOKUP(tblHorasAbr[Dia],tblDiaUtil[[Abreviatura]:[2º Período]],4,FALSE)&gt;0,VLOOKUP(tblHorasAbr[Dia],tblDiaUtil[[Abreviatura]:[2º Período]],4,FALSE),JORNADA_PERIODO_2),
IF(VLOOKUP(tblHorasAbr[Dia],tblDiaUtil[[Abreviatura]:[2º Período]],4,FALSE)&gt;0,VLOOKUP(tblHorasAbr[Dia],tblDiaUtil[[Abreviatura]:[2º Período]],4,FALSE),JORNADA/2)),
        IF(AND(ISNUMBER(tblHorasAbr[Saída - 2]),ISNUMBER(tblHorasAbr[Entrada - 2 (Almoço)])),
              IF(OR(AND(tblHorasAbr[Evento 
(2º Período)]&lt;&gt;"",IF(ISERROR(VLOOKUP(tblHorasAbr[Evento 
(2º Período)],tblEvento[],Tabelas!$E$1,FALSE)),FALSE,VLOOKUP(tblHorasAbr[Evento 
(2º Período)],tblEvento[],Tabelas!$E$1,FALSE)="Sim")),IF(VLOOKUP(TEXT(tblHorasAbr[Data],"dddd"),tblDiaUtil[],2,FALSE)="Não",TRUE,FALSE)),
                   tblHorasAbr[Saída - 2]-tblHorasAbr[Entrada - 2 (Almoço)],
                   IF(OR(HOUR(tblHorasAbr[Saída - 2]-tblHorasAbr[Entrada - 2 (Almoço)])&gt;0,MINUTE(tblHorasAbr[Saída - 2]-tblHorasAbr[Entrada - 2 (Almoço)])&gt;CARENCIA),
                         tblHorasAbr[Saída - 2]-tblHorasAbr[Entrada - 2 (Almoço)],
                         0)),
       0)),0)</f>
        <v>0</v>
      </c>
      <c r="L25" s="4">
        <f>tblHorasAbr[Horas Trabalhadas (1º Período)]+tblHorasAbr[Horas Trabalhadas (2º Período)]</f>
        <v>0</v>
      </c>
      <c r="M25" s="4" t="str">
        <f>IF(tblHorasAbr[Data]&lt;&gt;"",
        IF(
AND(VLOOKUP(TEXT(tblHorasAbr[Data],"dddd"),tblDiaUtil[],3,FALSE)="Sim",IF(tblHorasAbr[Evento 
(1º Período)]&lt;&gt;"",IF(VLOOKUP(tblHorasAbr[Evento 
(1º Período)],tblEvento[],Tabelas!$E$1,FALSE)="Sim",FALSE,TRUE),TRUE),IF(tblHorasAbr[Evento 
(2º Período)]&lt;&gt;"",IF(VLOOKUP(tblHorasAbr[Evento 
(2º Período)],tblEvento[],Tabelas!$E$1,FALSE)="Sim",FALSE,TRUE),TRUE)),
              IF(VLOOKUP(tblHorasAbr[Dia],tblDiaUtil[[Abreviatura]:[1º Período]],3,FALSE)&gt;0,VLOOKUP(tblHorasAbr[Dia],tblDiaUtil[[Abreviatura]:[1º Período]],3,FALSE),JORNADA),
              ""),
         "")</f>
        <v/>
      </c>
      <c r="N25" s="14">
        <f>IF(OR(tblHorasAbr[Horas Trabalhadas (1º Período)]&lt;&gt;0,tblHorasAbr[Horas Trabalhadas (2º Período)]&lt;&gt;0),
        IF(ISNUMBER(tblHorasAbr[Jornada Diária]),
              IF(tblHorasAbr[Jornada Diária]&gt;(tblHorasAbr[Horas Trabalhadas (2º Período)]+tblHorasAbr[Horas Trabalhadas (1º Período)]),
                     IF(ROUND((tblHorasAbr[Jornada Diária]-(tblHorasAbr[Horas Trabalhadas (2º Período)]+tblHorasAbr[Horas Trabalhadas (1º Período)])),6)&gt;ROUND(CARENCIA,6),
                           -tblHorasAbr[Jornada Diária]+(tblHorasAbr[Horas Trabalhadas (2º Período)]+tblHorasAbr[Horas Trabalhadas (1º Período)]),
                           0),
                      IF(ROUND((tblHorasAbr[Jornada Diária]-(tblHorasAbr[Horas Trabalhadas (2º Período)]+tblHorasAbr[Horas Trabalhadas (1º Período)])),6)&lt;ROUND(-CARENCIA,6),
                           -tblHorasAbr[Jornada Diária]+(tblHorasAbr[Horas Trabalhadas (2º Período)]+tblHorasAbr[Horas Trabalhadas (1º Período)]),
                           0)),
              tblHorasAbr[Horas Trabalhadas (2º Período)]+tblHorasAbr[Horas Trabalhadas (1º Período)]),
         IF(AND(IF(ISERROR(VLOOKUP(tblHorasAbr[Evento 
(1º Período)],tblEvento[[Evento]:[Libera o Período]],4,FALSE)),FALSE,IF(VLOOKUP(tblHorasAbr[Evento 
(1º Período)],tblEvento[[Evento]:[Libera o Período]],4,FALSE)="Não",TRUE,FALSE)),IF(ISERROR(VLOOKUP(tblHorasAbr[Evento 
(2º Período)],tblEvento[[Evento]:[Libera o Período]],4,FALSE)),FALSE,IF(VLOOKUP(tblHorasAbr[Evento 
(2º Período)],tblEvento[[Evento]:[Libera o Período]],4,FALSE)="Não",TRUE,FALSE))),
-IF(VLOOKUP(tblHorasAbr[Dia],tblDiaUtil[[Abreviatura]:[Total Jornada]],5,FALSE)&lt;&gt;"",VLOOKUP(tblHorasAbr[Dia],tblDiaUtil[[Abreviatura]:[Total Jornada]],5,FALSE),JORNADA),
IF(IF(ISERROR(VLOOKUP(tblHorasAbr[Evento 
(1º Período)],tblEvento[[Evento]:[Libera o Período]],4,FALSE)),FALSE,
IF(VLOOKUP(tblHorasAbr[Evento 
(1º Período)],tblEvento[[Evento]:[Libera o Período]],4,FALSE)="Não",TRUE,FALSE)
),
-IF(VLOOKUP(tblHorasAbr[Dia],tblDiaUtil[[Abreviatura]:[1º Período]],3,FALSE)&lt;&gt;"",VLOOKUP(tblHorasAbr[Dia],tblDiaUtil[[Abreviatura]:[1º Período]],3,FALSE),JORNADA_PERIODO_1),
IF(IF(ISERROR(VLOOKUP(tblHorasAbr[Evento 
(2º Período)],tblEvento[[Evento]:[Libera o Período]],4,FALSE)),FALSE,IF(VLOOKUP(tblHorasAbr[Evento 
(2º Período)],tblEvento[[Evento]:[Libera o Período]],4,FALSE)="Não",TRUE,FALSE)),
-IF(VLOOKUP(tblHorasAbr[Dia],tblDiaUtil[[Abreviatura]:[2º Período]],4,FALSE)&lt;&gt;"",VLOOKUP(tblHorasAbr[Dia],tblDiaUtil[[Abreviatura]:[2º Período]],4,FALSE),JORNADA_PERIODO_2),0))))</f>
        <v>0</v>
      </c>
      <c r="O25" s="14">
        <f>IF(tblHorasAbr[Horas Trabalhadas Além Jornada]&gt;0,
        IF(ISNUMBER(tblHorasAbr[Jornada Diária]),
              IF(HOUR(tblHorasAbr[Horas Trabalhadas Além Jornada])&gt;=VLOOKUP(LIMITE,tblLimiteHora[],Tabelas!$I$1,FALSE),
                    VLOOKUP(LIMITE,tblLimiteHora[],Tabelas!$J$1,FALSE),
                    tblHorasAbr[Horas Trabalhadas Além Jornada]),
              tblHorasAbr[Horas Trabalhadas Além Jornada]),
        tblHorasAbr[Horas Trabalhadas Além Jornada])+O24</f>
        <v>0</v>
      </c>
      <c r="P25" s="14" t="str">
        <f>IF(tblHorasAbr[Horas Trabalhadas Além Jornada]&lt;0,IF(OR(tblHorasAbr[Evento 
(1º Período)]="",tblHorasAbr[Evento 
(2º Período)]=""),tblHorasAbr[Horas Trabalhadas Além Jornada],""),"")</f>
        <v/>
      </c>
      <c r="Q25" s="14" t="str">
        <f>IF(tblHorasAbr[Jornada Diária]&lt;&gt;"",IF((N(tblHorasAbr[Jornada Diária])-ABS(N(tblHorasAbr[Horas Trabalhadas Além Jornada])))=0,1,""),"")</f>
        <v/>
      </c>
      <c r="R25" s="14" t="str">
        <f>IF(tblHorasAbr[Horas Trabalhadas Além Jornada]&gt;0,
IF(AND(VLOOKUP(TEXT(tblHorasAbr[Data],"dddd"),tblDiaUtil[],3,FALSE)="Sim",IF(tblHorasAbr[Evento 
(1º Período)]&lt;&gt;"",IF(VLOOKUP(tblHorasAbr[Evento 
(1º Período)],tblEvento[],Tabelas!$E$1,FALSE)="Sim",FALSE,TRUE),TRUE),IF(tblHorasAbr[Evento 
(2º Período)]&lt;&gt;"",IF(VLOOKUP(tblHorasAbr[Evento 
(2º Período)],tblEvento[],Tabelas!$E$1,FALSE)="Sim",FALSE,TRUE),TRUE)),
tblHorasAbr[Horas Trabalhadas Além Jornada],""),"")</f>
        <v/>
      </c>
      <c r="S25" s="14" t="str">
        <f>IF(tblHorasAbr[Horas Trabalhadas Além Jornada]&gt;0,
IF(OR(VLOOKUP(TEXT(tblHorasAbr[Data],"dddd"),tblDiaUtil[],3,FALSE)="Não",IF(tblHorasAbr[Evento 
(1º Período)]&lt;&gt;"",IF(VLOOKUP(tblHorasAbr[Evento 
(1º Período)],tblEvento[],Tabelas!$E$1,FALSE)="Sim",TRUE,FALSE),FALSE),IF(tblHorasAbr[Evento 
(2º Período)]&lt;&gt;"",IF(VLOOKUP(tblHorasAbr[Evento 
(2º Período)],tblEvento[],Tabelas!$E$1,FALSE)="Sim",TRUE,FALSE),FALSE)),
tblHorasAbr[Horas Trabalhadas Além Jornada],""),"")</f>
        <v/>
      </c>
      <c r="T25" s="15" t="str">
        <f>IF(tblHorasAbr[Evento 
(1º Período)]&lt;&gt;""," - " &amp;VLOOKUP(tblHorasAbr[Evento 
(1º Período)],tblEvento[],Tabelas!$F$1,FALSE),"")&amp;IF(AND(tblHorasAbr[Evento 
(2º Período)]&lt;&gt;"",tblHorasAbr[Evento 
(2º Período)]&lt;&gt;tblHorasAbr[Evento 
(1º Período)])," - " &amp; VLOOKUP(tblHorasAbr[Evento 
(2º Período)],tblEvento[],Tabelas!$F$1,FALSE),"")</f>
        <v/>
      </c>
    </row>
    <row r="26" spans="2:20" x14ac:dyDescent="0.25">
      <c r="B26" s="11" t="str">
        <f t="shared" si="0"/>
        <v/>
      </c>
      <c r="C26" s="12" t="str">
        <f>TEXT(tblHorasAbr[Data],"ddd")</f>
        <v/>
      </c>
      <c r="D26" s="25"/>
      <c r="E26" s="1"/>
      <c r="F26" s="1"/>
      <c r="G26" s="1"/>
      <c r="H26" s="1"/>
      <c r="I26" s="53"/>
      <c r="J26" s="4">
        <f>IF($B$6&lt;&gt;"",
IF(AND(tblHorasAbr[Evento 
(1º Período)]&lt;&gt;"",IF(ISERROR(VLOOKUP(tblHorasAbr[Evento 
(1º Período)],tblEvento[],Tabelas!$D$1,FALSE)),FALSE,VLOOKUP(tblHorasAbr[Evento 
(1º Período)],tblEvento[],Tabelas!$D$1,FALSE)="Sim")),
        IF(JORNADA_PERIODO_1&lt;&gt;"",
IF(VLOOKUP(tblHorasAbr[Dia],tblDiaUtil[[Abreviatura]:[1º Período]],3,FALSE)&gt;0,VLOOKUP(tblHorasAbr[Dia],tblDiaUtil[[Abreviatura]:[1º Período]],3,FALSE),JORNADA_PERIODO_1),
IF(VLOOKUP(tblHorasAbr[Dia],tblDiaUtil[[Abreviatura]:[1º Período]],3,FALSE)&gt;0,VLOOKUP(tblHorasAbr[Dia],tblDiaUtil[[Abreviatura]:[1º Período]],3,FALSE),JORNADA/2)),
        IF(AND(ISNUMBER(tblHorasAbr[Saída - 1 (Almoço)]),ISNUMBER(tblHorasAbr[Entrada - 1])),
              IF(OR(AND(tblHorasAbr[Evento 
(1º Período)]&lt;&gt;"",IF(ISERROR(VLOOKUP(tblHorasAbr[Evento 
(1º Período)],tblEvento[],Tabelas!$E$1,FALSE)),FALSE,VLOOKUP(tblHorasAbr[Evento 
(1º Período)],tblEvento[],Tabelas!$E$1,FALSE)="Sim")),IF(VLOOKUP(TEXT(tblHorasAbr[Data],"dddd"),tblDiaUtil[],2,FALSE)="Não",TRUE,FALSE)),
                   tblHorasAbr[Saída - 1 (Almoço)]-tblHorasAbr[Entrada - 1],
                   IF(OR(HOUR(tblHorasAbr[Saída - 1 (Almoço)]-tblHorasAbr[Entrada - 1])&gt;0,ROUND(tblHorasAbr[Saída - 1 (Almoço)]-tblHorasAbr[Entrada - 1],6)&gt;ROUND(CARENCIA,6)),
                          tblHorasAbr[Saída - 1 (Almoço)]-tblHorasAbr[Entrada - 1],
                          0)),
                    0)),0)</f>
        <v>0</v>
      </c>
      <c r="K26" s="4">
        <f>IF($B$6&lt;&gt;"",
IF(AND(tblHorasAbr[Evento 
(2º Período)]&lt;&gt;"",IF(ISERROR(VLOOKUP(tblHorasAbr[Evento 
(2º Período)],tblEvento[],Tabelas!$D$1,FALSE)),FALSE,VLOOKUP(tblHorasAbr[Evento 
(2º Período)],tblEvento[],Tabelas!$D$1,FALSE)="Sim")),
        IF(JORNADA_PERIODO_2&lt;&gt;"",
IF(VLOOKUP(tblHorasAbr[Dia],tblDiaUtil[[Abreviatura]:[2º Período]],4,FALSE)&gt;0,VLOOKUP(tblHorasAbr[Dia],tblDiaUtil[[Abreviatura]:[2º Período]],4,FALSE),JORNADA_PERIODO_2),
IF(VLOOKUP(tblHorasAbr[Dia],tblDiaUtil[[Abreviatura]:[2º Período]],4,FALSE)&gt;0,VLOOKUP(tblHorasAbr[Dia],tblDiaUtil[[Abreviatura]:[2º Período]],4,FALSE),JORNADA/2)),
        IF(AND(ISNUMBER(tblHorasAbr[Saída - 2]),ISNUMBER(tblHorasAbr[Entrada - 2 (Almoço)])),
              IF(OR(AND(tblHorasAbr[Evento 
(2º Período)]&lt;&gt;"",IF(ISERROR(VLOOKUP(tblHorasAbr[Evento 
(2º Período)],tblEvento[],Tabelas!$E$1,FALSE)),FALSE,VLOOKUP(tblHorasAbr[Evento 
(2º Período)],tblEvento[],Tabelas!$E$1,FALSE)="Sim")),IF(VLOOKUP(TEXT(tblHorasAbr[Data],"dddd"),tblDiaUtil[],2,FALSE)="Não",TRUE,FALSE)),
                   tblHorasAbr[Saída - 2]-tblHorasAbr[Entrada - 2 (Almoço)],
                   IF(OR(HOUR(tblHorasAbr[Saída - 2]-tblHorasAbr[Entrada - 2 (Almoço)])&gt;0,MINUTE(tblHorasAbr[Saída - 2]-tblHorasAbr[Entrada - 2 (Almoço)])&gt;CARENCIA),
                         tblHorasAbr[Saída - 2]-tblHorasAbr[Entrada - 2 (Almoço)],
                         0)),
       0)),0)</f>
        <v>0</v>
      </c>
      <c r="L26" s="4">
        <f>tblHorasAbr[Horas Trabalhadas (1º Período)]+tblHorasAbr[Horas Trabalhadas (2º Período)]</f>
        <v>0</v>
      </c>
      <c r="M26" s="4" t="str">
        <f>IF(tblHorasAbr[Data]&lt;&gt;"",
        IF(
AND(VLOOKUP(TEXT(tblHorasAbr[Data],"dddd"),tblDiaUtil[],3,FALSE)="Sim",IF(tblHorasAbr[Evento 
(1º Período)]&lt;&gt;"",IF(VLOOKUP(tblHorasAbr[Evento 
(1º Período)],tblEvento[],Tabelas!$E$1,FALSE)="Sim",FALSE,TRUE),TRUE),IF(tblHorasAbr[Evento 
(2º Período)]&lt;&gt;"",IF(VLOOKUP(tblHorasAbr[Evento 
(2º Período)],tblEvento[],Tabelas!$E$1,FALSE)="Sim",FALSE,TRUE),TRUE)),
              IF(VLOOKUP(tblHorasAbr[Dia],tblDiaUtil[[Abreviatura]:[1º Período]],3,FALSE)&gt;0,VLOOKUP(tblHorasAbr[Dia],tblDiaUtil[[Abreviatura]:[1º Período]],3,FALSE),JORNADA),
              ""),
         "")</f>
        <v/>
      </c>
      <c r="N26" s="14">
        <f>IF(OR(tblHorasAbr[Horas Trabalhadas (1º Período)]&lt;&gt;0,tblHorasAbr[Horas Trabalhadas (2º Período)]&lt;&gt;0),
        IF(ISNUMBER(tblHorasAbr[Jornada Diária]),
              IF(tblHorasAbr[Jornada Diária]&gt;(tblHorasAbr[Horas Trabalhadas (2º Período)]+tblHorasAbr[Horas Trabalhadas (1º Período)]),
                     IF(ROUND((tblHorasAbr[Jornada Diária]-(tblHorasAbr[Horas Trabalhadas (2º Período)]+tblHorasAbr[Horas Trabalhadas (1º Período)])),6)&gt;ROUND(CARENCIA,6),
                           -tblHorasAbr[Jornada Diária]+(tblHorasAbr[Horas Trabalhadas (2º Período)]+tblHorasAbr[Horas Trabalhadas (1º Período)]),
                           0),
                      IF(ROUND((tblHorasAbr[Jornada Diária]-(tblHorasAbr[Horas Trabalhadas (2º Período)]+tblHorasAbr[Horas Trabalhadas (1º Período)])),6)&lt;ROUND(-CARENCIA,6),
                           -tblHorasAbr[Jornada Diária]+(tblHorasAbr[Horas Trabalhadas (2º Período)]+tblHorasAbr[Horas Trabalhadas (1º Período)]),
                           0)),
              tblHorasAbr[Horas Trabalhadas (2º Período)]+tblHorasAbr[Horas Trabalhadas (1º Período)]),
         IF(AND(IF(ISERROR(VLOOKUP(tblHorasAbr[Evento 
(1º Período)],tblEvento[[Evento]:[Libera o Período]],4,FALSE)),FALSE,IF(VLOOKUP(tblHorasAbr[Evento 
(1º Período)],tblEvento[[Evento]:[Libera o Período]],4,FALSE)="Não",TRUE,FALSE)),IF(ISERROR(VLOOKUP(tblHorasAbr[Evento 
(2º Período)],tblEvento[[Evento]:[Libera o Período]],4,FALSE)),FALSE,IF(VLOOKUP(tblHorasAbr[Evento 
(2º Período)],tblEvento[[Evento]:[Libera o Período]],4,FALSE)="Não",TRUE,FALSE))),
-IF(VLOOKUP(tblHorasAbr[Dia],tblDiaUtil[[Abreviatura]:[Total Jornada]],5,FALSE)&lt;&gt;"",VLOOKUP(tblHorasAbr[Dia],tblDiaUtil[[Abreviatura]:[Total Jornada]],5,FALSE),JORNADA),
IF(IF(ISERROR(VLOOKUP(tblHorasAbr[Evento 
(1º Período)],tblEvento[[Evento]:[Libera o Período]],4,FALSE)),FALSE,
IF(VLOOKUP(tblHorasAbr[Evento 
(1º Período)],tblEvento[[Evento]:[Libera o Período]],4,FALSE)="Não",TRUE,FALSE)
),
-IF(VLOOKUP(tblHorasAbr[Dia],tblDiaUtil[[Abreviatura]:[1º Período]],3,FALSE)&lt;&gt;"",VLOOKUP(tblHorasAbr[Dia],tblDiaUtil[[Abreviatura]:[1º Período]],3,FALSE),JORNADA_PERIODO_1),
IF(IF(ISERROR(VLOOKUP(tblHorasAbr[Evento 
(2º Período)],tblEvento[[Evento]:[Libera o Período]],4,FALSE)),FALSE,IF(VLOOKUP(tblHorasAbr[Evento 
(2º Período)],tblEvento[[Evento]:[Libera o Período]],4,FALSE)="Não",TRUE,FALSE)),
-IF(VLOOKUP(tblHorasAbr[Dia],tblDiaUtil[[Abreviatura]:[2º Período]],4,FALSE)&lt;&gt;"",VLOOKUP(tblHorasAbr[Dia],tblDiaUtil[[Abreviatura]:[2º Período]],4,FALSE),JORNADA_PERIODO_2),0))))</f>
        <v>0</v>
      </c>
      <c r="O26" s="14">
        <f>IF(tblHorasAbr[Horas Trabalhadas Além Jornada]&gt;0,
        IF(ISNUMBER(tblHorasAbr[Jornada Diária]),
              IF(HOUR(tblHorasAbr[Horas Trabalhadas Além Jornada])&gt;=VLOOKUP(LIMITE,tblLimiteHora[],Tabelas!$I$1,FALSE),
                    VLOOKUP(LIMITE,tblLimiteHora[],Tabelas!$J$1,FALSE),
                    tblHorasAbr[Horas Trabalhadas Além Jornada]),
              tblHorasAbr[Horas Trabalhadas Além Jornada]),
        tblHorasAbr[Horas Trabalhadas Além Jornada])+O25</f>
        <v>0</v>
      </c>
      <c r="P26" s="14" t="str">
        <f>IF(tblHorasAbr[Horas Trabalhadas Além Jornada]&lt;0,IF(OR(tblHorasAbr[Evento 
(1º Período)]="",tblHorasAbr[Evento 
(2º Período)]=""),tblHorasAbr[Horas Trabalhadas Além Jornada],""),"")</f>
        <v/>
      </c>
      <c r="Q26" s="14" t="str">
        <f>IF(tblHorasAbr[Jornada Diária]&lt;&gt;"",IF((N(tblHorasAbr[Jornada Diária])-ABS(N(tblHorasAbr[Horas Trabalhadas Além Jornada])))=0,1,""),"")</f>
        <v/>
      </c>
      <c r="R26" s="14" t="str">
        <f>IF(tblHorasAbr[Horas Trabalhadas Além Jornada]&gt;0,
IF(AND(VLOOKUP(TEXT(tblHorasAbr[Data],"dddd"),tblDiaUtil[],3,FALSE)="Sim",IF(tblHorasAbr[Evento 
(1º Período)]&lt;&gt;"",IF(VLOOKUP(tblHorasAbr[Evento 
(1º Período)],tblEvento[],Tabelas!$E$1,FALSE)="Sim",FALSE,TRUE),TRUE),IF(tblHorasAbr[Evento 
(2º Período)]&lt;&gt;"",IF(VLOOKUP(tblHorasAbr[Evento 
(2º Período)],tblEvento[],Tabelas!$E$1,FALSE)="Sim",FALSE,TRUE),TRUE)),
tblHorasAbr[Horas Trabalhadas Além Jornada],""),"")</f>
        <v/>
      </c>
      <c r="S26" s="14" t="str">
        <f>IF(tblHorasAbr[Horas Trabalhadas Além Jornada]&gt;0,
IF(OR(VLOOKUP(TEXT(tblHorasAbr[Data],"dddd"),tblDiaUtil[],3,FALSE)="Não",IF(tblHorasAbr[Evento 
(1º Período)]&lt;&gt;"",IF(VLOOKUP(tblHorasAbr[Evento 
(1º Período)],tblEvento[],Tabelas!$E$1,FALSE)="Sim",TRUE,FALSE),FALSE),IF(tblHorasAbr[Evento 
(2º Período)]&lt;&gt;"",IF(VLOOKUP(tblHorasAbr[Evento 
(2º Período)],tblEvento[],Tabelas!$E$1,FALSE)="Sim",TRUE,FALSE),FALSE)),
tblHorasAbr[Horas Trabalhadas Além Jornada],""),"")</f>
        <v/>
      </c>
      <c r="T26" s="15" t="str">
        <f>IF(tblHorasAbr[Evento 
(1º Período)]&lt;&gt;""," - " &amp;VLOOKUP(tblHorasAbr[Evento 
(1º Período)],tblEvento[],Tabelas!$F$1,FALSE),"")&amp;IF(AND(tblHorasAbr[Evento 
(2º Período)]&lt;&gt;"",tblHorasAbr[Evento 
(2º Período)]&lt;&gt;tblHorasAbr[Evento 
(1º Período)])," - " &amp; VLOOKUP(tblHorasAbr[Evento 
(2º Período)],tblEvento[],Tabelas!$F$1,FALSE),"")</f>
        <v/>
      </c>
    </row>
    <row r="27" spans="2:20" x14ac:dyDescent="0.25">
      <c r="B27" s="11" t="str">
        <f t="shared" si="0"/>
        <v/>
      </c>
      <c r="C27" s="12" t="str">
        <f>TEXT(tblHorasAbr[Data],"ddd")</f>
        <v/>
      </c>
      <c r="D27" s="25"/>
      <c r="E27" s="1"/>
      <c r="F27" s="1"/>
      <c r="G27" s="1"/>
      <c r="H27" s="1"/>
      <c r="I27" s="53"/>
      <c r="J27" s="4">
        <f>IF($B$6&lt;&gt;"",
IF(AND(tblHorasAbr[Evento 
(1º Período)]&lt;&gt;"",IF(ISERROR(VLOOKUP(tblHorasAbr[Evento 
(1º Período)],tblEvento[],Tabelas!$D$1,FALSE)),FALSE,VLOOKUP(tblHorasAbr[Evento 
(1º Período)],tblEvento[],Tabelas!$D$1,FALSE)="Sim")),
        IF(JORNADA_PERIODO_1&lt;&gt;"",
IF(VLOOKUP(tblHorasAbr[Dia],tblDiaUtil[[Abreviatura]:[1º Período]],3,FALSE)&gt;0,VLOOKUP(tblHorasAbr[Dia],tblDiaUtil[[Abreviatura]:[1º Período]],3,FALSE),JORNADA_PERIODO_1),
IF(VLOOKUP(tblHorasAbr[Dia],tblDiaUtil[[Abreviatura]:[1º Período]],3,FALSE)&gt;0,VLOOKUP(tblHorasAbr[Dia],tblDiaUtil[[Abreviatura]:[1º Período]],3,FALSE),JORNADA/2)),
        IF(AND(ISNUMBER(tblHorasAbr[Saída - 1 (Almoço)]),ISNUMBER(tblHorasAbr[Entrada - 1])),
              IF(OR(AND(tblHorasAbr[Evento 
(1º Período)]&lt;&gt;"",IF(ISERROR(VLOOKUP(tblHorasAbr[Evento 
(1º Período)],tblEvento[],Tabelas!$E$1,FALSE)),FALSE,VLOOKUP(tblHorasAbr[Evento 
(1º Período)],tblEvento[],Tabelas!$E$1,FALSE)="Sim")),IF(VLOOKUP(TEXT(tblHorasAbr[Data],"dddd"),tblDiaUtil[],2,FALSE)="Não",TRUE,FALSE)),
                   tblHorasAbr[Saída - 1 (Almoço)]-tblHorasAbr[Entrada - 1],
                   IF(OR(HOUR(tblHorasAbr[Saída - 1 (Almoço)]-tblHorasAbr[Entrada - 1])&gt;0,ROUND(tblHorasAbr[Saída - 1 (Almoço)]-tblHorasAbr[Entrada - 1],6)&gt;ROUND(CARENCIA,6)),
                          tblHorasAbr[Saída - 1 (Almoço)]-tblHorasAbr[Entrada - 1],
                          0)),
                    0)),0)</f>
        <v>0</v>
      </c>
      <c r="K27" s="4">
        <f>IF($B$6&lt;&gt;"",
IF(AND(tblHorasAbr[Evento 
(2º Período)]&lt;&gt;"",IF(ISERROR(VLOOKUP(tblHorasAbr[Evento 
(2º Período)],tblEvento[],Tabelas!$D$1,FALSE)),FALSE,VLOOKUP(tblHorasAbr[Evento 
(2º Período)],tblEvento[],Tabelas!$D$1,FALSE)="Sim")),
        IF(JORNADA_PERIODO_2&lt;&gt;"",
IF(VLOOKUP(tblHorasAbr[Dia],tblDiaUtil[[Abreviatura]:[2º Período]],4,FALSE)&gt;0,VLOOKUP(tblHorasAbr[Dia],tblDiaUtil[[Abreviatura]:[2º Período]],4,FALSE),JORNADA_PERIODO_2),
IF(VLOOKUP(tblHorasAbr[Dia],tblDiaUtil[[Abreviatura]:[2º Período]],4,FALSE)&gt;0,VLOOKUP(tblHorasAbr[Dia],tblDiaUtil[[Abreviatura]:[2º Período]],4,FALSE),JORNADA/2)),
        IF(AND(ISNUMBER(tblHorasAbr[Saída - 2]),ISNUMBER(tblHorasAbr[Entrada - 2 (Almoço)])),
              IF(OR(AND(tblHorasAbr[Evento 
(2º Período)]&lt;&gt;"",IF(ISERROR(VLOOKUP(tblHorasAbr[Evento 
(2º Período)],tblEvento[],Tabelas!$E$1,FALSE)),FALSE,VLOOKUP(tblHorasAbr[Evento 
(2º Período)],tblEvento[],Tabelas!$E$1,FALSE)="Sim")),IF(VLOOKUP(TEXT(tblHorasAbr[Data],"dddd"),tblDiaUtil[],2,FALSE)="Não",TRUE,FALSE)),
                   tblHorasAbr[Saída - 2]-tblHorasAbr[Entrada - 2 (Almoço)],
                   IF(OR(HOUR(tblHorasAbr[Saída - 2]-tblHorasAbr[Entrada - 2 (Almoço)])&gt;0,MINUTE(tblHorasAbr[Saída - 2]-tblHorasAbr[Entrada - 2 (Almoço)])&gt;CARENCIA),
                         tblHorasAbr[Saída - 2]-tblHorasAbr[Entrada - 2 (Almoço)],
                         0)),
       0)),0)</f>
        <v>0</v>
      </c>
      <c r="L27" s="4">
        <f>tblHorasAbr[Horas Trabalhadas (1º Período)]+tblHorasAbr[Horas Trabalhadas (2º Período)]</f>
        <v>0</v>
      </c>
      <c r="M27" s="4" t="str">
        <f>IF(tblHorasAbr[Data]&lt;&gt;"",
        IF(
AND(VLOOKUP(TEXT(tblHorasAbr[Data],"dddd"),tblDiaUtil[],3,FALSE)="Sim",IF(tblHorasAbr[Evento 
(1º Período)]&lt;&gt;"",IF(VLOOKUP(tblHorasAbr[Evento 
(1º Período)],tblEvento[],Tabelas!$E$1,FALSE)="Sim",FALSE,TRUE),TRUE),IF(tblHorasAbr[Evento 
(2º Período)]&lt;&gt;"",IF(VLOOKUP(tblHorasAbr[Evento 
(2º Período)],tblEvento[],Tabelas!$E$1,FALSE)="Sim",FALSE,TRUE),TRUE)),
              IF(VLOOKUP(tblHorasAbr[Dia],tblDiaUtil[[Abreviatura]:[1º Período]],3,FALSE)&gt;0,VLOOKUP(tblHorasAbr[Dia],tblDiaUtil[[Abreviatura]:[1º Período]],3,FALSE),JORNADA),
              ""),
         "")</f>
        <v/>
      </c>
      <c r="N27" s="14">
        <f>IF(OR(tblHorasAbr[Horas Trabalhadas (1º Período)]&lt;&gt;0,tblHorasAbr[Horas Trabalhadas (2º Período)]&lt;&gt;0),
        IF(ISNUMBER(tblHorasAbr[Jornada Diária]),
              IF(tblHorasAbr[Jornada Diária]&gt;(tblHorasAbr[Horas Trabalhadas (2º Período)]+tblHorasAbr[Horas Trabalhadas (1º Período)]),
                     IF(ROUND((tblHorasAbr[Jornada Diária]-(tblHorasAbr[Horas Trabalhadas (2º Período)]+tblHorasAbr[Horas Trabalhadas (1º Período)])),6)&gt;ROUND(CARENCIA,6),
                           -tblHorasAbr[Jornada Diária]+(tblHorasAbr[Horas Trabalhadas (2º Período)]+tblHorasAbr[Horas Trabalhadas (1º Período)]),
                           0),
                      IF(ROUND((tblHorasAbr[Jornada Diária]-(tblHorasAbr[Horas Trabalhadas (2º Período)]+tblHorasAbr[Horas Trabalhadas (1º Período)])),6)&lt;ROUND(-CARENCIA,6),
                           -tblHorasAbr[Jornada Diária]+(tblHorasAbr[Horas Trabalhadas (2º Período)]+tblHorasAbr[Horas Trabalhadas (1º Período)]),
                           0)),
              tblHorasAbr[Horas Trabalhadas (2º Período)]+tblHorasAbr[Horas Trabalhadas (1º Período)]),
         IF(AND(IF(ISERROR(VLOOKUP(tblHorasAbr[Evento 
(1º Período)],tblEvento[[Evento]:[Libera o Período]],4,FALSE)),FALSE,IF(VLOOKUP(tblHorasAbr[Evento 
(1º Período)],tblEvento[[Evento]:[Libera o Período]],4,FALSE)="Não",TRUE,FALSE)),IF(ISERROR(VLOOKUP(tblHorasAbr[Evento 
(2º Período)],tblEvento[[Evento]:[Libera o Período]],4,FALSE)),FALSE,IF(VLOOKUP(tblHorasAbr[Evento 
(2º Período)],tblEvento[[Evento]:[Libera o Período]],4,FALSE)="Não",TRUE,FALSE))),
-IF(VLOOKUP(tblHorasAbr[Dia],tblDiaUtil[[Abreviatura]:[Total Jornada]],5,FALSE)&lt;&gt;"",VLOOKUP(tblHorasAbr[Dia],tblDiaUtil[[Abreviatura]:[Total Jornada]],5,FALSE),JORNADA),
IF(IF(ISERROR(VLOOKUP(tblHorasAbr[Evento 
(1º Período)],tblEvento[[Evento]:[Libera o Período]],4,FALSE)),FALSE,
IF(VLOOKUP(tblHorasAbr[Evento 
(1º Período)],tblEvento[[Evento]:[Libera o Período]],4,FALSE)="Não",TRUE,FALSE)
),
-IF(VLOOKUP(tblHorasAbr[Dia],tblDiaUtil[[Abreviatura]:[1º Período]],3,FALSE)&lt;&gt;"",VLOOKUP(tblHorasAbr[Dia],tblDiaUtil[[Abreviatura]:[1º Período]],3,FALSE),JORNADA_PERIODO_1),
IF(IF(ISERROR(VLOOKUP(tblHorasAbr[Evento 
(2º Período)],tblEvento[[Evento]:[Libera o Período]],4,FALSE)),FALSE,IF(VLOOKUP(tblHorasAbr[Evento 
(2º Período)],tblEvento[[Evento]:[Libera o Período]],4,FALSE)="Não",TRUE,FALSE)),
-IF(VLOOKUP(tblHorasAbr[Dia],tblDiaUtil[[Abreviatura]:[2º Período]],4,FALSE)&lt;&gt;"",VLOOKUP(tblHorasAbr[Dia],tblDiaUtil[[Abreviatura]:[2º Período]],4,FALSE),JORNADA_PERIODO_2),0))))</f>
        <v>0</v>
      </c>
      <c r="O27" s="14">
        <f>IF(tblHorasAbr[Horas Trabalhadas Além Jornada]&gt;0,
        IF(ISNUMBER(tblHorasAbr[Jornada Diária]),
              IF(HOUR(tblHorasAbr[Horas Trabalhadas Além Jornada])&gt;=VLOOKUP(LIMITE,tblLimiteHora[],Tabelas!$I$1,FALSE),
                    VLOOKUP(LIMITE,tblLimiteHora[],Tabelas!$J$1,FALSE),
                    tblHorasAbr[Horas Trabalhadas Além Jornada]),
              tblHorasAbr[Horas Trabalhadas Além Jornada]),
        tblHorasAbr[Horas Trabalhadas Além Jornada])+O26</f>
        <v>0</v>
      </c>
      <c r="P27" s="14" t="str">
        <f>IF(tblHorasAbr[Horas Trabalhadas Além Jornada]&lt;0,IF(OR(tblHorasAbr[Evento 
(1º Período)]="",tblHorasAbr[Evento 
(2º Período)]=""),tblHorasAbr[Horas Trabalhadas Além Jornada],""),"")</f>
        <v/>
      </c>
      <c r="Q27" s="14" t="str">
        <f>IF(tblHorasAbr[Jornada Diária]&lt;&gt;"",IF((N(tblHorasAbr[Jornada Diária])-ABS(N(tblHorasAbr[Horas Trabalhadas Além Jornada])))=0,1,""),"")</f>
        <v/>
      </c>
      <c r="R27" s="14" t="str">
        <f>IF(tblHorasAbr[Horas Trabalhadas Além Jornada]&gt;0,
IF(AND(VLOOKUP(TEXT(tblHorasAbr[Data],"dddd"),tblDiaUtil[],3,FALSE)="Sim",IF(tblHorasAbr[Evento 
(1º Período)]&lt;&gt;"",IF(VLOOKUP(tblHorasAbr[Evento 
(1º Período)],tblEvento[],Tabelas!$E$1,FALSE)="Sim",FALSE,TRUE),TRUE),IF(tblHorasAbr[Evento 
(2º Período)]&lt;&gt;"",IF(VLOOKUP(tblHorasAbr[Evento 
(2º Período)],tblEvento[],Tabelas!$E$1,FALSE)="Sim",FALSE,TRUE),TRUE)),
tblHorasAbr[Horas Trabalhadas Além Jornada],""),"")</f>
        <v/>
      </c>
      <c r="S27" s="14" t="str">
        <f>IF(tblHorasAbr[Horas Trabalhadas Além Jornada]&gt;0,
IF(OR(VLOOKUP(TEXT(tblHorasAbr[Data],"dddd"),tblDiaUtil[],3,FALSE)="Não",IF(tblHorasAbr[Evento 
(1º Período)]&lt;&gt;"",IF(VLOOKUP(tblHorasAbr[Evento 
(1º Período)],tblEvento[],Tabelas!$E$1,FALSE)="Sim",TRUE,FALSE),FALSE),IF(tblHorasAbr[Evento 
(2º Período)]&lt;&gt;"",IF(VLOOKUP(tblHorasAbr[Evento 
(2º Período)],tblEvento[],Tabelas!$E$1,FALSE)="Sim",TRUE,FALSE),FALSE)),
tblHorasAbr[Horas Trabalhadas Além Jornada],""),"")</f>
        <v/>
      </c>
      <c r="T27" s="15" t="str">
        <f>IF(tblHorasAbr[Evento 
(1º Período)]&lt;&gt;""," - " &amp;VLOOKUP(tblHorasAbr[Evento 
(1º Período)],tblEvento[],Tabelas!$F$1,FALSE),"")&amp;IF(AND(tblHorasAbr[Evento 
(2º Período)]&lt;&gt;"",tblHorasAbr[Evento 
(2º Período)]&lt;&gt;tblHorasAbr[Evento 
(1º Período)])," - " &amp; VLOOKUP(tblHorasAbr[Evento 
(2º Período)],tblEvento[],Tabelas!$F$1,FALSE),"")</f>
        <v/>
      </c>
    </row>
    <row r="28" spans="2:20" x14ac:dyDescent="0.25">
      <c r="B28" s="11" t="str">
        <f t="shared" si="0"/>
        <v/>
      </c>
      <c r="C28" s="12" t="str">
        <f>TEXT(tblHorasAbr[Data],"ddd")</f>
        <v/>
      </c>
      <c r="D28" s="25"/>
      <c r="E28" s="1"/>
      <c r="F28" s="1"/>
      <c r="G28" s="1"/>
      <c r="H28" s="1"/>
      <c r="I28" s="53"/>
      <c r="J28" s="4">
        <f>IF($B$6&lt;&gt;"",
IF(AND(tblHorasAbr[Evento 
(1º Período)]&lt;&gt;"",IF(ISERROR(VLOOKUP(tblHorasAbr[Evento 
(1º Período)],tblEvento[],Tabelas!$D$1,FALSE)),FALSE,VLOOKUP(tblHorasAbr[Evento 
(1º Período)],tblEvento[],Tabelas!$D$1,FALSE)="Sim")),
        IF(JORNADA_PERIODO_1&lt;&gt;"",
IF(VLOOKUP(tblHorasAbr[Dia],tblDiaUtil[[Abreviatura]:[1º Período]],3,FALSE)&gt;0,VLOOKUP(tblHorasAbr[Dia],tblDiaUtil[[Abreviatura]:[1º Período]],3,FALSE),JORNADA_PERIODO_1),
IF(VLOOKUP(tblHorasAbr[Dia],tblDiaUtil[[Abreviatura]:[1º Período]],3,FALSE)&gt;0,VLOOKUP(tblHorasAbr[Dia],tblDiaUtil[[Abreviatura]:[1º Período]],3,FALSE),JORNADA/2)),
        IF(AND(ISNUMBER(tblHorasAbr[Saída - 1 (Almoço)]),ISNUMBER(tblHorasAbr[Entrada - 1])),
              IF(OR(AND(tblHorasAbr[Evento 
(1º Período)]&lt;&gt;"",IF(ISERROR(VLOOKUP(tblHorasAbr[Evento 
(1º Período)],tblEvento[],Tabelas!$E$1,FALSE)),FALSE,VLOOKUP(tblHorasAbr[Evento 
(1º Período)],tblEvento[],Tabelas!$E$1,FALSE)="Sim")),IF(VLOOKUP(TEXT(tblHorasAbr[Data],"dddd"),tblDiaUtil[],2,FALSE)="Não",TRUE,FALSE)),
                   tblHorasAbr[Saída - 1 (Almoço)]-tblHorasAbr[Entrada - 1],
                   IF(OR(HOUR(tblHorasAbr[Saída - 1 (Almoço)]-tblHorasAbr[Entrada - 1])&gt;0,ROUND(tblHorasAbr[Saída - 1 (Almoço)]-tblHorasAbr[Entrada - 1],6)&gt;ROUND(CARENCIA,6)),
                          tblHorasAbr[Saída - 1 (Almoço)]-tblHorasAbr[Entrada - 1],
                          0)),
                    0)),0)</f>
        <v>0</v>
      </c>
      <c r="K28" s="4">
        <f>IF($B$6&lt;&gt;"",
IF(AND(tblHorasAbr[Evento 
(2º Período)]&lt;&gt;"",IF(ISERROR(VLOOKUP(tblHorasAbr[Evento 
(2º Período)],tblEvento[],Tabelas!$D$1,FALSE)),FALSE,VLOOKUP(tblHorasAbr[Evento 
(2º Período)],tblEvento[],Tabelas!$D$1,FALSE)="Sim")),
        IF(JORNADA_PERIODO_2&lt;&gt;"",
IF(VLOOKUP(tblHorasAbr[Dia],tblDiaUtil[[Abreviatura]:[2º Período]],4,FALSE)&gt;0,VLOOKUP(tblHorasAbr[Dia],tblDiaUtil[[Abreviatura]:[2º Período]],4,FALSE),JORNADA_PERIODO_2),
IF(VLOOKUP(tblHorasAbr[Dia],tblDiaUtil[[Abreviatura]:[2º Período]],4,FALSE)&gt;0,VLOOKUP(tblHorasAbr[Dia],tblDiaUtil[[Abreviatura]:[2º Período]],4,FALSE),JORNADA/2)),
        IF(AND(ISNUMBER(tblHorasAbr[Saída - 2]),ISNUMBER(tblHorasAbr[Entrada - 2 (Almoço)])),
              IF(OR(AND(tblHorasAbr[Evento 
(2º Período)]&lt;&gt;"",IF(ISERROR(VLOOKUP(tblHorasAbr[Evento 
(2º Período)],tblEvento[],Tabelas!$E$1,FALSE)),FALSE,VLOOKUP(tblHorasAbr[Evento 
(2º Período)],tblEvento[],Tabelas!$E$1,FALSE)="Sim")),IF(VLOOKUP(TEXT(tblHorasAbr[Data],"dddd"),tblDiaUtil[],2,FALSE)="Não",TRUE,FALSE)),
                   tblHorasAbr[Saída - 2]-tblHorasAbr[Entrada - 2 (Almoço)],
                   IF(OR(HOUR(tblHorasAbr[Saída - 2]-tblHorasAbr[Entrada - 2 (Almoço)])&gt;0,MINUTE(tblHorasAbr[Saída - 2]-tblHorasAbr[Entrada - 2 (Almoço)])&gt;CARENCIA),
                         tblHorasAbr[Saída - 2]-tblHorasAbr[Entrada - 2 (Almoço)],
                         0)),
       0)),0)</f>
        <v>0</v>
      </c>
      <c r="L28" s="4">
        <f>tblHorasAbr[Horas Trabalhadas (1º Período)]+tblHorasAbr[Horas Trabalhadas (2º Período)]</f>
        <v>0</v>
      </c>
      <c r="M28" s="4" t="str">
        <f>IF(tblHorasAbr[Data]&lt;&gt;"",
        IF(
AND(VLOOKUP(TEXT(tblHorasAbr[Data],"dddd"),tblDiaUtil[],3,FALSE)="Sim",IF(tblHorasAbr[Evento 
(1º Período)]&lt;&gt;"",IF(VLOOKUP(tblHorasAbr[Evento 
(1º Período)],tblEvento[],Tabelas!$E$1,FALSE)="Sim",FALSE,TRUE),TRUE),IF(tblHorasAbr[Evento 
(2º Período)]&lt;&gt;"",IF(VLOOKUP(tblHorasAbr[Evento 
(2º Período)],tblEvento[],Tabelas!$E$1,FALSE)="Sim",FALSE,TRUE),TRUE)),
              IF(VLOOKUP(tblHorasAbr[Dia],tblDiaUtil[[Abreviatura]:[1º Período]],3,FALSE)&gt;0,VLOOKUP(tblHorasAbr[Dia],tblDiaUtil[[Abreviatura]:[1º Período]],3,FALSE),JORNADA),
              ""),
         "")</f>
        <v/>
      </c>
      <c r="N28" s="14">
        <f>IF(OR(tblHorasAbr[Horas Trabalhadas (1º Período)]&lt;&gt;0,tblHorasAbr[Horas Trabalhadas (2º Período)]&lt;&gt;0),
        IF(ISNUMBER(tblHorasAbr[Jornada Diária]),
              IF(tblHorasAbr[Jornada Diária]&gt;(tblHorasAbr[Horas Trabalhadas (2º Período)]+tblHorasAbr[Horas Trabalhadas (1º Período)]),
                     IF(ROUND((tblHorasAbr[Jornada Diária]-(tblHorasAbr[Horas Trabalhadas (2º Período)]+tblHorasAbr[Horas Trabalhadas (1º Período)])),6)&gt;ROUND(CARENCIA,6),
                           -tblHorasAbr[Jornada Diária]+(tblHorasAbr[Horas Trabalhadas (2º Período)]+tblHorasAbr[Horas Trabalhadas (1º Período)]),
                           0),
                      IF(ROUND((tblHorasAbr[Jornada Diária]-(tblHorasAbr[Horas Trabalhadas (2º Período)]+tblHorasAbr[Horas Trabalhadas (1º Período)])),6)&lt;ROUND(-CARENCIA,6),
                           -tblHorasAbr[Jornada Diária]+(tblHorasAbr[Horas Trabalhadas (2º Período)]+tblHorasAbr[Horas Trabalhadas (1º Período)]),
                           0)),
              tblHorasAbr[Horas Trabalhadas (2º Período)]+tblHorasAbr[Horas Trabalhadas (1º Período)]),
         IF(AND(IF(ISERROR(VLOOKUP(tblHorasAbr[Evento 
(1º Período)],tblEvento[[Evento]:[Libera o Período]],4,FALSE)),FALSE,IF(VLOOKUP(tblHorasAbr[Evento 
(1º Período)],tblEvento[[Evento]:[Libera o Período]],4,FALSE)="Não",TRUE,FALSE)),IF(ISERROR(VLOOKUP(tblHorasAbr[Evento 
(2º Período)],tblEvento[[Evento]:[Libera o Período]],4,FALSE)),FALSE,IF(VLOOKUP(tblHorasAbr[Evento 
(2º Período)],tblEvento[[Evento]:[Libera o Período]],4,FALSE)="Não",TRUE,FALSE))),
-IF(VLOOKUP(tblHorasAbr[Dia],tblDiaUtil[[Abreviatura]:[Total Jornada]],5,FALSE)&lt;&gt;"",VLOOKUP(tblHorasAbr[Dia],tblDiaUtil[[Abreviatura]:[Total Jornada]],5,FALSE),JORNADA),
IF(IF(ISERROR(VLOOKUP(tblHorasAbr[Evento 
(1º Período)],tblEvento[[Evento]:[Libera o Período]],4,FALSE)),FALSE,
IF(VLOOKUP(tblHorasAbr[Evento 
(1º Período)],tblEvento[[Evento]:[Libera o Período]],4,FALSE)="Não",TRUE,FALSE)
),
-IF(VLOOKUP(tblHorasAbr[Dia],tblDiaUtil[[Abreviatura]:[1º Período]],3,FALSE)&lt;&gt;"",VLOOKUP(tblHorasAbr[Dia],tblDiaUtil[[Abreviatura]:[1º Período]],3,FALSE),JORNADA_PERIODO_1),
IF(IF(ISERROR(VLOOKUP(tblHorasAbr[Evento 
(2º Período)],tblEvento[[Evento]:[Libera o Período]],4,FALSE)),FALSE,IF(VLOOKUP(tblHorasAbr[Evento 
(2º Período)],tblEvento[[Evento]:[Libera o Período]],4,FALSE)="Não",TRUE,FALSE)),
-IF(VLOOKUP(tblHorasAbr[Dia],tblDiaUtil[[Abreviatura]:[2º Período]],4,FALSE)&lt;&gt;"",VLOOKUP(tblHorasAbr[Dia],tblDiaUtil[[Abreviatura]:[2º Período]],4,FALSE),JORNADA_PERIODO_2),0))))</f>
        <v>0</v>
      </c>
      <c r="O28" s="14">
        <f>IF(tblHorasAbr[Horas Trabalhadas Além Jornada]&gt;0,
        IF(ISNUMBER(tblHorasAbr[Jornada Diária]),
              IF(HOUR(tblHorasAbr[Horas Trabalhadas Além Jornada])&gt;=VLOOKUP(LIMITE,tblLimiteHora[],Tabelas!$I$1,FALSE),
                    VLOOKUP(LIMITE,tblLimiteHora[],Tabelas!$J$1,FALSE),
                    tblHorasAbr[Horas Trabalhadas Além Jornada]),
              tblHorasAbr[Horas Trabalhadas Além Jornada]),
        tblHorasAbr[Horas Trabalhadas Além Jornada])+O27</f>
        <v>0</v>
      </c>
      <c r="P28" s="14" t="str">
        <f>IF(tblHorasAbr[Horas Trabalhadas Além Jornada]&lt;0,IF(OR(tblHorasAbr[Evento 
(1º Período)]="",tblHorasAbr[Evento 
(2º Período)]=""),tblHorasAbr[Horas Trabalhadas Além Jornada],""),"")</f>
        <v/>
      </c>
      <c r="Q28" s="14" t="str">
        <f>IF(tblHorasAbr[Jornada Diária]&lt;&gt;"",IF((N(tblHorasAbr[Jornada Diária])-ABS(N(tblHorasAbr[Horas Trabalhadas Além Jornada])))=0,1,""),"")</f>
        <v/>
      </c>
      <c r="R28" s="14" t="str">
        <f>IF(tblHorasAbr[Horas Trabalhadas Além Jornada]&gt;0,
IF(AND(VLOOKUP(TEXT(tblHorasAbr[Data],"dddd"),tblDiaUtil[],3,FALSE)="Sim",IF(tblHorasAbr[Evento 
(1º Período)]&lt;&gt;"",IF(VLOOKUP(tblHorasAbr[Evento 
(1º Período)],tblEvento[],Tabelas!$E$1,FALSE)="Sim",FALSE,TRUE),TRUE),IF(tblHorasAbr[Evento 
(2º Período)]&lt;&gt;"",IF(VLOOKUP(tblHorasAbr[Evento 
(2º Período)],tblEvento[],Tabelas!$E$1,FALSE)="Sim",FALSE,TRUE),TRUE)),
tblHorasAbr[Horas Trabalhadas Além Jornada],""),"")</f>
        <v/>
      </c>
      <c r="S28" s="14" t="str">
        <f>IF(tblHorasAbr[Horas Trabalhadas Além Jornada]&gt;0,
IF(OR(VLOOKUP(TEXT(tblHorasAbr[Data],"dddd"),tblDiaUtil[],3,FALSE)="Não",IF(tblHorasAbr[Evento 
(1º Período)]&lt;&gt;"",IF(VLOOKUP(tblHorasAbr[Evento 
(1º Período)],tblEvento[],Tabelas!$E$1,FALSE)="Sim",TRUE,FALSE),FALSE),IF(tblHorasAbr[Evento 
(2º Período)]&lt;&gt;"",IF(VLOOKUP(tblHorasAbr[Evento 
(2º Período)],tblEvento[],Tabelas!$E$1,FALSE)="Sim",TRUE,FALSE),FALSE)),
tblHorasAbr[Horas Trabalhadas Além Jornada],""),"")</f>
        <v/>
      </c>
      <c r="T28" s="15" t="str">
        <f>IF(tblHorasAbr[Evento 
(1º Período)]&lt;&gt;""," - " &amp;VLOOKUP(tblHorasAbr[Evento 
(1º Período)],tblEvento[],Tabelas!$F$1,FALSE),"")&amp;IF(AND(tblHorasAbr[Evento 
(2º Período)]&lt;&gt;"",tblHorasAbr[Evento 
(2º Período)]&lt;&gt;tblHorasAbr[Evento 
(1º Período)])," - " &amp; VLOOKUP(tblHorasAbr[Evento 
(2º Período)],tblEvento[],Tabelas!$F$1,FALSE),"")</f>
        <v/>
      </c>
    </row>
    <row r="29" spans="2:20" x14ac:dyDescent="0.25">
      <c r="B29" s="11" t="str">
        <f t="shared" si="0"/>
        <v/>
      </c>
      <c r="C29" s="12" t="str">
        <f>TEXT(tblHorasAbr[Data],"ddd")</f>
        <v/>
      </c>
      <c r="D29" s="25"/>
      <c r="E29" s="1"/>
      <c r="F29" s="1"/>
      <c r="G29" s="1"/>
      <c r="H29" s="1"/>
      <c r="I29" s="53"/>
      <c r="J29" s="4">
        <f>IF($B$6&lt;&gt;"",
IF(AND(tblHorasAbr[Evento 
(1º Período)]&lt;&gt;"",IF(ISERROR(VLOOKUP(tblHorasAbr[Evento 
(1º Período)],tblEvento[],Tabelas!$D$1,FALSE)),FALSE,VLOOKUP(tblHorasAbr[Evento 
(1º Período)],tblEvento[],Tabelas!$D$1,FALSE)="Sim")),
        IF(JORNADA_PERIODO_1&lt;&gt;"",
IF(VLOOKUP(tblHorasAbr[Dia],tblDiaUtil[[Abreviatura]:[1º Período]],3,FALSE)&gt;0,VLOOKUP(tblHorasAbr[Dia],tblDiaUtil[[Abreviatura]:[1º Período]],3,FALSE),JORNADA_PERIODO_1),
IF(VLOOKUP(tblHorasAbr[Dia],tblDiaUtil[[Abreviatura]:[1º Período]],3,FALSE)&gt;0,VLOOKUP(tblHorasAbr[Dia],tblDiaUtil[[Abreviatura]:[1º Período]],3,FALSE),JORNADA/2)),
        IF(AND(ISNUMBER(tblHorasAbr[Saída - 1 (Almoço)]),ISNUMBER(tblHorasAbr[Entrada - 1])),
              IF(OR(AND(tblHorasAbr[Evento 
(1º Período)]&lt;&gt;"",IF(ISERROR(VLOOKUP(tblHorasAbr[Evento 
(1º Período)],tblEvento[],Tabelas!$E$1,FALSE)),FALSE,VLOOKUP(tblHorasAbr[Evento 
(1º Período)],tblEvento[],Tabelas!$E$1,FALSE)="Sim")),IF(VLOOKUP(TEXT(tblHorasAbr[Data],"dddd"),tblDiaUtil[],2,FALSE)="Não",TRUE,FALSE)),
                   tblHorasAbr[Saída - 1 (Almoço)]-tblHorasAbr[Entrada - 1],
                   IF(OR(HOUR(tblHorasAbr[Saída - 1 (Almoço)]-tblHorasAbr[Entrada - 1])&gt;0,ROUND(tblHorasAbr[Saída - 1 (Almoço)]-tblHorasAbr[Entrada - 1],6)&gt;ROUND(CARENCIA,6)),
                          tblHorasAbr[Saída - 1 (Almoço)]-tblHorasAbr[Entrada - 1],
                          0)),
                    0)),0)</f>
        <v>0</v>
      </c>
      <c r="K29" s="4">
        <f>IF($B$6&lt;&gt;"",
IF(AND(tblHorasAbr[Evento 
(2º Período)]&lt;&gt;"",IF(ISERROR(VLOOKUP(tblHorasAbr[Evento 
(2º Período)],tblEvento[],Tabelas!$D$1,FALSE)),FALSE,VLOOKUP(tblHorasAbr[Evento 
(2º Período)],tblEvento[],Tabelas!$D$1,FALSE)="Sim")),
        IF(JORNADA_PERIODO_2&lt;&gt;"",
IF(VLOOKUP(tblHorasAbr[Dia],tblDiaUtil[[Abreviatura]:[2º Período]],4,FALSE)&gt;0,VLOOKUP(tblHorasAbr[Dia],tblDiaUtil[[Abreviatura]:[2º Período]],4,FALSE),JORNADA_PERIODO_2),
IF(VLOOKUP(tblHorasAbr[Dia],tblDiaUtil[[Abreviatura]:[2º Período]],4,FALSE)&gt;0,VLOOKUP(tblHorasAbr[Dia],tblDiaUtil[[Abreviatura]:[2º Período]],4,FALSE),JORNADA/2)),
        IF(AND(ISNUMBER(tblHorasAbr[Saída - 2]),ISNUMBER(tblHorasAbr[Entrada - 2 (Almoço)])),
              IF(OR(AND(tblHorasAbr[Evento 
(2º Período)]&lt;&gt;"",IF(ISERROR(VLOOKUP(tblHorasAbr[Evento 
(2º Período)],tblEvento[],Tabelas!$E$1,FALSE)),FALSE,VLOOKUP(tblHorasAbr[Evento 
(2º Período)],tblEvento[],Tabelas!$E$1,FALSE)="Sim")),IF(VLOOKUP(TEXT(tblHorasAbr[Data],"dddd"),tblDiaUtil[],2,FALSE)="Não",TRUE,FALSE)),
                   tblHorasAbr[Saída - 2]-tblHorasAbr[Entrada - 2 (Almoço)],
                   IF(OR(HOUR(tblHorasAbr[Saída - 2]-tblHorasAbr[Entrada - 2 (Almoço)])&gt;0,MINUTE(tblHorasAbr[Saída - 2]-tblHorasAbr[Entrada - 2 (Almoço)])&gt;CARENCIA),
                         tblHorasAbr[Saída - 2]-tblHorasAbr[Entrada - 2 (Almoço)],
                         0)),
       0)),0)</f>
        <v>0</v>
      </c>
      <c r="L29" s="4">
        <f>tblHorasAbr[Horas Trabalhadas (1º Período)]+tblHorasAbr[Horas Trabalhadas (2º Período)]</f>
        <v>0</v>
      </c>
      <c r="M29" s="4" t="str">
        <f>IF(tblHorasAbr[Data]&lt;&gt;"",
        IF(
AND(VLOOKUP(TEXT(tblHorasAbr[Data],"dddd"),tblDiaUtil[],3,FALSE)="Sim",IF(tblHorasAbr[Evento 
(1º Período)]&lt;&gt;"",IF(VLOOKUP(tblHorasAbr[Evento 
(1º Período)],tblEvento[],Tabelas!$E$1,FALSE)="Sim",FALSE,TRUE),TRUE),IF(tblHorasAbr[Evento 
(2º Período)]&lt;&gt;"",IF(VLOOKUP(tblHorasAbr[Evento 
(2º Período)],tblEvento[],Tabelas!$E$1,FALSE)="Sim",FALSE,TRUE),TRUE)),
              IF(VLOOKUP(tblHorasAbr[Dia],tblDiaUtil[[Abreviatura]:[1º Período]],3,FALSE)&gt;0,VLOOKUP(tblHorasAbr[Dia],tblDiaUtil[[Abreviatura]:[1º Período]],3,FALSE),JORNADA),
              ""),
         "")</f>
        <v/>
      </c>
      <c r="N29" s="14">
        <f>IF(OR(tblHorasAbr[Horas Trabalhadas (1º Período)]&lt;&gt;0,tblHorasAbr[Horas Trabalhadas (2º Período)]&lt;&gt;0),
        IF(ISNUMBER(tblHorasAbr[Jornada Diária]),
              IF(tblHorasAbr[Jornada Diária]&gt;(tblHorasAbr[Horas Trabalhadas (2º Período)]+tblHorasAbr[Horas Trabalhadas (1º Período)]),
                     IF(ROUND((tblHorasAbr[Jornada Diária]-(tblHorasAbr[Horas Trabalhadas (2º Período)]+tblHorasAbr[Horas Trabalhadas (1º Período)])),6)&gt;ROUND(CARENCIA,6),
                           -tblHorasAbr[Jornada Diária]+(tblHorasAbr[Horas Trabalhadas (2º Período)]+tblHorasAbr[Horas Trabalhadas (1º Período)]),
                           0),
                      IF(ROUND((tblHorasAbr[Jornada Diária]-(tblHorasAbr[Horas Trabalhadas (2º Período)]+tblHorasAbr[Horas Trabalhadas (1º Período)])),6)&lt;ROUND(-CARENCIA,6),
                           -tblHorasAbr[Jornada Diária]+(tblHorasAbr[Horas Trabalhadas (2º Período)]+tblHorasAbr[Horas Trabalhadas (1º Período)]),
                           0)),
              tblHorasAbr[Horas Trabalhadas (2º Período)]+tblHorasAbr[Horas Trabalhadas (1º Período)]),
         IF(AND(IF(ISERROR(VLOOKUP(tblHorasAbr[Evento 
(1º Período)],tblEvento[[Evento]:[Libera o Período]],4,FALSE)),FALSE,IF(VLOOKUP(tblHorasAbr[Evento 
(1º Período)],tblEvento[[Evento]:[Libera o Período]],4,FALSE)="Não",TRUE,FALSE)),IF(ISERROR(VLOOKUP(tblHorasAbr[Evento 
(2º Período)],tblEvento[[Evento]:[Libera o Período]],4,FALSE)),FALSE,IF(VLOOKUP(tblHorasAbr[Evento 
(2º Período)],tblEvento[[Evento]:[Libera o Período]],4,FALSE)="Não",TRUE,FALSE))),
-IF(VLOOKUP(tblHorasAbr[Dia],tblDiaUtil[[Abreviatura]:[Total Jornada]],5,FALSE)&lt;&gt;"",VLOOKUP(tblHorasAbr[Dia],tblDiaUtil[[Abreviatura]:[Total Jornada]],5,FALSE),JORNADA),
IF(IF(ISERROR(VLOOKUP(tblHorasAbr[Evento 
(1º Período)],tblEvento[[Evento]:[Libera o Período]],4,FALSE)),FALSE,
IF(VLOOKUP(tblHorasAbr[Evento 
(1º Período)],tblEvento[[Evento]:[Libera o Período]],4,FALSE)="Não",TRUE,FALSE)
),
-IF(VLOOKUP(tblHorasAbr[Dia],tblDiaUtil[[Abreviatura]:[1º Período]],3,FALSE)&lt;&gt;"",VLOOKUP(tblHorasAbr[Dia],tblDiaUtil[[Abreviatura]:[1º Período]],3,FALSE),JORNADA_PERIODO_1),
IF(IF(ISERROR(VLOOKUP(tblHorasAbr[Evento 
(2º Período)],tblEvento[[Evento]:[Libera o Período]],4,FALSE)),FALSE,IF(VLOOKUP(tblHorasAbr[Evento 
(2º Período)],tblEvento[[Evento]:[Libera o Período]],4,FALSE)="Não",TRUE,FALSE)),
-IF(VLOOKUP(tblHorasAbr[Dia],tblDiaUtil[[Abreviatura]:[2º Período]],4,FALSE)&lt;&gt;"",VLOOKUP(tblHorasAbr[Dia],tblDiaUtil[[Abreviatura]:[2º Período]],4,FALSE),JORNADA_PERIODO_2),0))))</f>
        <v>0</v>
      </c>
      <c r="O29" s="14">
        <f>IF(tblHorasAbr[Horas Trabalhadas Além Jornada]&gt;0,
        IF(ISNUMBER(tblHorasAbr[Jornada Diária]),
              IF(HOUR(tblHorasAbr[Horas Trabalhadas Além Jornada])&gt;=VLOOKUP(LIMITE,tblLimiteHora[],Tabelas!$I$1,FALSE),
                    VLOOKUP(LIMITE,tblLimiteHora[],Tabelas!$J$1,FALSE),
                    tblHorasAbr[Horas Trabalhadas Além Jornada]),
              tblHorasAbr[Horas Trabalhadas Além Jornada]),
        tblHorasAbr[Horas Trabalhadas Além Jornada])+O28</f>
        <v>0</v>
      </c>
      <c r="P29" s="14" t="str">
        <f>IF(tblHorasAbr[Horas Trabalhadas Além Jornada]&lt;0,IF(OR(tblHorasAbr[Evento 
(1º Período)]="",tblHorasAbr[Evento 
(2º Período)]=""),tblHorasAbr[Horas Trabalhadas Além Jornada],""),"")</f>
        <v/>
      </c>
      <c r="Q29" s="14" t="str">
        <f>IF(tblHorasAbr[Jornada Diária]&lt;&gt;"",IF((N(tblHorasAbr[Jornada Diária])-ABS(N(tblHorasAbr[Horas Trabalhadas Além Jornada])))=0,1,""),"")</f>
        <v/>
      </c>
      <c r="R29" s="14" t="str">
        <f>IF(tblHorasAbr[Horas Trabalhadas Além Jornada]&gt;0,
IF(AND(VLOOKUP(TEXT(tblHorasAbr[Data],"dddd"),tblDiaUtil[],3,FALSE)="Sim",IF(tblHorasAbr[Evento 
(1º Período)]&lt;&gt;"",IF(VLOOKUP(tblHorasAbr[Evento 
(1º Período)],tblEvento[],Tabelas!$E$1,FALSE)="Sim",FALSE,TRUE),TRUE),IF(tblHorasAbr[Evento 
(2º Período)]&lt;&gt;"",IF(VLOOKUP(tblHorasAbr[Evento 
(2º Período)],tblEvento[],Tabelas!$E$1,FALSE)="Sim",FALSE,TRUE),TRUE)),
tblHorasAbr[Horas Trabalhadas Além Jornada],""),"")</f>
        <v/>
      </c>
      <c r="S29" s="14" t="str">
        <f>IF(tblHorasAbr[Horas Trabalhadas Além Jornada]&gt;0,
IF(OR(VLOOKUP(TEXT(tblHorasAbr[Data],"dddd"),tblDiaUtil[],3,FALSE)="Não",IF(tblHorasAbr[Evento 
(1º Período)]&lt;&gt;"",IF(VLOOKUP(tblHorasAbr[Evento 
(1º Período)],tblEvento[],Tabelas!$E$1,FALSE)="Sim",TRUE,FALSE),FALSE),IF(tblHorasAbr[Evento 
(2º Período)]&lt;&gt;"",IF(VLOOKUP(tblHorasAbr[Evento 
(2º Período)],tblEvento[],Tabelas!$E$1,FALSE)="Sim",TRUE,FALSE),FALSE)),
tblHorasAbr[Horas Trabalhadas Além Jornada],""),"")</f>
        <v/>
      </c>
      <c r="T29" s="15" t="str">
        <f>IF(tblHorasAbr[Evento 
(1º Período)]&lt;&gt;""," - " &amp;VLOOKUP(tblHorasAbr[Evento 
(1º Período)],tblEvento[],Tabelas!$F$1,FALSE),"")&amp;IF(AND(tblHorasAbr[Evento 
(2º Período)]&lt;&gt;"",tblHorasAbr[Evento 
(2º Período)]&lt;&gt;tblHorasAbr[Evento 
(1º Período)])," - " &amp; VLOOKUP(tblHorasAbr[Evento 
(2º Período)],tblEvento[],Tabelas!$F$1,FALSE),"")</f>
        <v/>
      </c>
    </row>
    <row r="30" spans="2:20" x14ac:dyDescent="0.25">
      <c r="B30" s="11" t="str">
        <f t="shared" si="0"/>
        <v/>
      </c>
      <c r="C30" s="12" t="str">
        <f>TEXT(tblHorasAbr[Data],"ddd")</f>
        <v/>
      </c>
      <c r="D30" s="25"/>
      <c r="E30" s="1"/>
      <c r="F30" s="1"/>
      <c r="G30" s="1"/>
      <c r="H30" s="1"/>
      <c r="I30" s="53"/>
      <c r="J30" s="4">
        <f>IF($B$6&lt;&gt;"",
IF(AND(tblHorasAbr[Evento 
(1º Período)]&lt;&gt;"",IF(ISERROR(VLOOKUP(tblHorasAbr[Evento 
(1º Período)],tblEvento[],Tabelas!$D$1,FALSE)),FALSE,VLOOKUP(tblHorasAbr[Evento 
(1º Período)],tblEvento[],Tabelas!$D$1,FALSE)="Sim")),
        IF(JORNADA_PERIODO_1&lt;&gt;"",
IF(VLOOKUP(tblHorasAbr[Dia],tblDiaUtil[[Abreviatura]:[1º Período]],3,FALSE)&gt;0,VLOOKUP(tblHorasAbr[Dia],tblDiaUtil[[Abreviatura]:[1º Período]],3,FALSE),JORNADA_PERIODO_1),
IF(VLOOKUP(tblHorasAbr[Dia],tblDiaUtil[[Abreviatura]:[1º Período]],3,FALSE)&gt;0,VLOOKUP(tblHorasAbr[Dia],tblDiaUtil[[Abreviatura]:[1º Período]],3,FALSE),JORNADA/2)),
        IF(AND(ISNUMBER(tblHorasAbr[Saída - 1 (Almoço)]),ISNUMBER(tblHorasAbr[Entrada - 1])),
              IF(OR(AND(tblHorasAbr[Evento 
(1º Período)]&lt;&gt;"",IF(ISERROR(VLOOKUP(tblHorasAbr[Evento 
(1º Período)],tblEvento[],Tabelas!$E$1,FALSE)),FALSE,VLOOKUP(tblHorasAbr[Evento 
(1º Período)],tblEvento[],Tabelas!$E$1,FALSE)="Sim")),IF(VLOOKUP(TEXT(tblHorasAbr[Data],"dddd"),tblDiaUtil[],2,FALSE)="Não",TRUE,FALSE)),
                   tblHorasAbr[Saída - 1 (Almoço)]-tblHorasAbr[Entrada - 1],
                   IF(OR(HOUR(tblHorasAbr[Saída - 1 (Almoço)]-tblHorasAbr[Entrada - 1])&gt;0,ROUND(tblHorasAbr[Saída - 1 (Almoço)]-tblHorasAbr[Entrada - 1],6)&gt;ROUND(CARENCIA,6)),
                          tblHorasAbr[Saída - 1 (Almoço)]-tblHorasAbr[Entrada - 1],
                          0)),
                    0)),0)</f>
        <v>0</v>
      </c>
      <c r="K30" s="4">
        <f>IF($B$6&lt;&gt;"",
IF(AND(tblHorasAbr[Evento 
(2º Período)]&lt;&gt;"",IF(ISERROR(VLOOKUP(tblHorasAbr[Evento 
(2º Período)],tblEvento[],Tabelas!$D$1,FALSE)),FALSE,VLOOKUP(tblHorasAbr[Evento 
(2º Período)],tblEvento[],Tabelas!$D$1,FALSE)="Sim")),
        IF(JORNADA_PERIODO_2&lt;&gt;"",
IF(VLOOKUP(tblHorasAbr[Dia],tblDiaUtil[[Abreviatura]:[2º Período]],4,FALSE)&gt;0,VLOOKUP(tblHorasAbr[Dia],tblDiaUtil[[Abreviatura]:[2º Período]],4,FALSE),JORNADA_PERIODO_2),
IF(VLOOKUP(tblHorasAbr[Dia],tblDiaUtil[[Abreviatura]:[2º Período]],4,FALSE)&gt;0,VLOOKUP(tblHorasAbr[Dia],tblDiaUtil[[Abreviatura]:[2º Período]],4,FALSE),JORNADA/2)),
        IF(AND(ISNUMBER(tblHorasAbr[Saída - 2]),ISNUMBER(tblHorasAbr[Entrada - 2 (Almoço)])),
              IF(OR(AND(tblHorasAbr[Evento 
(2º Período)]&lt;&gt;"",IF(ISERROR(VLOOKUP(tblHorasAbr[Evento 
(2º Período)],tblEvento[],Tabelas!$E$1,FALSE)),FALSE,VLOOKUP(tblHorasAbr[Evento 
(2º Período)],tblEvento[],Tabelas!$E$1,FALSE)="Sim")),IF(VLOOKUP(TEXT(tblHorasAbr[Data],"dddd"),tblDiaUtil[],2,FALSE)="Não",TRUE,FALSE)),
                   tblHorasAbr[Saída - 2]-tblHorasAbr[Entrada - 2 (Almoço)],
                   IF(OR(HOUR(tblHorasAbr[Saída - 2]-tblHorasAbr[Entrada - 2 (Almoço)])&gt;0,MINUTE(tblHorasAbr[Saída - 2]-tblHorasAbr[Entrada - 2 (Almoço)])&gt;CARENCIA),
                         tblHorasAbr[Saída - 2]-tblHorasAbr[Entrada - 2 (Almoço)],
                         0)),
       0)),0)</f>
        <v>0</v>
      </c>
      <c r="L30" s="4">
        <f>tblHorasAbr[Horas Trabalhadas (1º Período)]+tblHorasAbr[Horas Trabalhadas (2º Período)]</f>
        <v>0</v>
      </c>
      <c r="M30" s="4" t="str">
        <f>IF(tblHorasAbr[Data]&lt;&gt;"",
        IF(
AND(VLOOKUP(TEXT(tblHorasAbr[Data],"dddd"),tblDiaUtil[],3,FALSE)="Sim",IF(tblHorasAbr[Evento 
(1º Período)]&lt;&gt;"",IF(VLOOKUP(tblHorasAbr[Evento 
(1º Período)],tblEvento[],Tabelas!$E$1,FALSE)="Sim",FALSE,TRUE),TRUE),IF(tblHorasAbr[Evento 
(2º Período)]&lt;&gt;"",IF(VLOOKUP(tblHorasAbr[Evento 
(2º Período)],tblEvento[],Tabelas!$E$1,FALSE)="Sim",FALSE,TRUE),TRUE)),
              IF(VLOOKUP(tblHorasAbr[Dia],tblDiaUtil[[Abreviatura]:[1º Período]],3,FALSE)&gt;0,VLOOKUP(tblHorasAbr[Dia],tblDiaUtil[[Abreviatura]:[1º Período]],3,FALSE),JORNADA),
              ""),
         "")</f>
        <v/>
      </c>
      <c r="N30" s="14">
        <f>IF(OR(tblHorasAbr[Horas Trabalhadas (1º Período)]&lt;&gt;0,tblHorasAbr[Horas Trabalhadas (2º Período)]&lt;&gt;0),
        IF(ISNUMBER(tblHorasAbr[Jornada Diária]),
              IF(tblHorasAbr[Jornada Diária]&gt;(tblHorasAbr[Horas Trabalhadas (2º Período)]+tblHorasAbr[Horas Trabalhadas (1º Período)]),
                     IF(ROUND((tblHorasAbr[Jornada Diária]-(tblHorasAbr[Horas Trabalhadas (2º Período)]+tblHorasAbr[Horas Trabalhadas (1º Período)])),6)&gt;ROUND(CARENCIA,6),
                           -tblHorasAbr[Jornada Diária]+(tblHorasAbr[Horas Trabalhadas (2º Período)]+tblHorasAbr[Horas Trabalhadas (1º Período)]),
                           0),
                      IF(ROUND((tblHorasAbr[Jornada Diária]-(tblHorasAbr[Horas Trabalhadas (2º Período)]+tblHorasAbr[Horas Trabalhadas (1º Período)])),6)&lt;ROUND(-CARENCIA,6),
                           -tblHorasAbr[Jornada Diária]+(tblHorasAbr[Horas Trabalhadas (2º Período)]+tblHorasAbr[Horas Trabalhadas (1º Período)]),
                           0)),
              tblHorasAbr[Horas Trabalhadas (2º Período)]+tblHorasAbr[Horas Trabalhadas (1º Período)]),
         IF(AND(IF(ISERROR(VLOOKUP(tblHorasAbr[Evento 
(1º Período)],tblEvento[[Evento]:[Libera o Período]],4,FALSE)),FALSE,IF(VLOOKUP(tblHorasAbr[Evento 
(1º Período)],tblEvento[[Evento]:[Libera o Período]],4,FALSE)="Não",TRUE,FALSE)),IF(ISERROR(VLOOKUP(tblHorasAbr[Evento 
(2º Período)],tblEvento[[Evento]:[Libera o Período]],4,FALSE)),FALSE,IF(VLOOKUP(tblHorasAbr[Evento 
(2º Período)],tblEvento[[Evento]:[Libera o Período]],4,FALSE)="Não",TRUE,FALSE))),
-IF(VLOOKUP(tblHorasAbr[Dia],tblDiaUtil[[Abreviatura]:[Total Jornada]],5,FALSE)&lt;&gt;"",VLOOKUP(tblHorasAbr[Dia],tblDiaUtil[[Abreviatura]:[Total Jornada]],5,FALSE),JORNADA),
IF(IF(ISERROR(VLOOKUP(tblHorasAbr[Evento 
(1º Período)],tblEvento[[Evento]:[Libera o Período]],4,FALSE)),FALSE,
IF(VLOOKUP(tblHorasAbr[Evento 
(1º Período)],tblEvento[[Evento]:[Libera o Período]],4,FALSE)="Não",TRUE,FALSE)
),
-IF(VLOOKUP(tblHorasAbr[Dia],tblDiaUtil[[Abreviatura]:[1º Período]],3,FALSE)&lt;&gt;"",VLOOKUP(tblHorasAbr[Dia],tblDiaUtil[[Abreviatura]:[1º Período]],3,FALSE),JORNADA_PERIODO_1),
IF(IF(ISERROR(VLOOKUP(tblHorasAbr[Evento 
(2º Período)],tblEvento[[Evento]:[Libera o Período]],4,FALSE)),FALSE,IF(VLOOKUP(tblHorasAbr[Evento 
(2º Período)],tblEvento[[Evento]:[Libera o Período]],4,FALSE)="Não",TRUE,FALSE)),
-IF(VLOOKUP(tblHorasAbr[Dia],tblDiaUtil[[Abreviatura]:[2º Período]],4,FALSE)&lt;&gt;"",VLOOKUP(tblHorasAbr[Dia],tblDiaUtil[[Abreviatura]:[2º Período]],4,FALSE),JORNADA_PERIODO_2),0))))</f>
        <v>0</v>
      </c>
      <c r="O30" s="14">
        <f>IF(tblHorasAbr[Horas Trabalhadas Além Jornada]&gt;0,
        IF(ISNUMBER(tblHorasAbr[Jornada Diária]),
              IF(HOUR(tblHorasAbr[Horas Trabalhadas Além Jornada])&gt;=VLOOKUP(LIMITE,tblLimiteHora[],Tabelas!$I$1,FALSE),
                    VLOOKUP(LIMITE,tblLimiteHora[],Tabelas!$J$1,FALSE),
                    tblHorasAbr[Horas Trabalhadas Além Jornada]),
              tblHorasAbr[Horas Trabalhadas Além Jornada]),
        tblHorasAbr[Horas Trabalhadas Além Jornada])+O29</f>
        <v>0</v>
      </c>
      <c r="P30" s="14" t="str">
        <f>IF(tblHorasAbr[Horas Trabalhadas Além Jornada]&lt;0,IF(OR(tblHorasAbr[Evento 
(1º Período)]="",tblHorasAbr[Evento 
(2º Período)]=""),tblHorasAbr[Horas Trabalhadas Além Jornada],""),"")</f>
        <v/>
      </c>
      <c r="Q30" s="14" t="str">
        <f>IF(tblHorasAbr[Jornada Diária]&lt;&gt;"",IF((N(tblHorasAbr[Jornada Diária])-ABS(N(tblHorasAbr[Horas Trabalhadas Além Jornada])))=0,1,""),"")</f>
        <v/>
      </c>
      <c r="R30" s="14" t="str">
        <f>IF(tblHorasAbr[Horas Trabalhadas Além Jornada]&gt;0,
IF(AND(VLOOKUP(TEXT(tblHorasAbr[Data],"dddd"),tblDiaUtil[],3,FALSE)="Sim",IF(tblHorasAbr[Evento 
(1º Período)]&lt;&gt;"",IF(VLOOKUP(tblHorasAbr[Evento 
(1º Período)],tblEvento[],Tabelas!$E$1,FALSE)="Sim",FALSE,TRUE),TRUE),IF(tblHorasAbr[Evento 
(2º Período)]&lt;&gt;"",IF(VLOOKUP(tblHorasAbr[Evento 
(2º Período)],tblEvento[],Tabelas!$E$1,FALSE)="Sim",FALSE,TRUE),TRUE)),
tblHorasAbr[Horas Trabalhadas Além Jornada],""),"")</f>
        <v/>
      </c>
      <c r="S30" s="14" t="str">
        <f>IF(tblHorasAbr[Horas Trabalhadas Além Jornada]&gt;0,
IF(OR(VLOOKUP(TEXT(tblHorasAbr[Data],"dddd"),tblDiaUtil[],3,FALSE)="Não",IF(tblHorasAbr[Evento 
(1º Período)]&lt;&gt;"",IF(VLOOKUP(tblHorasAbr[Evento 
(1º Período)],tblEvento[],Tabelas!$E$1,FALSE)="Sim",TRUE,FALSE),FALSE),IF(tblHorasAbr[Evento 
(2º Período)]&lt;&gt;"",IF(VLOOKUP(tblHorasAbr[Evento 
(2º Período)],tblEvento[],Tabelas!$E$1,FALSE)="Sim",TRUE,FALSE),FALSE)),
tblHorasAbr[Horas Trabalhadas Além Jornada],""),"")</f>
        <v/>
      </c>
      <c r="T30" s="15" t="str">
        <f>IF(tblHorasAbr[Evento 
(1º Período)]&lt;&gt;""," - " &amp;VLOOKUP(tblHorasAbr[Evento 
(1º Período)],tblEvento[],Tabelas!$F$1,FALSE),"")&amp;IF(AND(tblHorasAbr[Evento 
(2º Período)]&lt;&gt;"",tblHorasAbr[Evento 
(2º Período)]&lt;&gt;tblHorasAbr[Evento 
(1º Período)])," - " &amp; VLOOKUP(tblHorasAbr[Evento 
(2º Período)],tblEvento[],Tabelas!$F$1,FALSE),"")</f>
        <v/>
      </c>
    </row>
    <row r="31" spans="2:20" x14ac:dyDescent="0.25">
      <c r="B31" s="11" t="str">
        <f t="shared" si="0"/>
        <v/>
      </c>
      <c r="C31" s="12" t="str">
        <f>TEXT(tblHorasAbr[Data],"ddd")</f>
        <v/>
      </c>
      <c r="D31" s="25"/>
      <c r="E31" s="1"/>
      <c r="F31" s="1"/>
      <c r="G31" s="1"/>
      <c r="H31" s="1"/>
      <c r="I31" s="53"/>
      <c r="J31" s="4">
        <f>IF($B$6&lt;&gt;"",
IF(AND(tblHorasAbr[Evento 
(1º Período)]&lt;&gt;"",IF(ISERROR(VLOOKUP(tblHorasAbr[Evento 
(1º Período)],tblEvento[],Tabelas!$D$1,FALSE)),FALSE,VLOOKUP(tblHorasAbr[Evento 
(1º Período)],tblEvento[],Tabelas!$D$1,FALSE)="Sim")),
        IF(JORNADA_PERIODO_1&lt;&gt;"",
IF(VLOOKUP(tblHorasAbr[Dia],tblDiaUtil[[Abreviatura]:[1º Período]],3,FALSE)&gt;0,VLOOKUP(tblHorasAbr[Dia],tblDiaUtil[[Abreviatura]:[1º Período]],3,FALSE),JORNADA_PERIODO_1),
IF(VLOOKUP(tblHorasAbr[Dia],tblDiaUtil[[Abreviatura]:[1º Período]],3,FALSE)&gt;0,VLOOKUP(tblHorasAbr[Dia],tblDiaUtil[[Abreviatura]:[1º Período]],3,FALSE),JORNADA/2)),
        IF(AND(ISNUMBER(tblHorasAbr[Saída - 1 (Almoço)]),ISNUMBER(tblHorasAbr[Entrada - 1])),
              IF(OR(AND(tblHorasAbr[Evento 
(1º Período)]&lt;&gt;"",IF(ISERROR(VLOOKUP(tblHorasAbr[Evento 
(1º Período)],tblEvento[],Tabelas!$E$1,FALSE)),FALSE,VLOOKUP(tblHorasAbr[Evento 
(1º Período)],tblEvento[],Tabelas!$E$1,FALSE)="Sim")),IF(VLOOKUP(TEXT(tblHorasAbr[Data],"dddd"),tblDiaUtil[],2,FALSE)="Não",TRUE,FALSE)),
                   tblHorasAbr[Saída - 1 (Almoço)]-tblHorasAbr[Entrada - 1],
                   IF(OR(HOUR(tblHorasAbr[Saída - 1 (Almoço)]-tblHorasAbr[Entrada - 1])&gt;0,ROUND(tblHorasAbr[Saída - 1 (Almoço)]-tblHorasAbr[Entrada - 1],6)&gt;ROUND(CARENCIA,6)),
                          tblHorasAbr[Saída - 1 (Almoço)]-tblHorasAbr[Entrada - 1],
                          0)),
                    0)),0)</f>
        <v>0</v>
      </c>
      <c r="K31" s="4">
        <f>IF($B$6&lt;&gt;"",
IF(AND(tblHorasAbr[Evento 
(2º Período)]&lt;&gt;"",IF(ISERROR(VLOOKUP(tblHorasAbr[Evento 
(2º Período)],tblEvento[],Tabelas!$D$1,FALSE)),FALSE,VLOOKUP(tblHorasAbr[Evento 
(2º Período)],tblEvento[],Tabelas!$D$1,FALSE)="Sim")),
        IF(JORNADA_PERIODO_2&lt;&gt;"",
IF(VLOOKUP(tblHorasAbr[Dia],tblDiaUtil[[Abreviatura]:[2º Período]],4,FALSE)&gt;0,VLOOKUP(tblHorasAbr[Dia],tblDiaUtil[[Abreviatura]:[2º Período]],4,FALSE),JORNADA_PERIODO_2),
IF(VLOOKUP(tblHorasAbr[Dia],tblDiaUtil[[Abreviatura]:[2º Período]],4,FALSE)&gt;0,VLOOKUP(tblHorasAbr[Dia],tblDiaUtil[[Abreviatura]:[2º Período]],4,FALSE),JORNADA/2)),
        IF(AND(ISNUMBER(tblHorasAbr[Saída - 2]),ISNUMBER(tblHorasAbr[Entrada - 2 (Almoço)])),
              IF(OR(AND(tblHorasAbr[Evento 
(2º Período)]&lt;&gt;"",IF(ISERROR(VLOOKUP(tblHorasAbr[Evento 
(2º Período)],tblEvento[],Tabelas!$E$1,FALSE)),FALSE,VLOOKUP(tblHorasAbr[Evento 
(2º Período)],tblEvento[],Tabelas!$E$1,FALSE)="Sim")),IF(VLOOKUP(TEXT(tblHorasAbr[Data],"dddd"),tblDiaUtil[],2,FALSE)="Não",TRUE,FALSE)),
                   tblHorasAbr[Saída - 2]-tblHorasAbr[Entrada - 2 (Almoço)],
                   IF(OR(HOUR(tblHorasAbr[Saída - 2]-tblHorasAbr[Entrada - 2 (Almoço)])&gt;0,MINUTE(tblHorasAbr[Saída - 2]-tblHorasAbr[Entrada - 2 (Almoço)])&gt;CARENCIA),
                         tblHorasAbr[Saída - 2]-tblHorasAbr[Entrada - 2 (Almoço)],
                         0)),
       0)),0)</f>
        <v>0</v>
      </c>
      <c r="L31" s="4">
        <f>tblHorasAbr[Horas Trabalhadas (1º Período)]+tblHorasAbr[Horas Trabalhadas (2º Período)]</f>
        <v>0</v>
      </c>
      <c r="M31" s="4" t="str">
        <f>IF(tblHorasAbr[Data]&lt;&gt;"",
        IF(
AND(VLOOKUP(TEXT(tblHorasAbr[Data],"dddd"),tblDiaUtil[],3,FALSE)="Sim",IF(tblHorasAbr[Evento 
(1º Período)]&lt;&gt;"",IF(VLOOKUP(tblHorasAbr[Evento 
(1º Período)],tblEvento[],Tabelas!$E$1,FALSE)="Sim",FALSE,TRUE),TRUE),IF(tblHorasAbr[Evento 
(2º Período)]&lt;&gt;"",IF(VLOOKUP(tblHorasAbr[Evento 
(2º Período)],tblEvento[],Tabelas!$E$1,FALSE)="Sim",FALSE,TRUE),TRUE)),
              IF(VLOOKUP(tblHorasAbr[Dia],tblDiaUtil[[Abreviatura]:[1º Período]],3,FALSE)&gt;0,VLOOKUP(tblHorasAbr[Dia],tblDiaUtil[[Abreviatura]:[1º Período]],3,FALSE),JORNADA),
              ""),
         "")</f>
        <v/>
      </c>
      <c r="N31" s="14">
        <f>IF(OR(tblHorasAbr[Horas Trabalhadas (1º Período)]&lt;&gt;0,tblHorasAbr[Horas Trabalhadas (2º Período)]&lt;&gt;0),
        IF(ISNUMBER(tblHorasAbr[Jornada Diária]),
              IF(tblHorasAbr[Jornada Diária]&gt;(tblHorasAbr[Horas Trabalhadas (2º Período)]+tblHorasAbr[Horas Trabalhadas (1º Período)]),
                     IF(ROUND((tblHorasAbr[Jornada Diária]-(tblHorasAbr[Horas Trabalhadas (2º Período)]+tblHorasAbr[Horas Trabalhadas (1º Período)])),6)&gt;ROUND(CARENCIA,6),
                           -tblHorasAbr[Jornada Diária]+(tblHorasAbr[Horas Trabalhadas (2º Período)]+tblHorasAbr[Horas Trabalhadas (1º Período)]),
                           0),
                      IF(ROUND((tblHorasAbr[Jornada Diária]-(tblHorasAbr[Horas Trabalhadas (2º Período)]+tblHorasAbr[Horas Trabalhadas (1º Período)])),6)&lt;ROUND(-CARENCIA,6),
                           -tblHorasAbr[Jornada Diária]+(tblHorasAbr[Horas Trabalhadas (2º Período)]+tblHorasAbr[Horas Trabalhadas (1º Período)]),
                           0)),
              tblHorasAbr[Horas Trabalhadas (2º Período)]+tblHorasAbr[Horas Trabalhadas (1º Período)]),
         IF(AND(IF(ISERROR(VLOOKUP(tblHorasAbr[Evento 
(1º Período)],tblEvento[[Evento]:[Libera o Período]],4,FALSE)),FALSE,IF(VLOOKUP(tblHorasAbr[Evento 
(1º Período)],tblEvento[[Evento]:[Libera o Período]],4,FALSE)="Não",TRUE,FALSE)),IF(ISERROR(VLOOKUP(tblHorasAbr[Evento 
(2º Período)],tblEvento[[Evento]:[Libera o Período]],4,FALSE)),FALSE,IF(VLOOKUP(tblHorasAbr[Evento 
(2º Período)],tblEvento[[Evento]:[Libera o Período]],4,FALSE)="Não",TRUE,FALSE))),
-IF(VLOOKUP(tblHorasAbr[Dia],tblDiaUtil[[Abreviatura]:[Total Jornada]],5,FALSE)&lt;&gt;"",VLOOKUP(tblHorasAbr[Dia],tblDiaUtil[[Abreviatura]:[Total Jornada]],5,FALSE),JORNADA),
IF(IF(ISERROR(VLOOKUP(tblHorasAbr[Evento 
(1º Período)],tblEvento[[Evento]:[Libera o Período]],4,FALSE)),FALSE,
IF(VLOOKUP(tblHorasAbr[Evento 
(1º Período)],tblEvento[[Evento]:[Libera o Período]],4,FALSE)="Não",TRUE,FALSE)
),
-IF(VLOOKUP(tblHorasAbr[Dia],tblDiaUtil[[Abreviatura]:[1º Período]],3,FALSE)&lt;&gt;"",VLOOKUP(tblHorasAbr[Dia],tblDiaUtil[[Abreviatura]:[1º Período]],3,FALSE),JORNADA_PERIODO_1),
IF(IF(ISERROR(VLOOKUP(tblHorasAbr[Evento 
(2º Período)],tblEvento[[Evento]:[Libera o Período]],4,FALSE)),FALSE,IF(VLOOKUP(tblHorasAbr[Evento 
(2º Período)],tblEvento[[Evento]:[Libera o Período]],4,FALSE)="Não",TRUE,FALSE)),
-IF(VLOOKUP(tblHorasAbr[Dia],tblDiaUtil[[Abreviatura]:[2º Período]],4,FALSE)&lt;&gt;"",VLOOKUP(tblHorasAbr[Dia],tblDiaUtil[[Abreviatura]:[2º Período]],4,FALSE),JORNADA_PERIODO_2),0))))</f>
        <v>0</v>
      </c>
      <c r="O31" s="14">
        <f>IF(tblHorasAbr[Horas Trabalhadas Além Jornada]&gt;0,
        IF(ISNUMBER(tblHorasAbr[Jornada Diária]),
              IF(HOUR(tblHorasAbr[Horas Trabalhadas Além Jornada])&gt;=VLOOKUP(LIMITE,tblLimiteHora[],Tabelas!$I$1,FALSE),
                    VLOOKUP(LIMITE,tblLimiteHora[],Tabelas!$J$1,FALSE),
                    tblHorasAbr[Horas Trabalhadas Além Jornada]),
              tblHorasAbr[Horas Trabalhadas Além Jornada]),
        tblHorasAbr[Horas Trabalhadas Além Jornada])+O30</f>
        <v>0</v>
      </c>
      <c r="P31" s="14" t="str">
        <f>IF(tblHorasAbr[Horas Trabalhadas Além Jornada]&lt;0,IF(OR(tblHorasAbr[Evento 
(1º Período)]="",tblHorasAbr[Evento 
(2º Período)]=""),tblHorasAbr[Horas Trabalhadas Além Jornada],""),"")</f>
        <v/>
      </c>
      <c r="Q31" s="14" t="str">
        <f>IF(tblHorasAbr[Jornada Diária]&lt;&gt;"",IF((N(tblHorasAbr[Jornada Diária])-ABS(N(tblHorasAbr[Horas Trabalhadas Além Jornada])))=0,1,""),"")</f>
        <v/>
      </c>
      <c r="R31" s="14" t="str">
        <f>IF(tblHorasAbr[Horas Trabalhadas Além Jornada]&gt;0,
IF(AND(VLOOKUP(TEXT(tblHorasAbr[Data],"dddd"),tblDiaUtil[],3,FALSE)="Sim",IF(tblHorasAbr[Evento 
(1º Período)]&lt;&gt;"",IF(VLOOKUP(tblHorasAbr[Evento 
(1º Período)],tblEvento[],Tabelas!$E$1,FALSE)="Sim",FALSE,TRUE),TRUE),IF(tblHorasAbr[Evento 
(2º Período)]&lt;&gt;"",IF(VLOOKUP(tblHorasAbr[Evento 
(2º Período)],tblEvento[],Tabelas!$E$1,FALSE)="Sim",FALSE,TRUE),TRUE)),
tblHorasAbr[Horas Trabalhadas Além Jornada],""),"")</f>
        <v/>
      </c>
      <c r="S31" s="14" t="str">
        <f>IF(tblHorasAbr[Horas Trabalhadas Além Jornada]&gt;0,
IF(OR(VLOOKUP(TEXT(tblHorasAbr[Data],"dddd"),tblDiaUtil[],3,FALSE)="Não",IF(tblHorasAbr[Evento 
(1º Período)]&lt;&gt;"",IF(VLOOKUP(tblHorasAbr[Evento 
(1º Período)],tblEvento[],Tabelas!$E$1,FALSE)="Sim",TRUE,FALSE),FALSE),IF(tblHorasAbr[Evento 
(2º Período)]&lt;&gt;"",IF(VLOOKUP(tblHorasAbr[Evento 
(2º Período)],tblEvento[],Tabelas!$E$1,FALSE)="Sim",TRUE,FALSE),FALSE)),
tblHorasAbr[Horas Trabalhadas Além Jornada],""),"")</f>
        <v/>
      </c>
      <c r="T31" s="15" t="str">
        <f>IF(tblHorasAbr[Evento 
(1º Período)]&lt;&gt;""," - " &amp;VLOOKUP(tblHorasAbr[Evento 
(1º Período)],tblEvento[],Tabelas!$F$1,FALSE),"")&amp;IF(AND(tblHorasAbr[Evento 
(2º Período)]&lt;&gt;"",tblHorasAbr[Evento 
(2º Período)]&lt;&gt;tblHorasAbr[Evento 
(1º Período)])," - " &amp; VLOOKUP(tblHorasAbr[Evento 
(2º Período)],tblEvento[],Tabelas!$F$1,FALSE),"")</f>
        <v/>
      </c>
    </row>
    <row r="32" spans="2:20" x14ac:dyDescent="0.25">
      <c r="B32" s="11" t="str">
        <f t="shared" si="0"/>
        <v/>
      </c>
      <c r="C32" s="12" t="str">
        <f>TEXT(tblHorasAbr[Data],"ddd")</f>
        <v/>
      </c>
      <c r="D32" s="25"/>
      <c r="E32" s="1"/>
      <c r="F32" s="1"/>
      <c r="G32" s="1"/>
      <c r="H32" s="1"/>
      <c r="I32" s="53"/>
      <c r="J32" s="4">
        <f>IF($B$6&lt;&gt;"",
IF(AND(tblHorasAbr[Evento 
(1º Período)]&lt;&gt;"",IF(ISERROR(VLOOKUP(tblHorasAbr[Evento 
(1º Período)],tblEvento[],Tabelas!$D$1,FALSE)),FALSE,VLOOKUP(tblHorasAbr[Evento 
(1º Período)],tblEvento[],Tabelas!$D$1,FALSE)="Sim")),
        IF(JORNADA_PERIODO_1&lt;&gt;"",
IF(VLOOKUP(tblHorasAbr[Dia],tblDiaUtil[[Abreviatura]:[1º Período]],3,FALSE)&gt;0,VLOOKUP(tblHorasAbr[Dia],tblDiaUtil[[Abreviatura]:[1º Período]],3,FALSE),JORNADA_PERIODO_1),
IF(VLOOKUP(tblHorasAbr[Dia],tblDiaUtil[[Abreviatura]:[1º Período]],3,FALSE)&gt;0,VLOOKUP(tblHorasAbr[Dia],tblDiaUtil[[Abreviatura]:[1º Período]],3,FALSE),JORNADA/2)),
        IF(AND(ISNUMBER(tblHorasAbr[Saída - 1 (Almoço)]),ISNUMBER(tblHorasAbr[Entrada - 1])),
              IF(OR(AND(tblHorasAbr[Evento 
(1º Período)]&lt;&gt;"",IF(ISERROR(VLOOKUP(tblHorasAbr[Evento 
(1º Período)],tblEvento[],Tabelas!$E$1,FALSE)),FALSE,VLOOKUP(tblHorasAbr[Evento 
(1º Período)],tblEvento[],Tabelas!$E$1,FALSE)="Sim")),IF(VLOOKUP(TEXT(tblHorasAbr[Data],"dddd"),tblDiaUtil[],2,FALSE)="Não",TRUE,FALSE)),
                   tblHorasAbr[Saída - 1 (Almoço)]-tblHorasAbr[Entrada - 1],
                   IF(OR(HOUR(tblHorasAbr[Saída - 1 (Almoço)]-tblHorasAbr[Entrada - 1])&gt;0,ROUND(tblHorasAbr[Saída - 1 (Almoço)]-tblHorasAbr[Entrada - 1],6)&gt;ROUND(CARENCIA,6)),
                          tblHorasAbr[Saída - 1 (Almoço)]-tblHorasAbr[Entrada - 1],
                          0)),
                    0)),0)</f>
        <v>0</v>
      </c>
      <c r="K32" s="4">
        <f>IF($B$6&lt;&gt;"",
IF(AND(tblHorasAbr[Evento 
(2º Período)]&lt;&gt;"",IF(ISERROR(VLOOKUP(tblHorasAbr[Evento 
(2º Período)],tblEvento[],Tabelas!$D$1,FALSE)),FALSE,VLOOKUP(tblHorasAbr[Evento 
(2º Período)],tblEvento[],Tabelas!$D$1,FALSE)="Sim")),
        IF(JORNADA_PERIODO_2&lt;&gt;"",
IF(VLOOKUP(tblHorasAbr[Dia],tblDiaUtil[[Abreviatura]:[2º Período]],4,FALSE)&gt;0,VLOOKUP(tblHorasAbr[Dia],tblDiaUtil[[Abreviatura]:[2º Período]],4,FALSE),JORNADA_PERIODO_2),
IF(VLOOKUP(tblHorasAbr[Dia],tblDiaUtil[[Abreviatura]:[2º Período]],4,FALSE)&gt;0,VLOOKUP(tblHorasAbr[Dia],tblDiaUtil[[Abreviatura]:[2º Período]],4,FALSE),JORNADA/2)),
        IF(AND(ISNUMBER(tblHorasAbr[Saída - 2]),ISNUMBER(tblHorasAbr[Entrada - 2 (Almoço)])),
              IF(OR(AND(tblHorasAbr[Evento 
(2º Período)]&lt;&gt;"",IF(ISERROR(VLOOKUP(tblHorasAbr[Evento 
(2º Período)],tblEvento[],Tabelas!$E$1,FALSE)),FALSE,VLOOKUP(tblHorasAbr[Evento 
(2º Período)],tblEvento[],Tabelas!$E$1,FALSE)="Sim")),IF(VLOOKUP(TEXT(tblHorasAbr[Data],"dddd"),tblDiaUtil[],2,FALSE)="Não",TRUE,FALSE)),
                   tblHorasAbr[Saída - 2]-tblHorasAbr[Entrada - 2 (Almoço)],
                   IF(OR(HOUR(tblHorasAbr[Saída - 2]-tblHorasAbr[Entrada - 2 (Almoço)])&gt;0,MINUTE(tblHorasAbr[Saída - 2]-tblHorasAbr[Entrada - 2 (Almoço)])&gt;CARENCIA),
                         tblHorasAbr[Saída - 2]-tblHorasAbr[Entrada - 2 (Almoço)],
                         0)),
       0)),0)</f>
        <v>0</v>
      </c>
      <c r="L32" s="4">
        <f>tblHorasAbr[Horas Trabalhadas (1º Período)]+tblHorasAbr[Horas Trabalhadas (2º Período)]</f>
        <v>0</v>
      </c>
      <c r="M32" s="4" t="str">
        <f>IF(tblHorasAbr[Data]&lt;&gt;"",
        IF(
AND(VLOOKUP(TEXT(tblHorasAbr[Data],"dddd"),tblDiaUtil[],3,FALSE)="Sim",IF(tblHorasAbr[Evento 
(1º Período)]&lt;&gt;"",IF(VLOOKUP(tblHorasAbr[Evento 
(1º Período)],tblEvento[],Tabelas!$E$1,FALSE)="Sim",FALSE,TRUE),TRUE),IF(tblHorasAbr[Evento 
(2º Período)]&lt;&gt;"",IF(VLOOKUP(tblHorasAbr[Evento 
(2º Período)],tblEvento[],Tabelas!$E$1,FALSE)="Sim",FALSE,TRUE),TRUE)),
              IF(VLOOKUP(tblHorasAbr[Dia],tblDiaUtil[[Abreviatura]:[1º Período]],3,FALSE)&gt;0,VLOOKUP(tblHorasAbr[Dia],tblDiaUtil[[Abreviatura]:[1º Período]],3,FALSE),JORNADA),
              ""),
         "")</f>
        <v/>
      </c>
      <c r="N32" s="14">
        <f>IF(OR(tblHorasAbr[Horas Trabalhadas (1º Período)]&lt;&gt;0,tblHorasAbr[Horas Trabalhadas (2º Período)]&lt;&gt;0),
        IF(ISNUMBER(tblHorasAbr[Jornada Diária]),
              IF(tblHorasAbr[Jornada Diária]&gt;(tblHorasAbr[Horas Trabalhadas (2º Período)]+tblHorasAbr[Horas Trabalhadas (1º Período)]),
                     IF(ROUND((tblHorasAbr[Jornada Diária]-(tblHorasAbr[Horas Trabalhadas (2º Período)]+tblHorasAbr[Horas Trabalhadas (1º Período)])),6)&gt;ROUND(CARENCIA,6),
                           -tblHorasAbr[Jornada Diária]+(tblHorasAbr[Horas Trabalhadas (2º Período)]+tblHorasAbr[Horas Trabalhadas (1º Período)]),
                           0),
                      IF(ROUND((tblHorasAbr[Jornada Diária]-(tblHorasAbr[Horas Trabalhadas (2º Período)]+tblHorasAbr[Horas Trabalhadas (1º Período)])),6)&lt;ROUND(-CARENCIA,6),
                           -tblHorasAbr[Jornada Diária]+(tblHorasAbr[Horas Trabalhadas (2º Período)]+tblHorasAbr[Horas Trabalhadas (1º Período)]),
                           0)),
              tblHorasAbr[Horas Trabalhadas (2º Período)]+tblHorasAbr[Horas Trabalhadas (1º Período)]),
         IF(AND(IF(ISERROR(VLOOKUP(tblHorasAbr[Evento 
(1º Período)],tblEvento[[Evento]:[Libera o Período]],4,FALSE)),FALSE,IF(VLOOKUP(tblHorasAbr[Evento 
(1º Período)],tblEvento[[Evento]:[Libera o Período]],4,FALSE)="Não",TRUE,FALSE)),IF(ISERROR(VLOOKUP(tblHorasAbr[Evento 
(2º Período)],tblEvento[[Evento]:[Libera o Período]],4,FALSE)),FALSE,IF(VLOOKUP(tblHorasAbr[Evento 
(2º Período)],tblEvento[[Evento]:[Libera o Período]],4,FALSE)="Não",TRUE,FALSE))),
-IF(VLOOKUP(tblHorasAbr[Dia],tblDiaUtil[[Abreviatura]:[Total Jornada]],5,FALSE)&lt;&gt;"",VLOOKUP(tblHorasAbr[Dia],tblDiaUtil[[Abreviatura]:[Total Jornada]],5,FALSE),JORNADA),
IF(IF(ISERROR(VLOOKUP(tblHorasAbr[Evento 
(1º Período)],tblEvento[[Evento]:[Libera o Período]],4,FALSE)),FALSE,
IF(VLOOKUP(tblHorasAbr[Evento 
(1º Período)],tblEvento[[Evento]:[Libera o Período]],4,FALSE)="Não",TRUE,FALSE)
),
-IF(VLOOKUP(tblHorasAbr[Dia],tblDiaUtil[[Abreviatura]:[1º Período]],3,FALSE)&lt;&gt;"",VLOOKUP(tblHorasAbr[Dia],tblDiaUtil[[Abreviatura]:[1º Período]],3,FALSE),JORNADA_PERIODO_1),
IF(IF(ISERROR(VLOOKUP(tblHorasAbr[Evento 
(2º Período)],tblEvento[[Evento]:[Libera o Período]],4,FALSE)),FALSE,IF(VLOOKUP(tblHorasAbr[Evento 
(2º Período)],tblEvento[[Evento]:[Libera o Período]],4,FALSE)="Não",TRUE,FALSE)),
-IF(VLOOKUP(tblHorasAbr[Dia],tblDiaUtil[[Abreviatura]:[2º Período]],4,FALSE)&lt;&gt;"",VLOOKUP(tblHorasAbr[Dia],tblDiaUtil[[Abreviatura]:[2º Período]],4,FALSE),JORNADA_PERIODO_2),0))))</f>
        <v>0</v>
      </c>
      <c r="O32" s="14">
        <f>IF(tblHorasAbr[Horas Trabalhadas Além Jornada]&gt;0,
        IF(ISNUMBER(tblHorasAbr[Jornada Diária]),
              IF(HOUR(tblHorasAbr[Horas Trabalhadas Além Jornada])&gt;=VLOOKUP(LIMITE,tblLimiteHora[],Tabelas!$I$1,FALSE),
                    VLOOKUP(LIMITE,tblLimiteHora[],Tabelas!$J$1,FALSE),
                    tblHorasAbr[Horas Trabalhadas Além Jornada]),
              tblHorasAbr[Horas Trabalhadas Além Jornada]),
        tblHorasAbr[Horas Trabalhadas Além Jornada])+O31</f>
        <v>0</v>
      </c>
      <c r="P32" s="14" t="str">
        <f>IF(tblHorasAbr[Horas Trabalhadas Além Jornada]&lt;0,IF(OR(tblHorasAbr[Evento 
(1º Período)]="",tblHorasAbr[Evento 
(2º Período)]=""),tblHorasAbr[Horas Trabalhadas Além Jornada],""),"")</f>
        <v/>
      </c>
      <c r="Q32" s="14" t="str">
        <f>IF(tblHorasAbr[Jornada Diária]&lt;&gt;"",IF((N(tblHorasAbr[Jornada Diária])-ABS(N(tblHorasAbr[Horas Trabalhadas Além Jornada])))=0,1,""),"")</f>
        <v/>
      </c>
      <c r="R32" s="14" t="str">
        <f>IF(tblHorasAbr[Horas Trabalhadas Além Jornada]&gt;0,
IF(AND(VLOOKUP(TEXT(tblHorasAbr[Data],"dddd"),tblDiaUtil[],3,FALSE)="Sim",IF(tblHorasAbr[Evento 
(1º Período)]&lt;&gt;"",IF(VLOOKUP(tblHorasAbr[Evento 
(1º Período)],tblEvento[],Tabelas!$E$1,FALSE)="Sim",FALSE,TRUE),TRUE),IF(tblHorasAbr[Evento 
(2º Período)]&lt;&gt;"",IF(VLOOKUP(tblHorasAbr[Evento 
(2º Período)],tblEvento[],Tabelas!$E$1,FALSE)="Sim",FALSE,TRUE),TRUE)),
tblHorasAbr[Horas Trabalhadas Além Jornada],""),"")</f>
        <v/>
      </c>
      <c r="S32" s="14" t="str">
        <f>IF(tblHorasAbr[Horas Trabalhadas Além Jornada]&gt;0,
IF(OR(VLOOKUP(TEXT(tblHorasAbr[Data],"dddd"),tblDiaUtil[],3,FALSE)="Não",IF(tblHorasAbr[Evento 
(1º Período)]&lt;&gt;"",IF(VLOOKUP(tblHorasAbr[Evento 
(1º Período)],tblEvento[],Tabelas!$E$1,FALSE)="Sim",TRUE,FALSE),FALSE),IF(tblHorasAbr[Evento 
(2º Período)]&lt;&gt;"",IF(VLOOKUP(tblHorasAbr[Evento 
(2º Período)],tblEvento[],Tabelas!$E$1,FALSE)="Sim",TRUE,FALSE),FALSE)),
tblHorasAbr[Horas Trabalhadas Além Jornada],""),"")</f>
        <v/>
      </c>
      <c r="T32" s="15" t="str">
        <f>IF(tblHorasAbr[Evento 
(1º Período)]&lt;&gt;""," - " &amp;VLOOKUP(tblHorasAbr[Evento 
(1º Período)],tblEvento[],Tabelas!$F$1,FALSE),"")&amp;IF(AND(tblHorasAbr[Evento 
(2º Período)]&lt;&gt;"",tblHorasAbr[Evento 
(2º Período)]&lt;&gt;tblHorasAbr[Evento 
(1º Período)])," - " &amp; VLOOKUP(tblHorasAbr[Evento 
(2º Período)],tblEvento[],Tabelas!$F$1,FALSE),"")</f>
        <v/>
      </c>
    </row>
    <row r="33" spans="2:21" x14ac:dyDescent="0.25">
      <c r="B33" s="11" t="str">
        <f t="shared" si="0"/>
        <v/>
      </c>
      <c r="C33" s="12" t="str">
        <f>TEXT(tblHorasAbr[Data],"ddd")</f>
        <v/>
      </c>
      <c r="D33" s="25"/>
      <c r="E33" s="1"/>
      <c r="F33" s="1"/>
      <c r="G33" s="1"/>
      <c r="H33" s="1"/>
      <c r="I33" s="53"/>
      <c r="J33" s="4">
        <f>IF($B$6&lt;&gt;"",
IF(AND(tblHorasAbr[Evento 
(1º Período)]&lt;&gt;"",IF(ISERROR(VLOOKUP(tblHorasAbr[Evento 
(1º Período)],tblEvento[],Tabelas!$D$1,FALSE)),FALSE,VLOOKUP(tblHorasAbr[Evento 
(1º Período)],tblEvento[],Tabelas!$D$1,FALSE)="Sim")),
        IF(JORNADA_PERIODO_1&lt;&gt;"",
IF(VLOOKUP(tblHorasAbr[Dia],tblDiaUtil[[Abreviatura]:[1º Período]],3,FALSE)&gt;0,VLOOKUP(tblHorasAbr[Dia],tblDiaUtil[[Abreviatura]:[1º Período]],3,FALSE),JORNADA_PERIODO_1),
IF(VLOOKUP(tblHorasAbr[Dia],tblDiaUtil[[Abreviatura]:[1º Período]],3,FALSE)&gt;0,VLOOKUP(tblHorasAbr[Dia],tblDiaUtil[[Abreviatura]:[1º Período]],3,FALSE),JORNADA/2)),
        IF(AND(ISNUMBER(tblHorasAbr[Saída - 1 (Almoço)]),ISNUMBER(tblHorasAbr[Entrada - 1])),
              IF(OR(AND(tblHorasAbr[Evento 
(1º Período)]&lt;&gt;"",IF(ISERROR(VLOOKUP(tblHorasAbr[Evento 
(1º Período)],tblEvento[],Tabelas!$E$1,FALSE)),FALSE,VLOOKUP(tblHorasAbr[Evento 
(1º Período)],tblEvento[],Tabelas!$E$1,FALSE)="Sim")),IF(VLOOKUP(TEXT(tblHorasAbr[Data],"dddd"),tblDiaUtil[],2,FALSE)="Não",TRUE,FALSE)),
                   tblHorasAbr[Saída - 1 (Almoço)]-tblHorasAbr[Entrada - 1],
                   IF(OR(HOUR(tblHorasAbr[Saída - 1 (Almoço)]-tblHorasAbr[Entrada - 1])&gt;0,ROUND(tblHorasAbr[Saída - 1 (Almoço)]-tblHorasAbr[Entrada - 1],6)&gt;ROUND(CARENCIA,6)),
                          tblHorasAbr[Saída - 1 (Almoço)]-tblHorasAbr[Entrada - 1],
                          0)),
                    0)),0)</f>
        <v>0</v>
      </c>
      <c r="K33" s="4">
        <f>IF($B$6&lt;&gt;"",
IF(AND(tblHorasAbr[Evento 
(2º Período)]&lt;&gt;"",IF(ISERROR(VLOOKUP(tblHorasAbr[Evento 
(2º Período)],tblEvento[],Tabelas!$D$1,FALSE)),FALSE,VLOOKUP(tblHorasAbr[Evento 
(2º Período)],tblEvento[],Tabelas!$D$1,FALSE)="Sim")),
        IF(JORNADA_PERIODO_2&lt;&gt;"",
IF(VLOOKUP(tblHorasAbr[Dia],tblDiaUtil[[Abreviatura]:[2º Período]],4,FALSE)&gt;0,VLOOKUP(tblHorasAbr[Dia],tblDiaUtil[[Abreviatura]:[2º Período]],4,FALSE),JORNADA_PERIODO_2),
IF(VLOOKUP(tblHorasAbr[Dia],tblDiaUtil[[Abreviatura]:[2º Período]],4,FALSE)&gt;0,VLOOKUP(tblHorasAbr[Dia],tblDiaUtil[[Abreviatura]:[2º Período]],4,FALSE),JORNADA/2)),
        IF(AND(ISNUMBER(tblHorasAbr[Saída - 2]),ISNUMBER(tblHorasAbr[Entrada - 2 (Almoço)])),
              IF(OR(AND(tblHorasAbr[Evento 
(2º Período)]&lt;&gt;"",IF(ISERROR(VLOOKUP(tblHorasAbr[Evento 
(2º Período)],tblEvento[],Tabelas!$E$1,FALSE)),FALSE,VLOOKUP(tblHorasAbr[Evento 
(2º Período)],tblEvento[],Tabelas!$E$1,FALSE)="Sim")),IF(VLOOKUP(TEXT(tblHorasAbr[Data],"dddd"),tblDiaUtil[],2,FALSE)="Não",TRUE,FALSE)),
                   tblHorasAbr[Saída - 2]-tblHorasAbr[Entrada - 2 (Almoço)],
                   IF(OR(HOUR(tblHorasAbr[Saída - 2]-tblHorasAbr[Entrada - 2 (Almoço)])&gt;0,MINUTE(tblHorasAbr[Saída - 2]-tblHorasAbr[Entrada - 2 (Almoço)])&gt;CARENCIA),
                         tblHorasAbr[Saída - 2]-tblHorasAbr[Entrada - 2 (Almoço)],
                         0)),
       0)),0)</f>
        <v>0</v>
      </c>
      <c r="L33" s="4">
        <f>tblHorasAbr[Horas Trabalhadas (1º Período)]+tblHorasAbr[Horas Trabalhadas (2º Período)]</f>
        <v>0</v>
      </c>
      <c r="M33" s="4" t="str">
        <f>IF(tblHorasAbr[Data]&lt;&gt;"",
        IF(
AND(VLOOKUP(TEXT(tblHorasAbr[Data],"dddd"),tblDiaUtil[],3,FALSE)="Sim",IF(tblHorasAbr[Evento 
(1º Período)]&lt;&gt;"",IF(VLOOKUP(tblHorasAbr[Evento 
(1º Período)],tblEvento[],Tabelas!$E$1,FALSE)="Sim",FALSE,TRUE),TRUE),IF(tblHorasAbr[Evento 
(2º Período)]&lt;&gt;"",IF(VLOOKUP(tblHorasAbr[Evento 
(2º Período)],tblEvento[],Tabelas!$E$1,FALSE)="Sim",FALSE,TRUE),TRUE)),
              IF(VLOOKUP(tblHorasAbr[Dia],tblDiaUtil[[Abreviatura]:[1º Período]],3,FALSE)&gt;0,VLOOKUP(tblHorasAbr[Dia],tblDiaUtil[[Abreviatura]:[1º Período]],3,FALSE),JORNADA),
              ""),
         "")</f>
        <v/>
      </c>
      <c r="N33" s="14">
        <f>IF(OR(tblHorasAbr[Horas Trabalhadas (1º Período)]&lt;&gt;0,tblHorasAbr[Horas Trabalhadas (2º Período)]&lt;&gt;0),
        IF(ISNUMBER(tblHorasAbr[Jornada Diária]),
              IF(tblHorasAbr[Jornada Diária]&gt;(tblHorasAbr[Horas Trabalhadas (2º Período)]+tblHorasAbr[Horas Trabalhadas (1º Período)]),
                     IF(ROUND((tblHorasAbr[Jornada Diária]-(tblHorasAbr[Horas Trabalhadas (2º Período)]+tblHorasAbr[Horas Trabalhadas (1º Período)])),6)&gt;ROUND(CARENCIA,6),
                           -tblHorasAbr[Jornada Diária]+(tblHorasAbr[Horas Trabalhadas (2º Período)]+tblHorasAbr[Horas Trabalhadas (1º Período)]),
                           0),
                      IF(ROUND((tblHorasAbr[Jornada Diária]-(tblHorasAbr[Horas Trabalhadas (2º Período)]+tblHorasAbr[Horas Trabalhadas (1º Período)])),6)&lt;ROUND(-CARENCIA,6),
                           -tblHorasAbr[Jornada Diária]+(tblHorasAbr[Horas Trabalhadas (2º Período)]+tblHorasAbr[Horas Trabalhadas (1º Período)]),
                           0)),
              tblHorasAbr[Horas Trabalhadas (2º Período)]+tblHorasAbr[Horas Trabalhadas (1º Período)]),
         IF(AND(IF(ISERROR(VLOOKUP(tblHorasAbr[Evento 
(1º Período)],tblEvento[[Evento]:[Libera o Período]],4,FALSE)),FALSE,IF(VLOOKUP(tblHorasAbr[Evento 
(1º Período)],tblEvento[[Evento]:[Libera o Período]],4,FALSE)="Não",TRUE,FALSE)),IF(ISERROR(VLOOKUP(tblHorasAbr[Evento 
(2º Período)],tblEvento[[Evento]:[Libera o Período]],4,FALSE)),FALSE,IF(VLOOKUP(tblHorasAbr[Evento 
(2º Período)],tblEvento[[Evento]:[Libera o Período]],4,FALSE)="Não",TRUE,FALSE))),
-IF(VLOOKUP(tblHorasAbr[Dia],tblDiaUtil[[Abreviatura]:[Total Jornada]],5,FALSE)&lt;&gt;"",VLOOKUP(tblHorasAbr[Dia],tblDiaUtil[[Abreviatura]:[Total Jornada]],5,FALSE),JORNADA),
IF(IF(ISERROR(VLOOKUP(tblHorasAbr[Evento 
(1º Período)],tblEvento[[Evento]:[Libera o Período]],4,FALSE)),FALSE,
IF(VLOOKUP(tblHorasAbr[Evento 
(1º Período)],tblEvento[[Evento]:[Libera o Período]],4,FALSE)="Não",TRUE,FALSE)
),
-IF(VLOOKUP(tblHorasAbr[Dia],tblDiaUtil[[Abreviatura]:[1º Período]],3,FALSE)&lt;&gt;"",VLOOKUP(tblHorasAbr[Dia],tblDiaUtil[[Abreviatura]:[1º Período]],3,FALSE),JORNADA_PERIODO_1),
IF(IF(ISERROR(VLOOKUP(tblHorasAbr[Evento 
(2º Período)],tblEvento[[Evento]:[Libera o Período]],4,FALSE)),FALSE,IF(VLOOKUP(tblHorasAbr[Evento 
(2º Período)],tblEvento[[Evento]:[Libera o Período]],4,FALSE)="Não",TRUE,FALSE)),
-IF(VLOOKUP(tblHorasAbr[Dia],tblDiaUtil[[Abreviatura]:[2º Período]],4,FALSE)&lt;&gt;"",VLOOKUP(tblHorasAbr[Dia],tblDiaUtil[[Abreviatura]:[2º Período]],4,FALSE),JORNADA_PERIODO_2),0))))</f>
        <v>0</v>
      </c>
      <c r="O33" s="14">
        <f>IF(tblHorasAbr[Horas Trabalhadas Além Jornada]&gt;0,
        IF(ISNUMBER(tblHorasAbr[Jornada Diária]),
              IF(HOUR(tblHorasAbr[Horas Trabalhadas Além Jornada])&gt;=VLOOKUP(LIMITE,tblLimiteHora[],Tabelas!$I$1,FALSE),
                    VLOOKUP(LIMITE,tblLimiteHora[],Tabelas!$J$1,FALSE),
                    tblHorasAbr[Horas Trabalhadas Além Jornada]),
              tblHorasAbr[Horas Trabalhadas Além Jornada]),
        tblHorasAbr[Horas Trabalhadas Além Jornada])+O32</f>
        <v>0</v>
      </c>
      <c r="P33" s="14" t="str">
        <f>IF(tblHorasAbr[Horas Trabalhadas Além Jornada]&lt;0,IF(OR(tblHorasAbr[Evento 
(1º Período)]="",tblHorasAbr[Evento 
(2º Período)]=""),tblHorasAbr[Horas Trabalhadas Além Jornada],""),"")</f>
        <v/>
      </c>
      <c r="Q33" s="14" t="str">
        <f>IF(tblHorasAbr[Jornada Diária]&lt;&gt;"",IF((N(tblHorasAbr[Jornada Diária])-ABS(N(tblHorasAbr[Horas Trabalhadas Além Jornada])))=0,1,""),"")</f>
        <v/>
      </c>
      <c r="R33" s="14" t="str">
        <f>IF(tblHorasAbr[Horas Trabalhadas Além Jornada]&gt;0,
IF(AND(VLOOKUP(TEXT(tblHorasAbr[Data],"dddd"),tblDiaUtil[],3,FALSE)="Sim",IF(tblHorasAbr[Evento 
(1º Período)]&lt;&gt;"",IF(VLOOKUP(tblHorasAbr[Evento 
(1º Período)],tblEvento[],Tabelas!$E$1,FALSE)="Sim",FALSE,TRUE),TRUE),IF(tblHorasAbr[Evento 
(2º Período)]&lt;&gt;"",IF(VLOOKUP(tblHorasAbr[Evento 
(2º Período)],tblEvento[],Tabelas!$E$1,FALSE)="Sim",FALSE,TRUE),TRUE)),
tblHorasAbr[Horas Trabalhadas Além Jornada],""),"")</f>
        <v/>
      </c>
      <c r="S33" s="14" t="str">
        <f>IF(tblHorasAbr[Horas Trabalhadas Além Jornada]&gt;0,
IF(OR(VLOOKUP(TEXT(tblHorasAbr[Data],"dddd"),tblDiaUtil[],3,FALSE)="Não",IF(tblHorasAbr[Evento 
(1º Período)]&lt;&gt;"",IF(VLOOKUP(tblHorasAbr[Evento 
(1º Período)],tblEvento[],Tabelas!$E$1,FALSE)="Sim",TRUE,FALSE),FALSE),IF(tblHorasAbr[Evento 
(2º Período)]&lt;&gt;"",IF(VLOOKUP(tblHorasAbr[Evento 
(2º Período)],tblEvento[],Tabelas!$E$1,FALSE)="Sim",TRUE,FALSE),FALSE)),
tblHorasAbr[Horas Trabalhadas Além Jornada],""),"")</f>
        <v/>
      </c>
      <c r="T33" s="15" t="str">
        <f>IF(tblHorasAbr[Evento 
(1º Período)]&lt;&gt;""," - " &amp;VLOOKUP(tblHorasAbr[Evento 
(1º Período)],tblEvento[],Tabelas!$F$1,FALSE),"")&amp;IF(AND(tblHorasAbr[Evento 
(2º Período)]&lt;&gt;"",tblHorasAbr[Evento 
(2º Período)]&lt;&gt;tblHorasAbr[Evento 
(1º Período)])," - " &amp; VLOOKUP(tblHorasAbr[Evento 
(2º Período)],tblEvento[],Tabelas!$F$1,FALSE),"")</f>
        <v/>
      </c>
    </row>
    <row r="34" spans="2:21" x14ac:dyDescent="0.25">
      <c r="B34" s="11" t="str">
        <f t="shared" si="0"/>
        <v/>
      </c>
      <c r="C34" s="12" t="str">
        <f>TEXT(tblHorasAbr[Data],"ddd")</f>
        <v/>
      </c>
      <c r="D34" s="25"/>
      <c r="E34" s="1"/>
      <c r="F34" s="1"/>
      <c r="G34" s="1"/>
      <c r="H34" s="1"/>
      <c r="I34" s="53"/>
      <c r="J34" s="4">
        <f>IF($B$6&lt;&gt;"",
IF(AND(tblHorasAbr[Evento 
(1º Período)]&lt;&gt;"",IF(ISERROR(VLOOKUP(tblHorasAbr[Evento 
(1º Período)],tblEvento[],Tabelas!$D$1,FALSE)),FALSE,VLOOKUP(tblHorasAbr[Evento 
(1º Período)],tblEvento[],Tabelas!$D$1,FALSE)="Sim")),
        IF(JORNADA_PERIODO_1&lt;&gt;"",
IF(VLOOKUP(tblHorasAbr[Dia],tblDiaUtil[[Abreviatura]:[1º Período]],3,FALSE)&gt;0,VLOOKUP(tblHorasAbr[Dia],tblDiaUtil[[Abreviatura]:[1º Período]],3,FALSE),JORNADA_PERIODO_1),
IF(VLOOKUP(tblHorasAbr[Dia],tblDiaUtil[[Abreviatura]:[1º Período]],3,FALSE)&gt;0,VLOOKUP(tblHorasAbr[Dia],tblDiaUtil[[Abreviatura]:[1º Período]],3,FALSE),JORNADA/2)),
        IF(AND(ISNUMBER(tblHorasAbr[Saída - 1 (Almoço)]),ISNUMBER(tblHorasAbr[Entrada - 1])),
              IF(OR(AND(tblHorasAbr[Evento 
(1º Período)]&lt;&gt;"",IF(ISERROR(VLOOKUP(tblHorasAbr[Evento 
(1º Período)],tblEvento[],Tabelas!$E$1,FALSE)),FALSE,VLOOKUP(tblHorasAbr[Evento 
(1º Período)],tblEvento[],Tabelas!$E$1,FALSE)="Sim")),IF(VLOOKUP(TEXT(tblHorasAbr[Data],"dddd"),tblDiaUtil[],2,FALSE)="Não",TRUE,FALSE)),
                   tblHorasAbr[Saída - 1 (Almoço)]-tblHorasAbr[Entrada - 1],
                   IF(OR(HOUR(tblHorasAbr[Saída - 1 (Almoço)]-tblHorasAbr[Entrada - 1])&gt;0,ROUND(tblHorasAbr[Saída - 1 (Almoço)]-tblHorasAbr[Entrada - 1],6)&gt;ROUND(CARENCIA,6)),
                          tblHorasAbr[Saída - 1 (Almoço)]-tblHorasAbr[Entrada - 1],
                          0)),
                    0)),0)</f>
        <v>0</v>
      </c>
      <c r="K34" s="4">
        <f>IF($B$6&lt;&gt;"",
IF(AND(tblHorasAbr[Evento 
(2º Período)]&lt;&gt;"",IF(ISERROR(VLOOKUP(tblHorasAbr[Evento 
(2º Período)],tblEvento[],Tabelas!$D$1,FALSE)),FALSE,VLOOKUP(tblHorasAbr[Evento 
(2º Período)],tblEvento[],Tabelas!$D$1,FALSE)="Sim")),
        IF(JORNADA_PERIODO_2&lt;&gt;"",
IF(VLOOKUP(tblHorasAbr[Dia],tblDiaUtil[[Abreviatura]:[2º Período]],4,FALSE)&gt;0,VLOOKUP(tblHorasAbr[Dia],tblDiaUtil[[Abreviatura]:[2º Período]],4,FALSE),JORNADA_PERIODO_2),
IF(VLOOKUP(tblHorasAbr[Dia],tblDiaUtil[[Abreviatura]:[2º Período]],4,FALSE)&gt;0,VLOOKUP(tblHorasAbr[Dia],tblDiaUtil[[Abreviatura]:[2º Período]],4,FALSE),JORNADA/2)),
        IF(AND(ISNUMBER(tblHorasAbr[Saída - 2]),ISNUMBER(tblHorasAbr[Entrada - 2 (Almoço)])),
              IF(OR(AND(tblHorasAbr[Evento 
(2º Período)]&lt;&gt;"",IF(ISERROR(VLOOKUP(tblHorasAbr[Evento 
(2º Período)],tblEvento[],Tabelas!$E$1,FALSE)),FALSE,VLOOKUP(tblHorasAbr[Evento 
(2º Período)],tblEvento[],Tabelas!$E$1,FALSE)="Sim")),IF(VLOOKUP(TEXT(tblHorasAbr[Data],"dddd"),tblDiaUtil[],2,FALSE)="Não",TRUE,FALSE)),
                   tblHorasAbr[Saída - 2]-tblHorasAbr[Entrada - 2 (Almoço)],
                   IF(OR(HOUR(tblHorasAbr[Saída - 2]-tblHorasAbr[Entrada - 2 (Almoço)])&gt;0,MINUTE(tblHorasAbr[Saída - 2]-tblHorasAbr[Entrada - 2 (Almoço)])&gt;CARENCIA),
                         tblHorasAbr[Saída - 2]-tblHorasAbr[Entrada - 2 (Almoço)],
                         0)),
       0)),0)</f>
        <v>0</v>
      </c>
      <c r="L34" s="4">
        <f>tblHorasAbr[Horas Trabalhadas (1º Período)]+tblHorasAbr[Horas Trabalhadas (2º Período)]</f>
        <v>0</v>
      </c>
      <c r="M34" s="4" t="str">
        <f>IF(tblHorasAbr[Data]&lt;&gt;"",
        IF(
AND(VLOOKUP(TEXT(tblHorasAbr[Data],"dddd"),tblDiaUtil[],3,FALSE)="Sim",IF(tblHorasAbr[Evento 
(1º Período)]&lt;&gt;"",IF(VLOOKUP(tblHorasAbr[Evento 
(1º Período)],tblEvento[],Tabelas!$E$1,FALSE)="Sim",FALSE,TRUE),TRUE),IF(tblHorasAbr[Evento 
(2º Período)]&lt;&gt;"",IF(VLOOKUP(tblHorasAbr[Evento 
(2º Período)],tblEvento[],Tabelas!$E$1,FALSE)="Sim",FALSE,TRUE),TRUE)),
              IF(VLOOKUP(tblHorasAbr[Dia],tblDiaUtil[[Abreviatura]:[1º Período]],3,FALSE)&gt;0,VLOOKUP(tblHorasAbr[Dia],tblDiaUtil[[Abreviatura]:[1º Período]],3,FALSE),JORNADA),
              ""),
         "")</f>
        <v/>
      </c>
      <c r="N34" s="14">
        <f>IF(OR(tblHorasAbr[Horas Trabalhadas (1º Período)]&lt;&gt;0,tblHorasAbr[Horas Trabalhadas (2º Período)]&lt;&gt;0),
        IF(ISNUMBER(tblHorasAbr[Jornada Diária]),
              IF(tblHorasAbr[Jornada Diária]&gt;(tblHorasAbr[Horas Trabalhadas (2º Período)]+tblHorasAbr[Horas Trabalhadas (1º Período)]),
                     IF(ROUND((tblHorasAbr[Jornada Diária]-(tblHorasAbr[Horas Trabalhadas (2º Período)]+tblHorasAbr[Horas Trabalhadas (1º Período)])),6)&gt;ROUND(CARENCIA,6),
                           -tblHorasAbr[Jornada Diária]+(tblHorasAbr[Horas Trabalhadas (2º Período)]+tblHorasAbr[Horas Trabalhadas (1º Período)]),
                           0),
                      IF(ROUND((tblHorasAbr[Jornada Diária]-(tblHorasAbr[Horas Trabalhadas (2º Período)]+tblHorasAbr[Horas Trabalhadas (1º Período)])),6)&lt;ROUND(-CARENCIA,6),
                           -tblHorasAbr[Jornada Diária]+(tblHorasAbr[Horas Trabalhadas (2º Período)]+tblHorasAbr[Horas Trabalhadas (1º Período)]),
                           0)),
              tblHorasAbr[Horas Trabalhadas (2º Período)]+tblHorasAbr[Horas Trabalhadas (1º Período)]),
         IF(AND(IF(ISERROR(VLOOKUP(tblHorasAbr[Evento 
(1º Período)],tblEvento[[Evento]:[Libera o Período]],4,FALSE)),FALSE,IF(VLOOKUP(tblHorasAbr[Evento 
(1º Período)],tblEvento[[Evento]:[Libera o Período]],4,FALSE)="Não",TRUE,FALSE)),IF(ISERROR(VLOOKUP(tblHorasAbr[Evento 
(2º Período)],tblEvento[[Evento]:[Libera o Período]],4,FALSE)),FALSE,IF(VLOOKUP(tblHorasAbr[Evento 
(2º Período)],tblEvento[[Evento]:[Libera o Período]],4,FALSE)="Não",TRUE,FALSE))),
-IF(VLOOKUP(tblHorasAbr[Dia],tblDiaUtil[[Abreviatura]:[Total Jornada]],5,FALSE)&lt;&gt;"",VLOOKUP(tblHorasAbr[Dia],tblDiaUtil[[Abreviatura]:[Total Jornada]],5,FALSE),JORNADA),
IF(IF(ISERROR(VLOOKUP(tblHorasAbr[Evento 
(1º Período)],tblEvento[[Evento]:[Libera o Período]],4,FALSE)),FALSE,
IF(VLOOKUP(tblHorasAbr[Evento 
(1º Período)],tblEvento[[Evento]:[Libera o Período]],4,FALSE)="Não",TRUE,FALSE)
),
-IF(VLOOKUP(tblHorasAbr[Dia],tblDiaUtil[[Abreviatura]:[1º Período]],3,FALSE)&lt;&gt;"",VLOOKUP(tblHorasAbr[Dia],tblDiaUtil[[Abreviatura]:[1º Período]],3,FALSE),JORNADA_PERIODO_1),
IF(IF(ISERROR(VLOOKUP(tblHorasAbr[Evento 
(2º Período)],tblEvento[[Evento]:[Libera o Período]],4,FALSE)),FALSE,IF(VLOOKUP(tblHorasAbr[Evento 
(2º Período)],tblEvento[[Evento]:[Libera o Período]],4,FALSE)="Não",TRUE,FALSE)),
-IF(VLOOKUP(tblHorasAbr[Dia],tblDiaUtil[[Abreviatura]:[2º Período]],4,FALSE)&lt;&gt;"",VLOOKUP(tblHorasAbr[Dia],tblDiaUtil[[Abreviatura]:[2º Período]],4,FALSE),JORNADA_PERIODO_2),0))))</f>
        <v>0</v>
      </c>
      <c r="O34" s="14">
        <f>IF(tblHorasAbr[Horas Trabalhadas Além Jornada]&gt;0,
        IF(ISNUMBER(tblHorasAbr[Jornada Diária]),
              IF(HOUR(tblHorasAbr[Horas Trabalhadas Além Jornada])&gt;=VLOOKUP(LIMITE,tblLimiteHora[],Tabelas!$I$1,FALSE),
                    VLOOKUP(LIMITE,tblLimiteHora[],Tabelas!$J$1,FALSE),
                    tblHorasAbr[Horas Trabalhadas Além Jornada]),
              tblHorasAbr[Horas Trabalhadas Além Jornada]),
        tblHorasAbr[Horas Trabalhadas Além Jornada])+O33</f>
        <v>0</v>
      </c>
      <c r="P34" s="14" t="str">
        <f>IF(tblHorasAbr[Horas Trabalhadas Além Jornada]&lt;0,IF(OR(tblHorasAbr[Evento 
(1º Período)]="",tblHorasAbr[Evento 
(2º Período)]=""),tblHorasAbr[Horas Trabalhadas Além Jornada],""),"")</f>
        <v/>
      </c>
      <c r="Q34" s="14" t="str">
        <f>IF(tblHorasAbr[Jornada Diária]&lt;&gt;"",IF((N(tblHorasAbr[Jornada Diária])-ABS(N(tblHorasAbr[Horas Trabalhadas Além Jornada])))=0,1,""),"")</f>
        <v/>
      </c>
      <c r="R34" s="14" t="str">
        <f>IF(tblHorasAbr[Horas Trabalhadas Além Jornada]&gt;0,
IF(AND(VLOOKUP(TEXT(tblHorasAbr[Data],"dddd"),tblDiaUtil[],3,FALSE)="Sim",IF(tblHorasAbr[Evento 
(1º Período)]&lt;&gt;"",IF(VLOOKUP(tblHorasAbr[Evento 
(1º Período)],tblEvento[],Tabelas!$E$1,FALSE)="Sim",FALSE,TRUE),TRUE),IF(tblHorasAbr[Evento 
(2º Período)]&lt;&gt;"",IF(VLOOKUP(tblHorasAbr[Evento 
(2º Período)],tblEvento[],Tabelas!$E$1,FALSE)="Sim",FALSE,TRUE),TRUE)),
tblHorasAbr[Horas Trabalhadas Além Jornada],""),"")</f>
        <v/>
      </c>
      <c r="S34" s="14" t="str">
        <f>IF(tblHorasAbr[Horas Trabalhadas Além Jornada]&gt;0,
IF(OR(VLOOKUP(TEXT(tblHorasAbr[Data],"dddd"),tblDiaUtil[],3,FALSE)="Não",IF(tblHorasAbr[Evento 
(1º Período)]&lt;&gt;"",IF(VLOOKUP(tblHorasAbr[Evento 
(1º Período)],tblEvento[],Tabelas!$E$1,FALSE)="Sim",TRUE,FALSE),FALSE),IF(tblHorasAbr[Evento 
(2º Período)]&lt;&gt;"",IF(VLOOKUP(tblHorasAbr[Evento 
(2º Período)],tblEvento[],Tabelas!$E$1,FALSE)="Sim",TRUE,FALSE),FALSE)),
tblHorasAbr[Horas Trabalhadas Além Jornada],""),"")</f>
        <v/>
      </c>
      <c r="T34" s="15" t="str">
        <f>IF(tblHorasAbr[Evento 
(1º Período)]&lt;&gt;""," - " &amp;VLOOKUP(tblHorasAbr[Evento 
(1º Período)],tblEvento[],Tabelas!$F$1,FALSE),"")&amp;IF(AND(tblHorasAbr[Evento 
(2º Período)]&lt;&gt;"",tblHorasAbr[Evento 
(2º Período)]&lt;&gt;tblHorasAbr[Evento 
(1º Período)])," - " &amp; VLOOKUP(tblHorasAbr[Evento 
(2º Período)],tblEvento[],Tabelas!$F$1,FALSE),"")</f>
        <v/>
      </c>
    </row>
    <row r="35" spans="2:21" x14ac:dyDescent="0.25">
      <c r="B35" s="11" t="str">
        <f t="shared" si="0"/>
        <v/>
      </c>
      <c r="C35" s="12" t="str">
        <f>TEXT(tblHorasAbr[Data],"ddd")</f>
        <v/>
      </c>
      <c r="D35" s="25"/>
      <c r="E35" s="1"/>
      <c r="F35" s="1"/>
      <c r="G35" s="1"/>
      <c r="H35" s="1"/>
      <c r="I35" s="53"/>
      <c r="J35" s="4">
        <f>IF($B$6&lt;&gt;"",
IF(AND(tblHorasAbr[Evento 
(1º Período)]&lt;&gt;"",IF(ISERROR(VLOOKUP(tblHorasAbr[Evento 
(1º Período)],tblEvento[],Tabelas!$D$1,FALSE)),FALSE,VLOOKUP(tblHorasAbr[Evento 
(1º Período)],tblEvento[],Tabelas!$D$1,FALSE)="Sim")),
        IF(JORNADA_PERIODO_1&lt;&gt;"",
IF(VLOOKUP(tblHorasAbr[Dia],tblDiaUtil[[Abreviatura]:[1º Período]],3,FALSE)&gt;0,VLOOKUP(tblHorasAbr[Dia],tblDiaUtil[[Abreviatura]:[1º Período]],3,FALSE),JORNADA_PERIODO_1),
IF(VLOOKUP(tblHorasAbr[Dia],tblDiaUtil[[Abreviatura]:[1º Período]],3,FALSE)&gt;0,VLOOKUP(tblHorasAbr[Dia],tblDiaUtil[[Abreviatura]:[1º Período]],3,FALSE),JORNADA/2)),
        IF(AND(ISNUMBER(tblHorasAbr[Saída - 1 (Almoço)]),ISNUMBER(tblHorasAbr[Entrada - 1])),
              IF(OR(AND(tblHorasAbr[Evento 
(1º Período)]&lt;&gt;"",IF(ISERROR(VLOOKUP(tblHorasAbr[Evento 
(1º Período)],tblEvento[],Tabelas!$E$1,FALSE)),FALSE,VLOOKUP(tblHorasAbr[Evento 
(1º Período)],tblEvento[],Tabelas!$E$1,FALSE)="Sim")),IF(VLOOKUP(TEXT(tblHorasAbr[Data],"dddd"),tblDiaUtil[],2,FALSE)="Não",TRUE,FALSE)),
                   tblHorasAbr[Saída - 1 (Almoço)]-tblHorasAbr[Entrada - 1],
                   IF(OR(HOUR(tblHorasAbr[Saída - 1 (Almoço)]-tblHorasAbr[Entrada - 1])&gt;0,ROUND(tblHorasAbr[Saída - 1 (Almoço)]-tblHorasAbr[Entrada - 1],6)&gt;ROUND(CARENCIA,6)),
                          tblHorasAbr[Saída - 1 (Almoço)]-tblHorasAbr[Entrada - 1],
                          0)),
                    0)),0)</f>
        <v>0</v>
      </c>
      <c r="K35" s="4">
        <f>IF($B$6&lt;&gt;"",
IF(AND(tblHorasAbr[Evento 
(2º Período)]&lt;&gt;"",IF(ISERROR(VLOOKUP(tblHorasAbr[Evento 
(2º Período)],tblEvento[],Tabelas!$D$1,FALSE)),FALSE,VLOOKUP(tblHorasAbr[Evento 
(2º Período)],tblEvento[],Tabelas!$D$1,FALSE)="Sim")),
        IF(JORNADA_PERIODO_2&lt;&gt;"",
IF(VLOOKUP(tblHorasAbr[Dia],tblDiaUtil[[Abreviatura]:[2º Período]],4,FALSE)&gt;0,VLOOKUP(tblHorasAbr[Dia],tblDiaUtil[[Abreviatura]:[2º Período]],4,FALSE),JORNADA_PERIODO_2),
IF(VLOOKUP(tblHorasAbr[Dia],tblDiaUtil[[Abreviatura]:[2º Período]],4,FALSE)&gt;0,VLOOKUP(tblHorasAbr[Dia],tblDiaUtil[[Abreviatura]:[2º Período]],4,FALSE),JORNADA/2)),
        IF(AND(ISNUMBER(tblHorasAbr[Saída - 2]),ISNUMBER(tblHorasAbr[Entrada - 2 (Almoço)])),
              IF(OR(AND(tblHorasAbr[Evento 
(2º Período)]&lt;&gt;"",IF(ISERROR(VLOOKUP(tblHorasAbr[Evento 
(2º Período)],tblEvento[],Tabelas!$E$1,FALSE)),FALSE,VLOOKUP(tblHorasAbr[Evento 
(2º Período)],tblEvento[],Tabelas!$E$1,FALSE)="Sim")),IF(VLOOKUP(TEXT(tblHorasAbr[Data],"dddd"),tblDiaUtil[],2,FALSE)="Não",TRUE,FALSE)),
                   tblHorasAbr[Saída - 2]-tblHorasAbr[Entrada - 2 (Almoço)],
                   IF(OR(HOUR(tblHorasAbr[Saída - 2]-tblHorasAbr[Entrada - 2 (Almoço)])&gt;0,MINUTE(tblHorasAbr[Saída - 2]-tblHorasAbr[Entrada - 2 (Almoço)])&gt;CARENCIA),
                         tblHorasAbr[Saída - 2]-tblHorasAbr[Entrada - 2 (Almoço)],
                         0)),
       0)),0)</f>
        <v>0</v>
      </c>
      <c r="L35" s="4">
        <f>tblHorasAbr[Horas Trabalhadas (1º Período)]+tblHorasAbr[Horas Trabalhadas (2º Período)]</f>
        <v>0</v>
      </c>
      <c r="M35" s="4" t="str">
        <f>IF(tblHorasAbr[Data]&lt;&gt;"",
        IF(
AND(VLOOKUP(TEXT(tblHorasAbr[Data],"dddd"),tblDiaUtil[],3,FALSE)="Sim",IF(tblHorasAbr[Evento 
(1º Período)]&lt;&gt;"",IF(VLOOKUP(tblHorasAbr[Evento 
(1º Período)],tblEvento[],Tabelas!$E$1,FALSE)="Sim",FALSE,TRUE),TRUE),IF(tblHorasAbr[Evento 
(2º Período)]&lt;&gt;"",IF(VLOOKUP(tblHorasAbr[Evento 
(2º Período)],tblEvento[],Tabelas!$E$1,FALSE)="Sim",FALSE,TRUE),TRUE)),
              IF(VLOOKUP(tblHorasAbr[Dia],tblDiaUtil[[Abreviatura]:[1º Período]],3,FALSE)&gt;0,VLOOKUP(tblHorasAbr[Dia],tblDiaUtil[[Abreviatura]:[1º Período]],3,FALSE),JORNADA),
              ""),
         "")</f>
        <v/>
      </c>
      <c r="N35" s="14">
        <f>IF(OR(tblHorasAbr[Horas Trabalhadas (1º Período)]&lt;&gt;0,tblHorasAbr[Horas Trabalhadas (2º Período)]&lt;&gt;0),
        IF(ISNUMBER(tblHorasAbr[Jornada Diária]),
              IF(tblHorasAbr[Jornada Diária]&gt;(tblHorasAbr[Horas Trabalhadas (2º Período)]+tblHorasAbr[Horas Trabalhadas (1º Período)]),
                     IF(ROUND((tblHorasAbr[Jornada Diária]-(tblHorasAbr[Horas Trabalhadas (2º Período)]+tblHorasAbr[Horas Trabalhadas (1º Período)])),6)&gt;ROUND(CARENCIA,6),
                           -tblHorasAbr[Jornada Diária]+(tblHorasAbr[Horas Trabalhadas (2º Período)]+tblHorasAbr[Horas Trabalhadas (1º Período)]),
                           0),
                      IF(ROUND((tblHorasAbr[Jornada Diária]-(tblHorasAbr[Horas Trabalhadas (2º Período)]+tblHorasAbr[Horas Trabalhadas (1º Período)])),6)&lt;ROUND(-CARENCIA,6),
                           -tblHorasAbr[Jornada Diária]+(tblHorasAbr[Horas Trabalhadas (2º Período)]+tblHorasAbr[Horas Trabalhadas (1º Período)]),
                           0)),
              tblHorasAbr[Horas Trabalhadas (2º Período)]+tblHorasAbr[Horas Trabalhadas (1º Período)]),
         IF(AND(IF(ISERROR(VLOOKUP(tblHorasAbr[Evento 
(1º Período)],tblEvento[[Evento]:[Libera o Período]],4,FALSE)),FALSE,IF(VLOOKUP(tblHorasAbr[Evento 
(1º Período)],tblEvento[[Evento]:[Libera o Período]],4,FALSE)="Não",TRUE,FALSE)),IF(ISERROR(VLOOKUP(tblHorasAbr[Evento 
(2º Período)],tblEvento[[Evento]:[Libera o Período]],4,FALSE)),FALSE,IF(VLOOKUP(tblHorasAbr[Evento 
(2º Período)],tblEvento[[Evento]:[Libera o Período]],4,FALSE)="Não",TRUE,FALSE))),
-IF(VLOOKUP(tblHorasAbr[Dia],tblDiaUtil[[Abreviatura]:[Total Jornada]],5,FALSE)&lt;&gt;"",VLOOKUP(tblHorasAbr[Dia],tblDiaUtil[[Abreviatura]:[Total Jornada]],5,FALSE),JORNADA),
IF(IF(ISERROR(VLOOKUP(tblHorasAbr[Evento 
(1º Período)],tblEvento[[Evento]:[Libera o Período]],4,FALSE)),FALSE,
IF(VLOOKUP(tblHorasAbr[Evento 
(1º Período)],tblEvento[[Evento]:[Libera o Período]],4,FALSE)="Não",TRUE,FALSE)
),
-IF(VLOOKUP(tblHorasAbr[Dia],tblDiaUtil[[Abreviatura]:[1º Período]],3,FALSE)&lt;&gt;"",VLOOKUP(tblHorasAbr[Dia],tblDiaUtil[[Abreviatura]:[1º Período]],3,FALSE),JORNADA_PERIODO_1),
IF(IF(ISERROR(VLOOKUP(tblHorasAbr[Evento 
(2º Período)],tblEvento[[Evento]:[Libera o Período]],4,FALSE)),FALSE,IF(VLOOKUP(tblHorasAbr[Evento 
(2º Período)],tblEvento[[Evento]:[Libera o Período]],4,FALSE)="Não",TRUE,FALSE)),
-IF(VLOOKUP(tblHorasAbr[Dia],tblDiaUtil[[Abreviatura]:[2º Período]],4,FALSE)&lt;&gt;"",VLOOKUP(tblHorasAbr[Dia],tblDiaUtil[[Abreviatura]:[2º Período]],4,FALSE),JORNADA_PERIODO_2),0))))</f>
        <v>0</v>
      </c>
      <c r="O35" s="14">
        <f>IF(tblHorasAbr[Horas Trabalhadas Além Jornada]&gt;0,
        IF(ISNUMBER(tblHorasAbr[Jornada Diária]),
              IF(HOUR(tblHorasAbr[Horas Trabalhadas Além Jornada])&gt;=VLOOKUP(LIMITE,tblLimiteHora[],Tabelas!$I$1,FALSE),
                    VLOOKUP(LIMITE,tblLimiteHora[],Tabelas!$J$1,FALSE),
                    tblHorasAbr[Horas Trabalhadas Além Jornada]),
              tblHorasAbr[Horas Trabalhadas Além Jornada]),
        tblHorasAbr[Horas Trabalhadas Além Jornada])+O34</f>
        <v>0</v>
      </c>
      <c r="P35" s="14" t="str">
        <f>IF(tblHorasAbr[Horas Trabalhadas Além Jornada]&lt;0,IF(OR(tblHorasAbr[Evento 
(1º Período)]="",tblHorasAbr[Evento 
(2º Período)]=""),tblHorasAbr[Horas Trabalhadas Além Jornada],""),"")</f>
        <v/>
      </c>
      <c r="Q35" s="14" t="str">
        <f>IF(tblHorasAbr[Jornada Diária]&lt;&gt;"",IF((N(tblHorasAbr[Jornada Diária])-ABS(N(tblHorasAbr[Horas Trabalhadas Além Jornada])))=0,1,""),"")</f>
        <v/>
      </c>
      <c r="R35" s="14" t="str">
        <f>IF(tblHorasAbr[Horas Trabalhadas Além Jornada]&gt;0,
IF(AND(VLOOKUP(TEXT(tblHorasAbr[Data],"dddd"),tblDiaUtil[],3,FALSE)="Sim",IF(tblHorasAbr[Evento 
(1º Período)]&lt;&gt;"",IF(VLOOKUP(tblHorasAbr[Evento 
(1º Período)],tblEvento[],Tabelas!$E$1,FALSE)="Sim",FALSE,TRUE),TRUE),IF(tblHorasAbr[Evento 
(2º Período)]&lt;&gt;"",IF(VLOOKUP(tblHorasAbr[Evento 
(2º Período)],tblEvento[],Tabelas!$E$1,FALSE)="Sim",FALSE,TRUE),TRUE)),
tblHorasAbr[Horas Trabalhadas Além Jornada],""),"")</f>
        <v/>
      </c>
      <c r="S35" s="14" t="str">
        <f>IF(tblHorasAbr[Horas Trabalhadas Além Jornada]&gt;0,
IF(OR(VLOOKUP(TEXT(tblHorasAbr[Data],"dddd"),tblDiaUtil[],3,FALSE)="Não",IF(tblHorasAbr[Evento 
(1º Período)]&lt;&gt;"",IF(VLOOKUP(tblHorasAbr[Evento 
(1º Período)],tblEvento[],Tabelas!$E$1,FALSE)="Sim",TRUE,FALSE),FALSE),IF(tblHorasAbr[Evento 
(2º Período)]&lt;&gt;"",IF(VLOOKUP(tblHorasAbr[Evento 
(2º Período)],tblEvento[],Tabelas!$E$1,FALSE)="Sim",TRUE,FALSE),FALSE)),
tblHorasAbr[Horas Trabalhadas Além Jornada],""),"")</f>
        <v/>
      </c>
      <c r="T35" s="15" t="str">
        <f>IF(tblHorasAbr[Evento 
(1º Período)]&lt;&gt;""," - " &amp;VLOOKUP(tblHorasAbr[Evento 
(1º Período)],tblEvento[],Tabelas!$F$1,FALSE),"")&amp;IF(AND(tblHorasAbr[Evento 
(2º Período)]&lt;&gt;"",tblHorasAbr[Evento 
(2º Período)]&lt;&gt;tblHorasAbr[Evento 
(1º Período)])," - " &amp; VLOOKUP(tblHorasAbr[Evento 
(2º Período)],tblEvento[],Tabelas!$F$1,FALSE),"")</f>
        <v/>
      </c>
    </row>
    <row r="36" spans="2:21" x14ac:dyDescent="0.25">
      <c r="B36" s="11" t="str">
        <f t="shared" si="0"/>
        <v/>
      </c>
      <c r="C36" s="12" t="str">
        <f>TEXT(tblHorasAbr[Data],"ddd")</f>
        <v/>
      </c>
      <c r="D36" s="25"/>
      <c r="E36" s="1"/>
      <c r="F36" s="1"/>
      <c r="G36" s="1"/>
      <c r="H36" s="1"/>
      <c r="I36" s="53"/>
      <c r="J36" s="4">
        <f>IF($B$6&lt;&gt;"",
IF(AND(tblHorasAbr[Evento 
(1º Período)]&lt;&gt;"",IF(ISERROR(VLOOKUP(tblHorasAbr[Evento 
(1º Período)],tblEvento[],Tabelas!$D$1,FALSE)),FALSE,VLOOKUP(tblHorasAbr[Evento 
(1º Período)],tblEvento[],Tabelas!$D$1,FALSE)="Sim")),
        IF(JORNADA_PERIODO_1&lt;&gt;"",
IF(VLOOKUP(tblHorasAbr[Dia],tblDiaUtil[[Abreviatura]:[1º Período]],3,FALSE)&gt;0,VLOOKUP(tblHorasAbr[Dia],tblDiaUtil[[Abreviatura]:[1º Período]],3,FALSE),JORNADA_PERIODO_1),
IF(VLOOKUP(tblHorasAbr[Dia],tblDiaUtil[[Abreviatura]:[1º Período]],3,FALSE)&gt;0,VLOOKUP(tblHorasAbr[Dia],tblDiaUtil[[Abreviatura]:[1º Período]],3,FALSE),JORNADA/2)),
        IF(AND(ISNUMBER(tblHorasAbr[Saída - 1 (Almoço)]),ISNUMBER(tblHorasAbr[Entrada - 1])),
              IF(OR(AND(tblHorasAbr[Evento 
(1º Período)]&lt;&gt;"",IF(ISERROR(VLOOKUP(tblHorasAbr[Evento 
(1º Período)],tblEvento[],Tabelas!$E$1,FALSE)),FALSE,VLOOKUP(tblHorasAbr[Evento 
(1º Período)],tblEvento[],Tabelas!$E$1,FALSE)="Sim")),IF(VLOOKUP(TEXT(tblHorasAbr[Data],"dddd"),tblDiaUtil[],2,FALSE)="Não",TRUE,FALSE)),
                   tblHorasAbr[Saída - 1 (Almoço)]-tblHorasAbr[Entrada - 1],
                   IF(OR(HOUR(tblHorasAbr[Saída - 1 (Almoço)]-tblHorasAbr[Entrada - 1])&gt;0,ROUND(tblHorasAbr[Saída - 1 (Almoço)]-tblHorasAbr[Entrada - 1],6)&gt;ROUND(CARENCIA,6)),
                          tblHorasAbr[Saída - 1 (Almoço)]-tblHorasAbr[Entrada - 1],
                          0)),
                    0)),0)</f>
        <v>0</v>
      </c>
      <c r="K36" s="4">
        <f>IF($B$6&lt;&gt;"",
IF(AND(tblHorasAbr[Evento 
(2º Período)]&lt;&gt;"",IF(ISERROR(VLOOKUP(tblHorasAbr[Evento 
(2º Período)],tblEvento[],Tabelas!$D$1,FALSE)),FALSE,VLOOKUP(tblHorasAbr[Evento 
(2º Período)],tblEvento[],Tabelas!$D$1,FALSE)="Sim")),
        IF(JORNADA_PERIODO_2&lt;&gt;"",
IF(VLOOKUP(tblHorasAbr[Dia],tblDiaUtil[[Abreviatura]:[2º Período]],4,FALSE)&gt;0,VLOOKUP(tblHorasAbr[Dia],tblDiaUtil[[Abreviatura]:[2º Período]],4,FALSE),JORNADA_PERIODO_2),
IF(VLOOKUP(tblHorasAbr[Dia],tblDiaUtil[[Abreviatura]:[2º Período]],4,FALSE)&gt;0,VLOOKUP(tblHorasAbr[Dia],tblDiaUtil[[Abreviatura]:[2º Período]],4,FALSE),JORNADA/2)),
        IF(AND(ISNUMBER(tblHorasAbr[Saída - 2]),ISNUMBER(tblHorasAbr[Entrada - 2 (Almoço)])),
              IF(OR(AND(tblHorasAbr[Evento 
(2º Período)]&lt;&gt;"",IF(ISERROR(VLOOKUP(tblHorasAbr[Evento 
(2º Período)],tblEvento[],Tabelas!$E$1,FALSE)),FALSE,VLOOKUP(tblHorasAbr[Evento 
(2º Período)],tblEvento[],Tabelas!$E$1,FALSE)="Sim")),IF(VLOOKUP(TEXT(tblHorasAbr[Data],"dddd"),tblDiaUtil[],2,FALSE)="Não",TRUE,FALSE)),
                   tblHorasAbr[Saída - 2]-tblHorasAbr[Entrada - 2 (Almoço)],
                   IF(OR(HOUR(tblHorasAbr[Saída - 2]-tblHorasAbr[Entrada - 2 (Almoço)])&gt;0,MINUTE(tblHorasAbr[Saída - 2]-tblHorasAbr[Entrada - 2 (Almoço)])&gt;CARENCIA),
                         tblHorasAbr[Saída - 2]-tblHorasAbr[Entrada - 2 (Almoço)],
                         0)),
       0)),0)</f>
        <v>0</v>
      </c>
      <c r="L36" s="4">
        <f>tblHorasAbr[Horas Trabalhadas (1º Período)]+tblHorasAbr[Horas Trabalhadas (2º Período)]</f>
        <v>0</v>
      </c>
      <c r="M36" s="4" t="str">
        <f>IF(tblHorasAbr[Data]&lt;&gt;"",
        IF(
AND(VLOOKUP(TEXT(tblHorasAbr[Data],"dddd"),tblDiaUtil[],3,FALSE)="Sim",IF(tblHorasAbr[Evento 
(1º Período)]&lt;&gt;"",IF(VLOOKUP(tblHorasAbr[Evento 
(1º Período)],tblEvento[],Tabelas!$E$1,FALSE)="Sim",FALSE,TRUE),TRUE),IF(tblHorasAbr[Evento 
(2º Período)]&lt;&gt;"",IF(VLOOKUP(tblHorasAbr[Evento 
(2º Período)],tblEvento[],Tabelas!$E$1,FALSE)="Sim",FALSE,TRUE),TRUE)),
              IF(VLOOKUP(tblHorasAbr[Dia],tblDiaUtil[[Abreviatura]:[1º Período]],3,FALSE)&gt;0,VLOOKUP(tblHorasAbr[Dia],tblDiaUtil[[Abreviatura]:[1º Período]],3,FALSE),JORNADA),
              ""),
         "")</f>
        <v/>
      </c>
      <c r="N36" s="14">
        <f>IF(OR(tblHorasAbr[Horas Trabalhadas (1º Período)]&lt;&gt;0,tblHorasAbr[Horas Trabalhadas (2º Período)]&lt;&gt;0),
        IF(ISNUMBER(tblHorasAbr[Jornada Diária]),
              IF(tblHorasAbr[Jornada Diária]&gt;(tblHorasAbr[Horas Trabalhadas (2º Período)]+tblHorasAbr[Horas Trabalhadas (1º Período)]),
                     IF(ROUND((tblHorasAbr[Jornada Diária]-(tblHorasAbr[Horas Trabalhadas (2º Período)]+tblHorasAbr[Horas Trabalhadas (1º Período)])),6)&gt;ROUND(CARENCIA,6),
                           -tblHorasAbr[Jornada Diária]+(tblHorasAbr[Horas Trabalhadas (2º Período)]+tblHorasAbr[Horas Trabalhadas (1º Período)]),
                           0),
                      IF(ROUND((tblHorasAbr[Jornada Diária]-(tblHorasAbr[Horas Trabalhadas (2º Período)]+tblHorasAbr[Horas Trabalhadas (1º Período)])),6)&lt;ROUND(-CARENCIA,6),
                           -tblHorasAbr[Jornada Diária]+(tblHorasAbr[Horas Trabalhadas (2º Período)]+tblHorasAbr[Horas Trabalhadas (1º Período)]),
                           0)),
              tblHorasAbr[Horas Trabalhadas (2º Período)]+tblHorasAbr[Horas Trabalhadas (1º Período)]),
         IF(AND(IF(ISERROR(VLOOKUP(tblHorasAbr[Evento 
(1º Período)],tblEvento[[Evento]:[Libera o Período]],4,FALSE)),FALSE,IF(VLOOKUP(tblHorasAbr[Evento 
(1º Período)],tblEvento[[Evento]:[Libera o Período]],4,FALSE)="Não",TRUE,FALSE)),IF(ISERROR(VLOOKUP(tblHorasAbr[Evento 
(2º Período)],tblEvento[[Evento]:[Libera o Período]],4,FALSE)),FALSE,IF(VLOOKUP(tblHorasAbr[Evento 
(2º Período)],tblEvento[[Evento]:[Libera o Período]],4,FALSE)="Não",TRUE,FALSE))),
-IF(VLOOKUP(tblHorasAbr[Dia],tblDiaUtil[[Abreviatura]:[Total Jornada]],5,FALSE)&lt;&gt;"",VLOOKUP(tblHorasAbr[Dia],tblDiaUtil[[Abreviatura]:[Total Jornada]],5,FALSE),JORNADA),
IF(IF(ISERROR(VLOOKUP(tblHorasAbr[Evento 
(1º Período)],tblEvento[[Evento]:[Libera o Período]],4,FALSE)),FALSE,
IF(VLOOKUP(tblHorasAbr[Evento 
(1º Período)],tblEvento[[Evento]:[Libera o Período]],4,FALSE)="Não",TRUE,FALSE)
),
-IF(VLOOKUP(tblHorasAbr[Dia],tblDiaUtil[[Abreviatura]:[1º Período]],3,FALSE)&lt;&gt;"",VLOOKUP(tblHorasAbr[Dia],tblDiaUtil[[Abreviatura]:[1º Período]],3,FALSE),JORNADA_PERIODO_1),
IF(IF(ISERROR(VLOOKUP(tblHorasAbr[Evento 
(2º Período)],tblEvento[[Evento]:[Libera o Período]],4,FALSE)),FALSE,IF(VLOOKUP(tblHorasAbr[Evento 
(2º Período)],tblEvento[[Evento]:[Libera o Período]],4,FALSE)="Não",TRUE,FALSE)),
-IF(VLOOKUP(tblHorasAbr[Dia],tblDiaUtil[[Abreviatura]:[2º Período]],4,FALSE)&lt;&gt;"",VLOOKUP(tblHorasAbr[Dia],tblDiaUtil[[Abreviatura]:[2º Período]],4,FALSE),JORNADA_PERIODO_2),0))))</f>
        <v>0</v>
      </c>
      <c r="O36" s="14">
        <f>IF(tblHorasAbr[Horas Trabalhadas Além Jornada]&gt;0,
        IF(ISNUMBER(tblHorasAbr[Jornada Diária]),
              IF(HOUR(tblHorasAbr[Horas Trabalhadas Além Jornada])&gt;=VLOOKUP(LIMITE,tblLimiteHora[],Tabelas!$I$1,FALSE),
                    VLOOKUP(LIMITE,tblLimiteHora[],Tabelas!$J$1,FALSE),
                    tblHorasAbr[Horas Trabalhadas Além Jornada]),
              tblHorasAbr[Horas Trabalhadas Além Jornada]),
        tblHorasAbr[Horas Trabalhadas Além Jornada])+O35</f>
        <v>0</v>
      </c>
      <c r="P36" s="14" t="str">
        <f>IF(tblHorasAbr[Horas Trabalhadas Além Jornada]&lt;0,IF(OR(tblHorasAbr[Evento 
(1º Período)]="",tblHorasAbr[Evento 
(2º Período)]=""),tblHorasAbr[Horas Trabalhadas Além Jornada],""),"")</f>
        <v/>
      </c>
      <c r="Q36" s="14" t="str">
        <f>IF(tblHorasAbr[Jornada Diária]&lt;&gt;"",IF((N(tblHorasAbr[Jornada Diária])-ABS(N(tblHorasAbr[Horas Trabalhadas Além Jornada])))=0,1,""),"")</f>
        <v/>
      </c>
      <c r="R36" s="14" t="str">
        <f>IF(tblHorasAbr[Horas Trabalhadas Além Jornada]&gt;0,
IF(AND(VLOOKUP(TEXT(tblHorasAbr[Data],"dddd"),tblDiaUtil[],3,FALSE)="Sim",IF(tblHorasAbr[Evento 
(1º Período)]&lt;&gt;"",IF(VLOOKUP(tblHorasAbr[Evento 
(1º Período)],tblEvento[],Tabelas!$E$1,FALSE)="Sim",FALSE,TRUE),TRUE),IF(tblHorasAbr[Evento 
(2º Período)]&lt;&gt;"",IF(VLOOKUP(tblHorasAbr[Evento 
(2º Período)],tblEvento[],Tabelas!$E$1,FALSE)="Sim",FALSE,TRUE),TRUE)),
tblHorasAbr[Horas Trabalhadas Além Jornada],""),"")</f>
        <v/>
      </c>
      <c r="S36" s="14" t="str">
        <f>IF(tblHorasAbr[Horas Trabalhadas Além Jornada]&gt;0,
IF(OR(VLOOKUP(TEXT(tblHorasAbr[Data],"dddd"),tblDiaUtil[],3,FALSE)="Não",IF(tblHorasAbr[Evento 
(1º Período)]&lt;&gt;"",IF(VLOOKUP(tblHorasAbr[Evento 
(1º Período)],tblEvento[],Tabelas!$E$1,FALSE)="Sim",TRUE,FALSE),FALSE),IF(tblHorasAbr[Evento 
(2º Período)]&lt;&gt;"",IF(VLOOKUP(tblHorasAbr[Evento 
(2º Período)],tblEvento[],Tabelas!$E$1,FALSE)="Sim",TRUE,FALSE),FALSE)),
tblHorasAbr[Horas Trabalhadas Além Jornada],""),"")</f>
        <v/>
      </c>
      <c r="T36" s="15" t="str">
        <f>IF(tblHorasAbr[Evento 
(1º Período)]&lt;&gt;""," - " &amp;VLOOKUP(tblHorasAbr[Evento 
(1º Período)],tblEvento[],Tabelas!$F$1,FALSE),"")&amp;IF(AND(tblHorasAbr[Evento 
(2º Período)]&lt;&gt;"",tblHorasAbr[Evento 
(2º Período)]&lt;&gt;tblHorasAbr[Evento 
(1º Período)])," - " &amp; VLOOKUP(tblHorasAbr[Evento 
(2º Período)],tblEvento[],Tabelas!$F$1,FALSE),"")</f>
        <v/>
      </c>
    </row>
    <row r="37" spans="2:21" x14ac:dyDescent="0.25">
      <c r="B37" s="11" t="str">
        <f t="shared" si="0"/>
        <v/>
      </c>
      <c r="C37" s="12" t="str">
        <f>TEXT(tblHorasAbr[Data],"ddd")</f>
        <v/>
      </c>
      <c r="D37" s="25"/>
      <c r="E37" s="1"/>
      <c r="F37" s="1"/>
      <c r="G37" s="1"/>
      <c r="H37" s="1"/>
      <c r="I37" s="53"/>
      <c r="J37" s="4">
        <f>IF($B$6&lt;&gt;"",
IF(AND(tblHorasAbr[Evento 
(1º Período)]&lt;&gt;"",IF(ISERROR(VLOOKUP(tblHorasAbr[Evento 
(1º Período)],tblEvento[],Tabelas!$D$1,FALSE)),FALSE,VLOOKUP(tblHorasAbr[Evento 
(1º Período)],tblEvento[],Tabelas!$D$1,FALSE)="Sim")),
        IF(JORNADA_PERIODO_1&lt;&gt;"",
IF(VLOOKUP(tblHorasAbr[Dia],tblDiaUtil[[Abreviatura]:[1º Período]],3,FALSE)&gt;0,VLOOKUP(tblHorasAbr[Dia],tblDiaUtil[[Abreviatura]:[1º Período]],3,FALSE),JORNADA_PERIODO_1),
IF(VLOOKUP(tblHorasAbr[Dia],tblDiaUtil[[Abreviatura]:[1º Período]],3,FALSE)&gt;0,VLOOKUP(tblHorasAbr[Dia],tblDiaUtil[[Abreviatura]:[1º Período]],3,FALSE),JORNADA/2)),
        IF(AND(ISNUMBER(tblHorasAbr[Saída - 1 (Almoço)]),ISNUMBER(tblHorasAbr[Entrada - 1])),
              IF(OR(AND(tblHorasAbr[Evento 
(1º Período)]&lt;&gt;"",IF(ISERROR(VLOOKUP(tblHorasAbr[Evento 
(1º Período)],tblEvento[],Tabelas!$E$1,FALSE)),FALSE,VLOOKUP(tblHorasAbr[Evento 
(1º Período)],tblEvento[],Tabelas!$E$1,FALSE)="Sim")),IF(VLOOKUP(TEXT(tblHorasAbr[Data],"dddd"),tblDiaUtil[],2,FALSE)="Não",TRUE,FALSE)),
                   tblHorasAbr[Saída - 1 (Almoço)]-tblHorasAbr[Entrada - 1],
                   IF(OR(HOUR(tblHorasAbr[Saída - 1 (Almoço)]-tblHorasAbr[Entrada - 1])&gt;0,ROUND(tblHorasAbr[Saída - 1 (Almoço)]-tblHorasAbr[Entrada - 1],6)&gt;ROUND(CARENCIA,6)),
                          tblHorasAbr[Saída - 1 (Almoço)]-tblHorasAbr[Entrada - 1],
                          0)),
                    0)),0)</f>
        <v>0</v>
      </c>
      <c r="K37" s="4">
        <f>IF($B$6&lt;&gt;"",
IF(AND(tblHorasAbr[Evento 
(2º Período)]&lt;&gt;"",IF(ISERROR(VLOOKUP(tblHorasAbr[Evento 
(2º Período)],tblEvento[],Tabelas!$D$1,FALSE)),FALSE,VLOOKUP(tblHorasAbr[Evento 
(2º Período)],tblEvento[],Tabelas!$D$1,FALSE)="Sim")),
        IF(JORNADA_PERIODO_2&lt;&gt;"",
IF(VLOOKUP(tblHorasAbr[Dia],tblDiaUtil[[Abreviatura]:[2º Período]],4,FALSE)&gt;0,VLOOKUP(tblHorasAbr[Dia],tblDiaUtil[[Abreviatura]:[2º Período]],4,FALSE),JORNADA_PERIODO_2),
IF(VLOOKUP(tblHorasAbr[Dia],tblDiaUtil[[Abreviatura]:[2º Período]],4,FALSE)&gt;0,VLOOKUP(tblHorasAbr[Dia],tblDiaUtil[[Abreviatura]:[2º Período]],4,FALSE),JORNADA/2)),
        IF(AND(ISNUMBER(tblHorasAbr[Saída - 2]),ISNUMBER(tblHorasAbr[Entrada - 2 (Almoço)])),
              IF(OR(AND(tblHorasAbr[Evento 
(2º Período)]&lt;&gt;"",IF(ISERROR(VLOOKUP(tblHorasAbr[Evento 
(2º Período)],tblEvento[],Tabelas!$E$1,FALSE)),FALSE,VLOOKUP(tblHorasAbr[Evento 
(2º Período)],tblEvento[],Tabelas!$E$1,FALSE)="Sim")),IF(VLOOKUP(TEXT(tblHorasAbr[Data],"dddd"),tblDiaUtil[],2,FALSE)="Não",TRUE,FALSE)),
                   tblHorasAbr[Saída - 2]-tblHorasAbr[Entrada - 2 (Almoço)],
                   IF(OR(HOUR(tblHorasAbr[Saída - 2]-tblHorasAbr[Entrada - 2 (Almoço)])&gt;0,MINUTE(tblHorasAbr[Saída - 2]-tblHorasAbr[Entrada - 2 (Almoço)])&gt;CARENCIA),
                         tblHorasAbr[Saída - 2]-tblHorasAbr[Entrada - 2 (Almoço)],
                         0)),
       0)),0)</f>
        <v>0</v>
      </c>
      <c r="L37" s="4">
        <f>tblHorasAbr[Horas Trabalhadas (1º Período)]+tblHorasAbr[Horas Trabalhadas (2º Período)]</f>
        <v>0</v>
      </c>
      <c r="M37" s="4" t="str">
        <f>IF(tblHorasAbr[Data]&lt;&gt;"",
        IF(
AND(VLOOKUP(TEXT(tblHorasAbr[Data],"dddd"),tblDiaUtil[],3,FALSE)="Sim",IF(tblHorasAbr[Evento 
(1º Período)]&lt;&gt;"",IF(VLOOKUP(tblHorasAbr[Evento 
(1º Período)],tblEvento[],Tabelas!$E$1,FALSE)="Sim",FALSE,TRUE),TRUE),IF(tblHorasAbr[Evento 
(2º Período)]&lt;&gt;"",IF(VLOOKUP(tblHorasAbr[Evento 
(2º Período)],tblEvento[],Tabelas!$E$1,FALSE)="Sim",FALSE,TRUE),TRUE)),
              IF(VLOOKUP(tblHorasAbr[Dia],tblDiaUtil[[Abreviatura]:[1º Período]],3,FALSE)&gt;0,VLOOKUP(tblHorasAbr[Dia],tblDiaUtil[[Abreviatura]:[1º Período]],3,FALSE),JORNADA),
              ""),
         "")</f>
        <v/>
      </c>
      <c r="N37" s="14">
        <f>IF(OR(tblHorasAbr[Horas Trabalhadas (1º Período)]&lt;&gt;0,tblHorasAbr[Horas Trabalhadas (2º Período)]&lt;&gt;0),
        IF(ISNUMBER(tblHorasAbr[Jornada Diária]),
              IF(tblHorasAbr[Jornada Diária]&gt;(tblHorasAbr[Horas Trabalhadas (2º Período)]+tblHorasAbr[Horas Trabalhadas (1º Período)]),
                     IF(ROUND((tblHorasAbr[Jornada Diária]-(tblHorasAbr[Horas Trabalhadas (2º Período)]+tblHorasAbr[Horas Trabalhadas (1º Período)])),6)&gt;ROUND(CARENCIA,6),
                           -tblHorasAbr[Jornada Diária]+(tblHorasAbr[Horas Trabalhadas (2º Período)]+tblHorasAbr[Horas Trabalhadas (1º Período)]),
                           0),
                      IF(ROUND((tblHorasAbr[Jornada Diária]-(tblHorasAbr[Horas Trabalhadas (2º Período)]+tblHorasAbr[Horas Trabalhadas (1º Período)])),6)&lt;ROUND(-CARENCIA,6),
                           -tblHorasAbr[Jornada Diária]+(tblHorasAbr[Horas Trabalhadas (2º Período)]+tblHorasAbr[Horas Trabalhadas (1º Período)]),
                           0)),
              tblHorasAbr[Horas Trabalhadas (2º Período)]+tblHorasAbr[Horas Trabalhadas (1º Período)]),
         IF(AND(IF(ISERROR(VLOOKUP(tblHorasAbr[Evento 
(1º Período)],tblEvento[[Evento]:[Libera o Período]],4,FALSE)),FALSE,IF(VLOOKUP(tblHorasAbr[Evento 
(1º Período)],tblEvento[[Evento]:[Libera o Período]],4,FALSE)="Não",TRUE,FALSE)),IF(ISERROR(VLOOKUP(tblHorasAbr[Evento 
(2º Período)],tblEvento[[Evento]:[Libera o Período]],4,FALSE)),FALSE,IF(VLOOKUP(tblHorasAbr[Evento 
(2º Período)],tblEvento[[Evento]:[Libera o Período]],4,FALSE)="Não",TRUE,FALSE))),
-IF(VLOOKUP(tblHorasAbr[Dia],tblDiaUtil[[Abreviatura]:[Total Jornada]],5,FALSE)&lt;&gt;"",VLOOKUP(tblHorasAbr[Dia],tblDiaUtil[[Abreviatura]:[Total Jornada]],5,FALSE),JORNADA),
IF(IF(ISERROR(VLOOKUP(tblHorasAbr[Evento 
(1º Período)],tblEvento[[Evento]:[Libera o Período]],4,FALSE)),FALSE,
IF(VLOOKUP(tblHorasAbr[Evento 
(1º Período)],tblEvento[[Evento]:[Libera o Período]],4,FALSE)="Não",TRUE,FALSE)
),
-IF(VLOOKUP(tblHorasAbr[Dia],tblDiaUtil[[Abreviatura]:[1º Período]],3,FALSE)&lt;&gt;"",VLOOKUP(tblHorasAbr[Dia],tblDiaUtil[[Abreviatura]:[1º Período]],3,FALSE),JORNADA_PERIODO_1),
IF(IF(ISERROR(VLOOKUP(tblHorasAbr[Evento 
(2º Período)],tblEvento[[Evento]:[Libera o Período]],4,FALSE)),FALSE,IF(VLOOKUP(tblHorasAbr[Evento 
(2º Período)],tblEvento[[Evento]:[Libera o Período]],4,FALSE)="Não",TRUE,FALSE)),
-IF(VLOOKUP(tblHorasAbr[Dia],tblDiaUtil[[Abreviatura]:[2º Período]],4,FALSE)&lt;&gt;"",VLOOKUP(tblHorasAbr[Dia],tblDiaUtil[[Abreviatura]:[2º Período]],4,FALSE),JORNADA_PERIODO_2),0))))</f>
        <v>0</v>
      </c>
      <c r="O37" s="14">
        <f>IF(tblHorasAbr[Horas Trabalhadas Além Jornada]&gt;0,
        IF(ISNUMBER(tblHorasAbr[Jornada Diária]),
              IF(HOUR(tblHorasAbr[Horas Trabalhadas Além Jornada])&gt;=VLOOKUP(LIMITE,tblLimiteHora[],Tabelas!$I$1,FALSE),
                    VLOOKUP(LIMITE,tblLimiteHora[],Tabelas!$J$1,FALSE),
                    tblHorasAbr[Horas Trabalhadas Além Jornada]),
              tblHorasAbr[Horas Trabalhadas Além Jornada]),
        tblHorasAbr[Horas Trabalhadas Além Jornada])+O36</f>
        <v>0</v>
      </c>
      <c r="P37" s="14" t="str">
        <f>IF(tblHorasAbr[Horas Trabalhadas Além Jornada]&lt;0,IF(OR(tblHorasAbr[Evento 
(1º Período)]="",tblHorasAbr[Evento 
(2º Período)]=""),tblHorasAbr[Horas Trabalhadas Além Jornada],""),"")</f>
        <v/>
      </c>
      <c r="Q37" s="14" t="str">
        <f>IF(tblHorasAbr[Jornada Diária]&lt;&gt;"",IF((N(tblHorasAbr[Jornada Diária])-ABS(N(tblHorasAbr[Horas Trabalhadas Além Jornada])))=0,1,""),"")</f>
        <v/>
      </c>
      <c r="R37" s="14" t="str">
        <f>IF(tblHorasAbr[Horas Trabalhadas Além Jornada]&gt;0,
IF(AND(VLOOKUP(TEXT(tblHorasAbr[Data],"dddd"),tblDiaUtil[],3,FALSE)="Sim",IF(tblHorasAbr[Evento 
(1º Período)]&lt;&gt;"",IF(VLOOKUP(tblHorasAbr[Evento 
(1º Período)],tblEvento[],Tabelas!$E$1,FALSE)="Sim",FALSE,TRUE),TRUE),IF(tblHorasAbr[Evento 
(2º Período)]&lt;&gt;"",IF(VLOOKUP(tblHorasAbr[Evento 
(2º Período)],tblEvento[],Tabelas!$E$1,FALSE)="Sim",FALSE,TRUE),TRUE)),
tblHorasAbr[Horas Trabalhadas Além Jornada],""),"")</f>
        <v/>
      </c>
      <c r="S37" s="14" t="str">
        <f>IF(tblHorasAbr[Horas Trabalhadas Além Jornada]&gt;0,
IF(OR(VLOOKUP(TEXT(tblHorasAbr[Data],"dddd"),tblDiaUtil[],3,FALSE)="Não",IF(tblHorasAbr[Evento 
(1º Período)]&lt;&gt;"",IF(VLOOKUP(tblHorasAbr[Evento 
(1º Período)],tblEvento[],Tabelas!$E$1,FALSE)="Sim",TRUE,FALSE),FALSE),IF(tblHorasAbr[Evento 
(2º Período)]&lt;&gt;"",IF(VLOOKUP(tblHorasAbr[Evento 
(2º Período)],tblEvento[],Tabelas!$E$1,FALSE)="Sim",TRUE,FALSE),FALSE)),
tblHorasAbr[Horas Trabalhadas Além Jornada],""),"")</f>
        <v/>
      </c>
      <c r="T37" s="15" t="str">
        <f>IF(tblHorasAbr[Evento 
(1º Período)]&lt;&gt;""," - " &amp;VLOOKUP(tblHorasAbr[Evento 
(1º Período)],tblEvento[],Tabelas!$F$1,FALSE),"")&amp;IF(AND(tblHorasAbr[Evento 
(2º Período)]&lt;&gt;"",tblHorasAbr[Evento 
(2º Período)]&lt;&gt;tblHorasAbr[Evento 
(1º Período)])," - " &amp; VLOOKUP(tblHorasAbr[Evento 
(2º Período)],tblEvento[],Tabelas!$F$1,FALSE),"")</f>
        <v/>
      </c>
    </row>
    <row r="38" spans="2:21" x14ac:dyDescent="0.25">
      <c r="B38" s="11" t="str">
        <f t="shared" si="0"/>
        <v/>
      </c>
      <c r="C38" s="12" t="str">
        <f>TEXT(tblHorasAbr[Data],"ddd")</f>
        <v/>
      </c>
      <c r="D38" s="25"/>
      <c r="E38" s="1"/>
      <c r="F38" s="1"/>
      <c r="G38" s="1"/>
      <c r="H38" s="1"/>
      <c r="I38" s="53"/>
      <c r="J38" s="4">
        <f>IF($B$6&lt;&gt;"",
IF(AND(tblHorasAbr[Evento 
(1º Período)]&lt;&gt;"",IF(ISERROR(VLOOKUP(tblHorasAbr[Evento 
(1º Período)],tblEvento[],Tabelas!$D$1,FALSE)),FALSE,VLOOKUP(tblHorasAbr[Evento 
(1º Período)],tblEvento[],Tabelas!$D$1,FALSE)="Sim")),
        IF(JORNADA_PERIODO_1&lt;&gt;"",
IF(VLOOKUP(tblHorasAbr[Dia],tblDiaUtil[[Abreviatura]:[1º Período]],3,FALSE)&gt;0,VLOOKUP(tblHorasAbr[Dia],tblDiaUtil[[Abreviatura]:[1º Período]],3,FALSE),JORNADA_PERIODO_1),
IF(VLOOKUP(tblHorasAbr[Dia],tblDiaUtil[[Abreviatura]:[1º Período]],3,FALSE)&gt;0,VLOOKUP(tblHorasAbr[Dia],tblDiaUtil[[Abreviatura]:[1º Período]],3,FALSE),JORNADA/2)),
        IF(AND(ISNUMBER(tblHorasAbr[Saída - 1 (Almoço)]),ISNUMBER(tblHorasAbr[Entrada - 1])),
              IF(OR(AND(tblHorasAbr[Evento 
(1º Período)]&lt;&gt;"",IF(ISERROR(VLOOKUP(tblHorasAbr[Evento 
(1º Período)],tblEvento[],Tabelas!$E$1,FALSE)),FALSE,VLOOKUP(tblHorasAbr[Evento 
(1º Período)],tblEvento[],Tabelas!$E$1,FALSE)="Sim")),IF(VLOOKUP(TEXT(tblHorasAbr[Data],"dddd"),tblDiaUtil[],2,FALSE)="Não",TRUE,FALSE)),
                   tblHorasAbr[Saída - 1 (Almoço)]-tblHorasAbr[Entrada - 1],
                   IF(OR(HOUR(tblHorasAbr[Saída - 1 (Almoço)]-tblHorasAbr[Entrada - 1])&gt;0,ROUND(tblHorasAbr[Saída - 1 (Almoço)]-tblHorasAbr[Entrada - 1],6)&gt;ROUND(CARENCIA,6)),
                          tblHorasAbr[Saída - 1 (Almoço)]-tblHorasAbr[Entrada - 1],
                          0)),
                    0)),0)</f>
        <v>0</v>
      </c>
      <c r="K38" s="4">
        <f>IF($B$6&lt;&gt;"",
IF(AND(tblHorasAbr[Evento 
(2º Período)]&lt;&gt;"",IF(ISERROR(VLOOKUP(tblHorasAbr[Evento 
(2º Período)],tblEvento[],Tabelas!$D$1,FALSE)),FALSE,VLOOKUP(tblHorasAbr[Evento 
(2º Período)],tblEvento[],Tabelas!$D$1,FALSE)="Sim")),
        IF(JORNADA_PERIODO_2&lt;&gt;"",
IF(VLOOKUP(tblHorasAbr[Dia],tblDiaUtil[[Abreviatura]:[2º Período]],4,FALSE)&gt;0,VLOOKUP(tblHorasAbr[Dia],tblDiaUtil[[Abreviatura]:[2º Período]],4,FALSE),JORNADA_PERIODO_2),
IF(VLOOKUP(tblHorasAbr[Dia],tblDiaUtil[[Abreviatura]:[2º Período]],4,FALSE)&gt;0,VLOOKUP(tblHorasAbr[Dia],tblDiaUtil[[Abreviatura]:[2º Período]],4,FALSE),JORNADA/2)),
        IF(AND(ISNUMBER(tblHorasAbr[Saída - 2]),ISNUMBER(tblHorasAbr[Entrada - 2 (Almoço)])),
              IF(OR(AND(tblHorasAbr[Evento 
(2º Período)]&lt;&gt;"",IF(ISERROR(VLOOKUP(tblHorasAbr[Evento 
(2º Período)],tblEvento[],Tabelas!$E$1,FALSE)),FALSE,VLOOKUP(tblHorasAbr[Evento 
(2º Período)],tblEvento[],Tabelas!$E$1,FALSE)="Sim")),IF(VLOOKUP(TEXT(tblHorasAbr[Data],"dddd"),tblDiaUtil[],2,FALSE)="Não",TRUE,FALSE)),
                   tblHorasAbr[Saída - 2]-tblHorasAbr[Entrada - 2 (Almoço)],
                   IF(OR(HOUR(tblHorasAbr[Saída - 2]-tblHorasAbr[Entrada - 2 (Almoço)])&gt;0,MINUTE(tblHorasAbr[Saída - 2]-tblHorasAbr[Entrada - 2 (Almoço)])&gt;CARENCIA),
                         tblHorasAbr[Saída - 2]-tblHorasAbr[Entrada - 2 (Almoço)],
                         0)),
       0)),0)</f>
        <v>0</v>
      </c>
      <c r="L38" s="4">
        <f>tblHorasAbr[Horas Trabalhadas (1º Período)]+tblHorasAbr[Horas Trabalhadas (2º Período)]</f>
        <v>0</v>
      </c>
      <c r="M38" s="4" t="str">
        <f>IF(tblHorasAbr[Data]&lt;&gt;"",
        IF(
AND(VLOOKUP(TEXT(tblHorasAbr[Data],"dddd"),tblDiaUtil[],3,FALSE)="Sim",IF(tblHorasAbr[Evento 
(1º Período)]&lt;&gt;"",IF(VLOOKUP(tblHorasAbr[Evento 
(1º Período)],tblEvento[],Tabelas!$E$1,FALSE)="Sim",FALSE,TRUE),TRUE),IF(tblHorasAbr[Evento 
(2º Período)]&lt;&gt;"",IF(VLOOKUP(tblHorasAbr[Evento 
(2º Período)],tblEvento[],Tabelas!$E$1,FALSE)="Sim",FALSE,TRUE),TRUE)),
              IF(VLOOKUP(tblHorasAbr[Dia],tblDiaUtil[[Abreviatura]:[1º Período]],3,FALSE)&gt;0,VLOOKUP(tblHorasAbr[Dia],tblDiaUtil[[Abreviatura]:[1º Período]],3,FALSE),JORNADA),
              ""),
         "")</f>
        <v/>
      </c>
      <c r="N38" s="14">
        <f>IF(OR(tblHorasAbr[Horas Trabalhadas (1º Período)]&lt;&gt;0,tblHorasAbr[Horas Trabalhadas (2º Período)]&lt;&gt;0),
        IF(ISNUMBER(tblHorasAbr[Jornada Diária]),
              IF(tblHorasAbr[Jornada Diária]&gt;(tblHorasAbr[Horas Trabalhadas (2º Período)]+tblHorasAbr[Horas Trabalhadas (1º Período)]),
                     IF(ROUND((tblHorasAbr[Jornada Diária]-(tblHorasAbr[Horas Trabalhadas (2º Período)]+tblHorasAbr[Horas Trabalhadas (1º Período)])),6)&gt;ROUND(CARENCIA,6),
                           -tblHorasAbr[Jornada Diária]+(tblHorasAbr[Horas Trabalhadas (2º Período)]+tblHorasAbr[Horas Trabalhadas (1º Período)]),
                           0),
                      IF(ROUND((tblHorasAbr[Jornada Diária]-(tblHorasAbr[Horas Trabalhadas (2º Período)]+tblHorasAbr[Horas Trabalhadas (1º Período)])),6)&lt;ROUND(-CARENCIA,6),
                           -tblHorasAbr[Jornada Diária]+(tblHorasAbr[Horas Trabalhadas (2º Período)]+tblHorasAbr[Horas Trabalhadas (1º Período)]),
                           0)),
              tblHorasAbr[Horas Trabalhadas (2º Período)]+tblHorasAbr[Horas Trabalhadas (1º Período)]),
         IF(AND(IF(ISERROR(VLOOKUP(tblHorasAbr[Evento 
(1º Período)],tblEvento[[Evento]:[Libera o Período]],4,FALSE)),FALSE,IF(VLOOKUP(tblHorasAbr[Evento 
(1º Período)],tblEvento[[Evento]:[Libera o Período]],4,FALSE)="Não",TRUE,FALSE)),IF(ISERROR(VLOOKUP(tblHorasAbr[Evento 
(2º Período)],tblEvento[[Evento]:[Libera o Período]],4,FALSE)),FALSE,IF(VLOOKUP(tblHorasAbr[Evento 
(2º Período)],tblEvento[[Evento]:[Libera o Período]],4,FALSE)="Não",TRUE,FALSE))),
-IF(VLOOKUP(tblHorasAbr[Dia],tblDiaUtil[[Abreviatura]:[Total Jornada]],5,FALSE)&lt;&gt;"",VLOOKUP(tblHorasAbr[Dia],tblDiaUtil[[Abreviatura]:[Total Jornada]],5,FALSE),JORNADA),
IF(IF(ISERROR(VLOOKUP(tblHorasAbr[Evento 
(1º Período)],tblEvento[[Evento]:[Libera o Período]],4,FALSE)),FALSE,
IF(VLOOKUP(tblHorasAbr[Evento 
(1º Período)],tblEvento[[Evento]:[Libera o Período]],4,FALSE)="Não",TRUE,FALSE)
),
-IF(VLOOKUP(tblHorasAbr[Dia],tblDiaUtil[[Abreviatura]:[1º Período]],3,FALSE)&lt;&gt;"",VLOOKUP(tblHorasAbr[Dia],tblDiaUtil[[Abreviatura]:[1º Período]],3,FALSE),JORNADA_PERIODO_1),
IF(IF(ISERROR(VLOOKUP(tblHorasAbr[Evento 
(2º Período)],tblEvento[[Evento]:[Libera o Período]],4,FALSE)),FALSE,IF(VLOOKUP(tblHorasAbr[Evento 
(2º Período)],tblEvento[[Evento]:[Libera o Período]],4,FALSE)="Não",TRUE,FALSE)),
-IF(VLOOKUP(tblHorasAbr[Dia],tblDiaUtil[[Abreviatura]:[2º Período]],4,FALSE)&lt;&gt;"",VLOOKUP(tblHorasAbr[Dia],tblDiaUtil[[Abreviatura]:[2º Período]],4,FALSE),JORNADA_PERIODO_2),0))))</f>
        <v>0</v>
      </c>
      <c r="O38" s="14">
        <f>IF(tblHorasAbr[Horas Trabalhadas Além Jornada]&gt;0,
        IF(ISNUMBER(tblHorasAbr[Jornada Diária]),
              IF(HOUR(tblHorasAbr[Horas Trabalhadas Além Jornada])&gt;=VLOOKUP(LIMITE,tblLimiteHora[],Tabelas!$I$1,FALSE),
                    VLOOKUP(LIMITE,tblLimiteHora[],Tabelas!$J$1,FALSE),
                    tblHorasAbr[Horas Trabalhadas Além Jornada]),
              tblHorasAbr[Horas Trabalhadas Além Jornada]),
        tblHorasAbr[Horas Trabalhadas Além Jornada])+O37</f>
        <v>0</v>
      </c>
      <c r="P38" s="14" t="str">
        <f>IF(tblHorasAbr[Horas Trabalhadas Além Jornada]&lt;0,IF(OR(tblHorasAbr[Evento 
(1º Período)]="",tblHorasAbr[Evento 
(2º Período)]=""),tblHorasAbr[Horas Trabalhadas Além Jornada],""),"")</f>
        <v/>
      </c>
      <c r="Q38" s="14" t="str">
        <f>IF(tblHorasAbr[Jornada Diária]&lt;&gt;"",IF((N(tblHorasAbr[Jornada Diária])-ABS(N(tblHorasAbr[Horas Trabalhadas Além Jornada])))=0,1,""),"")</f>
        <v/>
      </c>
      <c r="R38" s="14" t="str">
        <f>IF(tblHorasAbr[Horas Trabalhadas Além Jornada]&gt;0,
IF(AND(VLOOKUP(TEXT(tblHorasAbr[Data],"dddd"),tblDiaUtil[],3,FALSE)="Sim",IF(tblHorasAbr[Evento 
(1º Período)]&lt;&gt;"",IF(VLOOKUP(tblHorasAbr[Evento 
(1º Período)],tblEvento[],Tabelas!$E$1,FALSE)="Sim",FALSE,TRUE),TRUE),IF(tblHorasAbr[Evento 
(2º Período)]&lt;&gt;"",IF(VLOOKUP(tblHorasAbr[Evento 
(2º Período)],tblEvento[],Tabelas!$E$1,FALSE)="Sim",FALSE,TRUE),TRUE)),
tblHorasAbr[Horas Trabalhadas Além Jornada],""),"")</f>
        <v/>
      </c>
      <c r="S38" s="14" t="str">
        <f>IF(tblHorasAbr[Horas Trabalhadas Além Jornada]&gt;0,
IF(OR(VLOOKUP(TEXT(tblHorasAbr[Data],"dddd"),tblDiaUtil[],3,FALSE)="Não",IF(tblHorasAbr[Evento 
(1º Período)]&lt;&gt;"",IF(VLOOKUP(tblHorasAbr[Evento 
(1º Período)],tblEvento[],Tabelas!$E$1,FALSE)="Sim",TRUE,FALSE),FALSE),IF(tblHorasAbr[Evento 
(2º Período)]&lt;&gt;"",IF(VLOOKUP(tblHorasAbr[Evento 
(2º Período)],tblEvento[],Tabelas!$E$1,FALSE)="Sim",TRUE,FALSE),FALSE)),
tblHorasAbr[Horas Trabalhadas Além Jornada],""),"")</f>
        <v/>
      </c>
      <c r="T38" s="15" t="str">
        <f>IF(tblHorasAbr[Evento 
(1º Período)]&lt;&gt;""," - " &amp;VLOOKUP(tblHorasAbr[Evento 
(1º Período)],tblEvento[],Tabelas!$F$1,FALSE),"")&amp;IF(AND(tblHorasAbr[Evento 
(2º Período)]&lt;&gt;"",tblHorasAbr[Evento 
(2º Período)]&lt;&gt;tblHorasAbr[Evento 
(1º Período)])," - " &amp; VLOOKUP(tblHorasAbr[Evento 
(2º Período)],tblEvento[],Tabelas!$F$1,FALSE),"")</f>
        <v/>
      </c>
    </row>
    <row r="39" spans="2:21" x14ac:dyDescent="0.25">
      <c r="B39" s="11" t="str">
        <f t="shared" si="0"/>
        <v/>
      </c>
      <c r="C39" s="12" t="str">
        <f>TEXT(tblHorasAbr[Data],"ddd")</f>
        <v/>
      </c>
      <c r="D39" s="25"/>
      <c r="E39" s="1"/>
      <c r="F39" s="1"/>
      <c r="G39" s="1"/>
      <c r="H39" s="1"/>
      <c r="I39" s="53"/>
      <c r="J39" s="4">
        <f>IF($B$6&lt;&gt;"",
IF(AND(tblHorasAbr[Evento 
(1º Período)]&lt;&gt;"",IF(ISERROR(VLOOKUP(tblHorasAbr[Evento 
(1º Período)],tblEvento[],Tabelas!$D$1,FALSE)),FALSE,VLOOKUP(tblHorasAbr[Evento 
(1º Período)],tblEvento[],Tabelas!$D$1,FALSE)="Sim")),
        IF(JORNADA_PERIODO_1&lt;&gt;"",
IF(VLOOKUP(tblHorasAbr[Dia],tblDiaUtil[[Abreviatura]:[1º Período]],3,FALSE)&gt;0,VLOOKUP(tblHorasAbr[Dia],tblDiaUtil[[Abreviatura]:[1º Período]],3,FALSE),JORNADA_PERIODO_1),
IF(VLOOKUP(tblHorasAbr[Dia],tblDiaUtil[[Abreviatura]:[1º Período]],3,FALSE)&gt;0,VLOOKUP(tblHorasAbr[Dia],tblDiaUtil[[Abreviatura]:[1º Período]],3,FALSE),JORNADA/2)),
        IF(AND(ISNUMBER(tblHorasAbr[Saída - 1 (Almoço)]),ISNUMBER(tblHorasAbr[Entrada - 1])),
              IF(OR(AND(tblHorasAbr[Evento 
(1º Período)]&lt;&gt;"",IF(ISERROR(VLOOKUP(tblHorasAbr[Evento 
(1º Período)],tblEvento[],Tabelas!$E$1,FALSE)),FALSE,VLOOKUP(tblHorasAbr[Evento 
(1º Período)],tblEvento[],Tabelas!$E$1,FALSE)="Sim")),IF(VLOOKUP(TEXT(tblHorasAbr[Data],"dddd"),tblDiaUtil[],2,FALSE)="Não",TRUE,FALSE)),
                   tblHorasAbr[Saída - 1 (Almoço)]-tblHorasAbr[Entrada - 1],
                   IF(OR(HOUR(tblHorasAbr[Saída - 1 (Almoço)]-tblHorasAbr[Entrada - 1])&gt;0,ROUND(tblHorasAbr[Saída - 1 (Almoço)]-tblHorasAbr[Entrada - 1],6)&gt;ROUND(CARENCIA,6)),
                          tblHorasAbr[Saída - 1 (Almoço)]-tblHorasAbr[Entrada - 1],
                          0)),
                    0)),0)</f>
        <v>0</v>
      </c>
      <c r="K39" s="4">
        <f>IF($B$6&lt;&gt;"",
IF(AND(tblHorasAbr[Evento 
(2º Período)]&lt;&gt;"",IF(ISERROR(VLOOKUP(tblHorasAbr[Evento 
(2º Período)],tblEvento[],Tabelas!$D$1,FALSE)),FALSE,VLOOKUP(tblHorasAbr[Evento 
(2º Período)],tblEvento[],Tabelas!$D$1,FALSE)="Sim")),
        IF(JORNADA_PERIODO_2&lt;&gt;"",
IF(VLOOKUP(tblHorasAbr[Dia],tblDiaUtil[[Abreviatura]:[2º Período]],4,FALSE)&gt;0,VLOOKUP(tblHorasAbr[Dia],tblDiaUtil[[Abreviatura]:[2º Período]],4,FALSE),JORNADA_PERIODO_2),
IF(VLOOKUP(tblHorasAbr[Dia],tblDiaUtil[[Abreviatura]:[2º Período]],4,FALSE)&gt;0,VLOOKUP(tblHorasAbr[Dia],tblDiaUtil[[Abreviatura]:[2º Período]],4,FALSE),JORNADA/2)),
        IF(AND(ISNUMBER(tblHorasAbr[Saída - 2]),ISNUMBER(tblHorasAbr[Entrada - 2 (Almoço)])),
              IF(OR(AND(tblHorasAbr[Evento 
(2º Período)]&lt;&gt;"",IF(ISERROR(VLOOKUP(tblHorasAbr[Evento 
(2º Período)],tblEvento[],Tabelas!$E$1,FALSE)),FALSE,VLOOKUP(tblHorasAbr[Evento 
(2º Período)],tblEvento[],Tabelas!$E$1,FALSE)="Sim")),IF(VLOOKUP(TEXT(tblHorasAbr[Data],"dddd"),tblDiaUtil[],2,FALSE)="Não",TRUE,FALSE)),
                   tblHorasAbr[Saída - 2]-tblHorasAbr[Entrada - 2 (Almoço)],
                   IF(OR(HOUR(tblHorasAbr[Saída - 2]-tblHorasAbr[Entrada - 2 (Almoço)])&gt;0,MINUTE(tblHorasAbr[Saída - 2]-tblHorasAbr[Entrada - 2 (Almoço)])&gt;CARENCIA),
                         tblHorasAbr[Saída - 2]-tblHorasAbr[Entrada - 2 (Almoço)],
                         0)),
       0)),0)</f>
        <v>0</v>
      </c>
      <c r="L39" s="4">
        <f>tblHorasAbr[Horas Trabalhadas (1º Período)]+tblHorasAbr[Horas Trabalhadas (2º Período)]</f>
        <v>0</v>
      </c>
      <c r="M39" s="4" t="str">
        <f>IF(tblHorasAbr[Data]&lt;&gt;"",
        IF(
AND(VLOOKUP(TEXT(tblHorasAbr[Data],"dddd"),tblDiaUtil[],3,FALSE)="Sim",IF(tblHorasAbr[Evento 
(1º Período)]&lt;&gt;"",IF(VLOOKUP(tblHorasAbr[Evento 
(1º Período)],tblEvento[],Tabelas!$E$1,FALSE)="Sim",FALSE,TRUE),TRUE),IF(tblHorasAbr[Evento 
(2º Período)]&lt;&gt;"",IF(VLOOKUP(tblHorasAbr[Evento 
(2º Período)],tblEvento[],Tabelas!$E$1,FALSE)="Sim",FALSE,TRUE),TRUE)),
              IF(VLOOKUP(tblHorasAbr[Dia],tblDiaUtil[[Abreviatura]:[1º Período]],3,FALSE)&gt;0,VLOOKUP(tblHorasAbr[Dia],tblDiaUtil[[Abreviatura]:[1º Período]],3,FALSE),JORNADA),
              ""),
         "")</f>
        <v/>
      </c>
      <c r="N39" s="14">
        <f>IF(OR(tblHorasAbr[Horas Trabalhadas (1º Período)]&lt;&gt;0,tblHorasAbr[Horas Trabalhadas (2º Período)]&lt;&gt;0),
        IF(ISNUMBER(tblHorasAbr[Jornada Diária]),
              IF(tblHorasAbr[Jornada Diária]&gt;(tblHorasAbr[Horas Trabalhadas (2º Período)]+tblHorasAbr[Horas Trabalhadas (1º Período)]),
                     IF(ROUND((tblHorasAbr[Jornada Diária]-(tblHorasAbr[Horas Trabalhadas (2º Período)]+tblHorasAbr[Horas Trabalhadas (1º Período)])),6)&gt;ROUND(CARENCIA,6),
                           -tblHorasAbr[Jornada Diária]+(tblHorasAbr[Horas Trabalhadas (2º Período)]+tblHorasAbr[Horas Trabalhadas (1º Período)]),
                           0),
                      IF(ROUND((tblHorasAbr[Jornada Diária]-(tblHorasAbr[Horas Trabalhadas (2º Período)]+tblHorasAbr[Horas Trabalhadas (1º Período)])),6)&lt;ROUND(-CARENCIA,6),
                           -tblHorasAbr[Jornada Diária]+(tblHorasAbr[Horas Trabalhadas (2º Período)]+tblHorasAbr[Horas Trabalhadas (1º Período)]),
                           0)),
              tblHorasAbr[Horas Trabalhadas (2º Período)]+tblHorasAbr[Horas Trabalhadas (1º Período)]),
         IF(AND(IF(ISERROR(VLOOKUP(tblHorasAbr[Evento 
(1º Período)],tblEvento[[Evento]:[Libera o Período]],4,FALSE)),FALSE,IF(VLOOKUP(tblHorasAbr[Evento 
(1º Período)],tblEvento[[Evento]:[Libera o Período]],4,FALSE)="Não",TRUE,FALSE)),IF(ISERROR(VLOOKUP(tblHorasAbr[Evento 
(2º Período)],tblEvento[[Evento]:[Libera o Período]],4,FALSE)),FALSE,IF(VLOOKUP(tblHorasAbr[Evento 
(2º Período)],tblEvento[[Evento]:[Libera o Período]],4,FALSE)="Não",TRUE,FALSE))),
-IF(VLOOKUP(tblHorasAbr[Dia],tblDiaUtil[[Abreviatura]:[Total Jornada]],5,FALSE)&lt;&gt;"",VLOOKUP(tblHorasAbr[Dia],tblDiaUtil[[Abreviatura]:[Total Jornada]],5,FALSE),JORNADA),
IF(IF(ISERROR(VLOOKUP(tblHorasAbr[Evento 
(1º Período)],tblEvento[[Evento]:[Libera o Período]],4,FALSE)),FALSE,
IF(VLOOKUP(tblHorasAbr[Evento 
(1º Período)],tblEvento[[Evento]:[Libera o Período]],4,FALSE)="Não",TRUE,FALSE)
),
-IF(VLOOKUP(tblHorasAbr[Dia],tblDiaUtil[[Abreviatura]:[1º Período]],3,FALSE)&lt;&gt;"",VLOOKUP(tblHorasAbr[Dia],tblDiaUtil[[Abreviatura]:[1º Período]],3,FALSE),JORNADA_PERIODO_1),
IF(IF(ISERROR(VLOOKUP(tblHorasAbr[Evento 
(2º Período)],tblEvento[[Evento]:[Libera o Período]],4,FALSE)),FALSE,IF(VLOOKUP(tblHorasAbr[Evento 
(2º Período)],tblEvento[[Evento]:[Libera o Período]],4,FALSE)="Não",TRUE,FALSE)),
-IF(VLOOKUP(tblHorasAbr[Dia],tblDiaUtil[[Abreviatura]:[2º Período]],4,FALSE)&lt;&gt;"",VLOOKUP(tblHorasAbr[Dia],tblDiaUtil[[Abreviatura]:[2º Período]],4,FALSE),JORNADA_PERIODO_2),0))))</f>
        <v>0</v>
      </c>
      <c r="O39" s="14">
        <f>IF(tblHorasAbr[Horas Trabalhadas Além Jornada]&gt;0,
        IF(ISNUMBER(tblHorasAbr[Jornada Diária]),
              IF(HOUR(tblHorasAbr[Horas Trabalhadas Além Jornada])&gt;=VLOOKUP(LIMITE,tblLimiteHora[],Tabelas!$I$1,FALSE),
                    VLOOKUP(LIMITE,tblLimiteHora[],Tabelas!$J$1,FALSE),
                    tblHorasAbr[Horas Trabalhadas Além Jornada]),
              tblHorasAbr[Horas Trabalhadas Além Jornada]),
        tblHorasAbr[Horas Trabalhadas Além Jornada])+O38</f>
        <v>0</v>
      </c>
      <c r="P39" s="14" t="str">
        <f>IF(tblHorasAbr[Horas Trabalhadas Além Jornada]&lt;0,IF(OR(tblHorasAbr[Evento 
(1º Período)]="",tblHorasAbr[Evento 
(2º Período)]=""),tblHorasAbr[Horas Trabalhadas Além Jornada],""),"")</f>
        <v/>
      </c>
      <c r="Q39" s="14" t="str">
        <f>IF(tblHorasAbr[Jornada Diária]&lt;&gt;"",IF((N(tblHorasAbr[Jornada Diária])-ABS(N(tblHorasAbr[Horas Trabalhadas Além Jornada])))=0,1,""),"")</f>
        <v/>
      </c>
      <c r="R39" s="14" t="str">
        <f>IF(tblHorasAbr[Horas Trabalhadas Além Jornada]&gt;0,
IF(AND(VLOOKUP(TEXT(tblHorasAbr[Data],"dddd"),tblDiaUtil[],3,FALSE)="Sim",IF(tblHorasAbr[Evento 
(1º Período)]&lt;&gt;"",IF(VLOOKUP(tblHorasAbr[Evento 
(1º Período)],tblEvento[],Tabelas!$E$1,FALSE)="Sim",FALSE,TRUE),TRUE),IF(tblHorasAbr[Evento 
(2º Período)]&lt;&gt;"",IF(VLOOKUP(tblHorasAbr[Evento 
(2º Período)],tblEvento[],Tabelas!$E$1,FALSE)="Sim",FALSE,TRUE),TRUE)),
tblHorasAbr[Horas Trabalhadas Além Jornada],""),"")</f>
        <v/>
      </c>
      <c r="S39" s="14" t="str">
        <f>IF(tblHorasAbr[Horas Trabalhadas Além Jornada]&gt;0,
IF(OR(VLOOKUP(TEXT(tblHorasAbr[Data],"dddd"),tblDiaUtil[],3,FALSE)="Não",IF(tblHorasAbr[Evento 
(1º Período)]&lt;&gt;"",IF(VLOOKUP(tblHorasAbr[Evento 
(1º Período)],tblEvento[],Tabelas!$E$1,FALSE)="Sim",TRUE,FALSE),FALSE),IF(tblHorasAbr[Evento 
(2º Período)]&lt;&gt;"",IF(VLOOKUP(tblHorasAbr[Evento 
(2º Período)],tblEvento[],Tabelas!$E$1,FALSE)="Sim",TRUE,FALSE),FALSE)),
tblHorasAbr[Horas Trabalhadas Além Jornada],""),"")</f>
        <v/>
      </c>
      <c r="T39" s="15" t="str">
        <f>IF(tblHorasAbr[Evento 
(1º Período)]&lt;&gt;""," - " &amp;VLOOKUP(tblHorasAbr[Evento 
(1º Período)],tblEvento[],Tabelas!$F$1,FALSE),"")&amp;IF(AND(tblHorasAbr[Evento 
(2º Período)]&lt;&gt;"",tblHorasAbr[Evento 
(2º Período)]&lt;&gt;tblHorasAbr[Evento 
(1º Período)])," - " &amp; VLOOKUP(tblHorasAbr[Evento 
(2º Período)],tblEvento[],Tabelas!$F$1,FALSE),"")</f>
        <v/>
      </c>
    </row>
    <row r="40" spans="2:21" ht="5.0999999999999996" customHeight="1" x14ac:dyDescent="0.25">
      <c r="T40" s="24"/>
      <c r="U40" s="24"/>
    </row>
    <row r="41" spans="2:21" ht="9.9499999999999993" customHeight="1" x14ac:dyDescent="0.25">
      <c r="T41" s="35" t="s">
        <v>99</v>
      </c>
      <c r="U41" s="24"/>
    </row>
    <row r="42" spans="2:21" hidden="1" x14ac:dyDescent="0.25">
      <c r="T42" s="24"/>
      <c r="U42" s="24"/>
    </row>
    <row r="43" spans="2:21" hidden="1" x14ac:dyDescent="0.25">
      <c r="T43" s="24"/>
      <c r="U43" s="24"/>
    </row>
    <row r="44" spans="2:21" hidden="1" x14ac:dyDescent="0.25">
      <c r="T44" s="24"/>
      <c r="U44" s="24"/>
    </row>
    <row r="45" spans="2:21" hidden="1" x14ac:dyDescent="0.25"/>
    <row r="46" spans="2:21" x14ac:dyDescent="0.25"/>
    <row r="47" spans="2:21" x14ac:dyDescent="0.25"/>
  </sheetData>
  <sheetProtection algorithmName="SHA-512" hashValue="RXA3dpZ4mSypobTooTkwGO35MiK6irwJWVy+DsFlIJLjcP5amQwueLMtGmw5JwMIv2TArOKEsOG4zJWl+k4dFQ==" saltValue="ExdCrs37R/pMqfuAV24m9A==" spinCount="100000" sheet="1" formatCells="0" formatColumns="0" formatRows="0" selectLockedCells="1" autoFilter="0" pivotTables="0"/>
  <dataConsolidate/>
  <mergeCells count="8">
    <mergeCell ref="O1:T4"/>
    <mergeCell ref="G2:I2"/>
    <mergeCell ref="H3:I3"/>
    <mergeCell ref="H4:I4"/>
    <mergeCell ref="B5:C5"/>
    <mergeCell ref="O5:O6"/>
    <mergeCell ref="B6:C6"/>
    <mergeCell ref="P6:S6"/>
  </mergeCells>
  <dataValidations count="5">
    <dataValidation type="whole" allowBlank="1" showInputMessage="1" showErrorMessage="1" errorTitle="Erro" error="Dia inexistente" promptTitle="Digite o primeiro dia do mês" prompt="Somente utilize esse campo caso o dia seja diferente de 1." sqref="E6">
      <formula1>1</formula1>
      <formula2>31</formula2>
    </dataValidation>
    <dataValidation type="list" allowBlank="1" showInputMessage="1" showErrorMessage="1" errorTitle="Aviso" error="Erro na inserção de dados:_x000a__x000a_'Evento Inválido'_x000a__x000a_Selecione um Evento válido na Lista" promptTitle="Evento" prompt="_x000a_Selecione um Evento na Lista" sqref="D9:D39 I9:I39">
      <formula1>lstEvento</formula1>
    </dataValidation>
    <dataValidation type="list" allowBlank="1" showErrorMessage="1" errorTitle="Mês Inválido" error="Selecione na lista um mês válido" sqref="B6:C6">
      <formula1>lst_Mes</formula1>
    </dataValidation>
    <dataValidation type="whole" errorStyle="warning" allowBlank="1" showInputMessage="1" showErrorMessage="1" errorTitle="Aviso" error="Ano fora do período estipulado" promptTitle="Digite o ano com 4 dígitos" prompt="_x000a_ex. 2016_x000a__x000a_Entre: 1904 a 9999" sqref="D6">
      <formula1>999</formula1>
      <formula2>9999</formula2>
    </dataValidation>
    <dataValidation type="time" allowBlank="1" showInputMessage="1" showErrorMessage="1" errorTitle="Aviso" error="Erro na inserção de dados:_x000a__x000a_'Hora Inválida'_x000a__x000a_Favor inserir uma hora válida no formato: hh:mm (ex. 12:00)" sqref="E9:H39">
      <formula1>0</formula1>
      <formula2>0.999305555555556</formula2>
    </dataValidation>
  </dataValidations>
  <printOptions verticalCentered="1"/>
  <pageMargins left="0.51181102362204722" right="0.51181102362204722" top="0.78740157480314965" bottom="0.78740157480314965" header="0.31496062992125984" footer="0.31496062992125984"/>
  <pageSetup paperSize="9" scale="82" orientation="landscape" r:id="rId1"/>
  <headerFooter>
    <oddHeader>&amp;R&amp;D</oddHeader>
    <oddFooter>&amp;L.e&amp;RPágina &amp;P de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0" id="{61E7509D-2379-404D-88E3-C67A7CC702BF}">
            <xm:f>IF(OR(IF(ISERROR(VLOOKUP($C9,Config!$C$1:$D$18,2,FALSE)),FALSE,IF(VLOOKUP($C9,Config!$C$1:$D$18,2,FALSE)="Não",TRUE,FALSE)),IF(ISERROR(VLOOKUP($D9,Tabelas!$A$3:$B$51,2,FALSE)),FALSE,IF(VLOOKUP($D9,Tabelas!$A$3:$B$51,2,FALSE)="Sim",TRUE,FALSE)),IF(ISERROR(VLOOKUP($I9,Tabelas!$A$3:$B$51,2,FALSE)),FALSE,IF(VLOOKUP($I9,Tabelas!$A$3:$B$51,2,FALSE)="Sim",TRUE,FALSE))),TRUE,FALSE)</xm:f>
            <x14:dxf>
              <fill>
                <patternFill>
                  <bgColor rgb="FFFFFFCC"/>
                </patternFill>
              </fill>
            </x14:dxf>
          </x14:cfRule>
          <xm:sqref>B9:D9 I9:T9</xm:sqref>
        </x14:conditionalFormatting>
        <x14:conditionalFormatting xmlns:xm="http://schemas.microsoft.com/office/excel/2006/main">
          <x14:cfRule type="expression" priority="9" id="{E6741DF2-6AC1-4B4A-8051-36182C350213}">
            <xm:f>IF(IF(ISERROR(VLOOKUP($D9,Tabelas!$A$3:$C$51,3,FALSE)),FALSE,VLOOKUP($D9,Tabelas!$A$3:$C$51,3,FALSE)="Sim"),TRUE,FALSE)</xm:f>
            <x14:dxf>
              <fill>
                <patternFill>
                  <bgColor rgb="FFFFD1D2"/>
                </patternFill>
              </fill>
            </x14:dxf>
          </x14:cfRule>
          <xm:sqref>J9 D9</xm:sqref>
        </x14:conditionalFormatting>
        <x14:conditionalFormatting xmlns:xm="http://schemas.microsoft.com/office/excel/2006/main">
          <x14:cfRule type="expression" priority="11" id="{3D934DE6-0BF5-4E98-BF5D-096C162EC779}">
            <xm:f>IF(IF(ISERROR(VLOOKUP($I9,Tabelas!$A$3:$C$51,3,FALSE)),FALSE,VLOOKUP($I9,Tabelas!$A$3:$C$51,3,FALSE)="Sim"),TRUE,FALSE)</xm:f>
            <x14:dxf>
              <fill>
                <patternFill>
                  <bgColor rgb="FFFFD5D6"/>
                </patternFill>
              </fill>
            </x14:dxf>
          </x14:cfRule>
          <xm:sqref>K9:M9 I9</xm:sqref>
        </x14:conditionalFormatting>
        <x14:conditionalFormatting xmlns:xm="http://schemas.microsoft.com/office/excel/2006/main">
          <x14:cfRule type="expression" priority="8" id="{833ADBBF-0A81-4BF5-A135-54726D7CFA6D}">
            <xm:f>IF(OR(IF(ISERROR(VLOOKUP($C7,Config!$C$1:$D$18,2,FALSE)),FALSE,IF(VLOOKUP($C7,Config!$C$1:$D$18,2,FALSE)="Não",TRUE,FALSE)),IF(ISERROR(VLOOKUP($D7,Tabelas!$A$3:$B$51,2,FALSE)),FALSE,IF(VLOOKUP($D7,Tabelas!$A$3:$B$51,2,FALSE)="Sim",TRUE,FALSE)),IF(ISERROR(VLOOKUP($I7,Tabelas!$A$3:$B$51,2,FALSE)),FALSE,IF(VLOOKUP($I7,Tabelas!$A$3:$B$51,2,FALSE)="Sim",TRUE,FALSE))),TRUE,FALSE)</xm:f>
            <x14:dxf>
              <fill>
                <patternFill>
                  <bgColor rgb="FFFFFFCC"/>
                </patternFill>
              </fill>
            </x14:dxf>
          </x14:cfRule>
          <xm:sqref>P7:S7</xm:sqref>
        </x14:conditionalFormatting>
        <x14:conditionalFormatting xmlns:xm="http://schemas.microsoft.com/office/excel/2006/main">
          <x14:cfRule type="expression" priority="6" id="{0CCECDB3-C675-4715-8108-565D257DEA58}">
            <xm:f>IF(OR(IF(ISERROR(VLOOKUP($C10,Config!$C$1:$D$18,2,FALSE)),FALSE,IF(VLOOKUP($C10,Config!$C$1:$D$18,2,FALSE)="Não",TRUE,FALSE)),IF(ISERROR(VLOOKUP($D10,Tabelas!$A$3:$B$51,2,FALSE)),FALSE,IF(VLOOKUP($D10,Tabelas!$A$3:$B$51,2,FALSE)="Sim",TRUE,FALSE)),IF(ISERROR(VLOOKUP($I10,Tabelas!$A$3:$B$51,2,FALSE)),FALSE,IF(VLOOKUP($I10,Tabelas!$A$3:$B$51,2,FALSE)="Sim",TRUE,FALSE))),TRUE,FALSE)</xm:f>
            <x14:dxf>
              <fill>
                <patternFill>
                  <bgColor rgb="FFFFFFCC"/>
                </patternFill>
              </fill>
            </x14:dxf>
          </x14:cfRule>
          <xm:sqref>B10:T39</xm:sqref>
        </x14:conditionalFormatting>
        <x14:conditionalFormatting xmlns:xm="http://schemas.microsoft.com/office/excel/2006/main">
          <x14:cfRule type="expression" priority="5" id="{768BFA9D-02B5-4C27-A2C7-093412368B01}">
            <xm:f>IF(IF(ISERROR(VLOOKUP($D10,Tabelas!$A$3:$C$51,3,FALSE)),FALSE,VLOOKUP($D10,Tabelas!$A$3:$C$51,3,FALSE)="Sim"),TRUE,FALSE)</xm:f>
            <x14:dxf>
              <fill>
                <patternFill>
                  <bgColor rgb="FFFFD1D2"/>
                </patternFill>
              </fill>
            </x14:dxf>
          </x14:cfRule>
          <xm:sqref>J10:J39 D10:F39</xm:sqref>
        </x14:conditionalFormatting>
        <x14:conditionalFormatting xmlns:xm="http://schemas.microsoft.com/office/excel/2006/main">
          <x14:cfRule type="expression" priority="7" id="{76E2E238-2736-472E-B2DB-775DDF373BBA}">
            <xm:f>IF(IF(ISERROR(VLOOKUP($I10,Tabelas!$A$3:$C$51,3,FALSE)),FALSE,VLOOKUP($I10,Tabelas!$A$3:$C$51,3,FALSE)="Sim"),TRUE,FALSE)</xm:f>
            <x14:dxf>
              <fill>
                <patternFill>
                  <bgColor rgb="FFFFD5D6"/>
                </patternFill>
              </fill>
            </x14:dxf>
          </x14:cfRule>
          <xm:sqref>K10:M39 G10:I39</xm:sqref>
        </x14:conditionalFormatting>
        <x14:conditionalFormatting xmlns:xm="http://schemas.microsoft.com/office/excel/2006/main">
          <x14:cfRule type="expression" priority="4" id="{3678236B-08B9-405F-BEB6-95687F52B593}">
            <xm:f>IF(OR(IF(ISERROR(VLOOKUP($C7,Config!$C$1:$D$18,2,FALSE)),FALSE,IF(VLOOKUP($C7,Config!$C$1:$D$18,2,FALSE)="Não",TRUE,FALSE)),IF(ISERROR(VLOOKUP($D7,Tabelas!$A$3:$B$51,2,FALSE)),FALSE,IF(VLOOKUP($D7,Tabelas!$A$3:$B$51,2,FALSE)="Sim",TRUE,FALSE)),IF(ISERROR(VLOOKUP($I7,Tabelas!$A$3:$B$51,2,FALSE)),FALSE,IF(VLOOKUP($I7,Tabelas!$A$3:$B$51,2,FALSE)="Sim",TRUE,FALSE))),TRUE,FALSE)</xm:f>
            <x14:dxf>
              <fill>
                <patternFill>
                  <bgColor rgb="FFFFFFCC"/>
                </patternFill>
              </fill>
            </x14:dxf>
          </x14:cfRule>
          <xm:sqref>O7</xm:sqref>
        </x14:conditionalFormatting>
        <x14:conditionalFormatting xmlns:xm="http://schemas.microsoft.com/office/excel/2006/main">
          <x14:cfRule type="expression" priority="2" id="{CEEF2D23-A00F-4AE5-852E-3AF957721118}">
            <xm:f>IF(OR(IF(ISERROR(VLOOKUP($C9,Config!$C$1:$D$18,2,FALSE)),FALSE,IF(VLOOKUP($C9,Config!$C$1:$D$18,2,FALSE)="Não",TRUE,FALSE)),IF(ISERROR(VLOOKUP($D9,Tabelas!$A$3:$B$51,2,FALSE)),FALSE,IF(VLOOKUP($D9,Tabelas!$A$3:$B$51,2,FALSE)="Sim",TRUE,FALSE)),IF(ISERROR(VLOOKUP($I9,Tabelas!$A$3:$B$51,2,FALSE)),FALSE,IF(VLOOKUP($I9,Tabelas!$A$3:$B$51,2,FALSE)="Sim",TRUE,FALSE))),TRUE,FALSE)</xm:f>
            <x14:dxf>
              <fill>
                <patternFill>
                  <bgColor rgb="FFFFFFCC"/>
                </patternFill>
              </fill>
            </x14:dxf>
          </x14:cfRule>
          <xm:sqref>E9:H9</xm:sqref>
        </x14:conditionalFormatting>
        <x14:conditionalFormatting xmlns:xm="http://schemas.microsoft.com/office/excel/2006/main">
          <x14:cfRule type="expression" priority="1" id="{DE4C6665-4C9D-4D7E-9E58-B924D1F52525}">
            <xm:f>IF(IF(ISERROR(VLOOKUP($D9,Tabelas!$A$3:$C$51,3,FALSE)),FALSE,VLOOKUP($D9,Tabelas!$A$3:$C$51,3,FALSE)="Sim"),TRUE,FALSE)</xm:f>
            <x14:dxf>
              <fill>
                <patternFill>
                  <bgColor rgb="FFFFD1D2"/>
                </patternFill>
              </fill>
            </x14:dxf>
          </x14:cfRule>
          <xm:sqref>E9:F9</xm:sqref>
        </x14:conditionalFormatting>
        <x14:conditionalFormatting xmlns:xm="http://schemas.microsoft.com/office/excel/2006/main">
          <x14:cfRule type="expression" priority="3" id="{FA9BA147-349D-4135-9206-3392C27B6278}">
            <xm:f>IF(IF(ISERROR(VLOOKUP($I9,Tabelas!$A$3:$C$51,3,FALSE)),FALSE,VLOOKUP($I9,Tabelas!$A$3:$C$51,3,FALSE)="Sim"),TRUE,FALSE)</xm:f>
            <x14:dxf>
              <fill>
                <patternFill>
                  <bgColor rgb="FFFFD5D6"/>
                </patternFill>
              </fill>
            </x14:dxf>
          </x14:cfRule>
          <xm:sqref>G9:H9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nMaio">
    <tabColor theme="4" tint="0.59999389629810485"/>
    <pageSetUpPr fitToPage="1"/>
  </sheetPr>
  <dimension ref="A1:AC47"/>
  <sheetViews>
    <sheetView showGridLines="0" workbookViewId="0">
      <pane xSplit="1" ySplit="8" topLeftCell="B9" activePane="bottomRight" state="frozen"/>
      <selection activeCell="H10" sqref="H10"/>
      <selection pane="topRight" activeCell="H10" sqref="H10"/>
      <selection pane="bottomLeft" activeCell="H10" sqref="H10"/>
      <selection pane="bottomRight" activeCell="E9" sqref="E9"/>
    </sheetView>
  </sheetViews>
  <sheetFormatPr defaultColWidth="0" defaultRowHeight="15" zeroHeight="1" x14ac:dyDescent="0.25"/>
  <cols>
    <col min="1" max="1" width="6.7109375" style="5" customWidth="1"/>
    <col min="2" max="2" width="10.7109375" style="5" customWidth="1"/>
    <col min="3" max="3" width="10" style="5" customWidth="1"/>
    <col min="4" max="9" width="12.7109375" style="5" customWidth="1"/>
    <col min="10" max="14" width="12.7109375" style="5" hidden="1" customWidth="1"/>
    <col min="15" max="15" width="12.7109375" style="5" customWidth="1"/>
    <col min="16" max="19" width="12.7109375" style="5" hidden="1" customWidth="1"/>
    <col min="20" max="20" width="38.42578125" style="5" customWidth="1"/>
    <col min="21" max="21" width="2.7109375" style="5" customWidth="1"/>
    <col min="22" max="22" width="9.140625" style="5" hidden="1" customWidth="1"/>
    <col min="23" max="23" width="12.42578125" style="5" hidden="1" customWidth="1"/>
    <col min="24" max="25" width="0" style="5" hidden="1" customWidth="1"/>
    <col min="26" max="26" width="9.140625" style="5" hidden="1" customWidth="1"/>
    <col min="27" max="27" width="12.42578125" style="5" hidden="1" customWidth="1"/>
    <col min="28" max="29" width="0" style="5" hidden="1" customWidth="1"/>
    <col min="30" max="16384" width="9.140625" style="5" hidden="1"/>
  </cols>
  <sheetData>
    <row r="1" spans="2:25" ht="15" customHeight="1" x14ac:dyDescent="0.25">
      <c r="G1" s="48" t="s">
        <v>58</v>
      </c>
      <c r="O1" s="83" t="str">
        <f>"*Limite de horas: " &amp; LIMITE &amp; "; e 
*Contabiliza a partir de " &amp; TEXT(CARENCIA, "hh:mm") &amp; " hora(s) (para mais ou para menos);
*Caso tenha Atestado em um dos períodos, o que ultrapassar de 4:00 horas de trabalho contabiliza hora positiva."</f>
        <v>*Limite de horas: 2h diárias; e 
*Contabiliza a partir de 00:00 hora(s) (para mais ou para menos);
*Caso tenha Atestado em um dos períodos, o que ultrapassar de 4:00 horas de trabalho contabiliza hora positiva.</v>
      </c>
      <c r="P1" s="83"/>
      <c r="Q1" s="83"/>
      <c r="R1" s="83"/>
      <c r="S1" s="83"/>
      <c r="T1" s="83"/>
    </row>
    <row r="2" spans="2:25" ht="15" customHeight="1" thickBot="1" x14ac:dyDescent="0.3">
      <c r="B2" s="6"/>
      <c r="G2" s="90"/>
      <c r="H2" s="91"/>
      <c r="I2" s="91"/>
      <c r="N2" s="24"/>
      <c r="O2" s="83"/>
      <c r="P2" s="83"/>
      <c r="Q2" s="83"/>
      <c r="R2" s="83"/>
      <c r="S2" s="83"/>
      <c r="T2" s="83"/>
    </row>
    <row r="3" spans="2:25" ht="15" customHeight="1" x14ac:dyDescent="0.25">
      <c r="B3" s="6"/>
      <c r="G3" s="48" t="s">
        <v>96</v>
      </c>
      <c r="H3" s="92" t="s">
        <v>97</v>
      </c>
      <c r="I3" s="93"/>
      <c r="N3" s="24"/>
      <c r="O3" s="83"/>
      <c r="P3" s="83"/>
      <c r="Q3" s="83"/>
      <c r="R3" s="83"/>
      <c r="S3" s="83"/>
      <c r="T3" s="83"/>
    </row>
    <row r="4" spans="2:25" ht="15" customHeight="1" thickBot="1" x14ac:dyDescent="0.3">
      <c r="B4" s="6"/>
      <c r="G4" s="52"/>
      <c r="H4" s="84"/>
      <c r="I4" s="85"/>
      <c r="N4" s="24"/>
      <c r="O4" s="83"/>
      <c r="P4" s="83"/>
      <c r="Q4" s="83"/>
      <c r="R4" s="83"/>
      <c r="S4" s="83"/>
      <c r="T4" s="83"/>
    </row>
    <row r="5" spans="2:25" ht="15" customHeight="1" x14ac:dyDescent="0.25">
      <c r="B5" s="86" t="s">
        <v>59</v>
      </c>
      <c r="C5" s="87"/>
      <c r="D5" s="48" t="s">
        <v>62</v>
      </c>
      <c r="E5" s="48" t="s">
        <v>88</v>
      </c>
      <c r="G5" s="7"/>
      <c r="N5" s="24"/>
      <c r="O5" s="94" t="s">
        <v>100</v>
      </c>
      <c r="P5" s="34" t="s">
        <v>76</v>
      </c>
      <c r="Q5" s="34" t="s">
        <v>76</v>
      </c>
      <c r="R5" s="34" t="s">
        <v>76</v>
      </c>
      <c r="S5" s="34" t="s">
        <v>76</v>
      </c>
      <c r="T5" s="24"/>
    </row>
    <row r="6" spans="2:25" ht="16.5" customHeight="1" thickBot="1" x14ac:dyDescent="0.3">
      <c r="B6" s="88" t="s">
        <v>67</v>
      </c>
      <c r="C6" s="89"/>
      <c r="D6" s="30" t="str">
        <f>IF(Janeiro!D6&lt;&gt;"",Janeiro!D6,"")</f>
        <v/>
      </c>
      <c r="E6" s="30" t="str">
        <f>IF(Janeiro!E6&lt;&gt;"",Janeiro!E6,"")</f>
        <v/>
      </c>
      <c r="F6" s="32" t="str">
        <f>IF(ISERROR(DATEVALUE(IF(E6&lt;&gt;"",E6,1)&amp;"-"&amp;B6&amp;"-"&amp;D6)),"",DATEVALUE(IF(E6&lt;&gt;"",E6,1)&amp;"-"&amp;B6&amp;"-"&amp;D6))</f>
        <v/>
      </c>
      <c r="N6" s="24"/>
      <c r="O6" s="95"/>
      <c r="P6" s="81" t="s">
        <v>95</v>
      </c>
      <c r="Q6" s="82"/>
      <c r="R6" s="82"/>
      <c r="S6" s="82"/>
      <c r="T6" s="24"/>
    </row>
    <row r="7" spans="2:25" x14ac:dyDescent="0.25">
      <c r="E7" s="8"/>
      <c r="F7" s="8"/>
      <c r="G7" s="8"/>
      <c r="H7" s="8"/>
      <c r="I7" s="8"/>
      <c r="J7" s="34" t="s">
        <v>76</v>
      </c>
      <c r="K7" s="34" t="s">
        <v>76</v>
      </c>
      <c r="L7" s="34" t="s">
        <v>76</v>
      </c>
      <c r="M7" s="34" t="s">
        <v>76</v>
      </c>
      <c r="N7" s="34" t="s">
        <v>76</v>
      </c>
      <c r="O7" s="45">
        <f>Abril!O39</f>
        <v>0</v>
      </c>
      <c r="P7" s="45">
        <f>SUM(tblHorasMai[Atrasos
(horas)])</f>
        <v>0</v>
      </c>
      <c r="Q7" s="46">
        <f>SUM(tblHorasMai[Faltas
(dias)])</f>
        <v>0</v>
      </c>
      <c r="R7" s="45">
        <f>SUM(tblHorasMai[Hora Extra Normal])</f>
        <v>0</v>
      </c>
      <c r="S7" s="45">
        <f>SUM(tblHorasMai[Hora Extra 
Especial])</f>
        <v>0</v>
      </c>
      <c r="T7" s="24"/>
    </row>
    <row r="8" spans="2:25" s="9" customFormat="1" ht="45" customHeight="1" x14ac:dyDescent="0.25">
      <c r="B8" s="9" t="s">
        <v>0</v>
      </c>
      <c r="C8" s="9" t="s">
        <v>1</v>
      </c>
      <c r="D8" s="10" t="s">
        <v>51</v>
      </c>
      <c r="E8" s="9" t="s">
        <v>3</v>
      </c>
      <c r="F8" s="9" t="s">
        <v>4</v>
      </c>
      <c r="G8" s="9" t="s">
        <v>5</v>
      </c>
      <c r="H8" s="9" t="s">
        <v>6</v>
      </c>
      <c r="I8" s="10" t="s">
        <v>52</v>
      </c>
      <c r="J8" s="9" t="s">
        <v>35</v>
      </c>
      <c r="K8" s="9" t="s">
        <v>36</v>
      </c>
      <c r="L8" s="9" t="s">
        <v>55</v>
      </c>
      <c r="M8" s="9" t="s">
        <v>48</v>
      </c>
      <c r="N8" s="9" t="s">
        <v>50</v>
      </c>
      <c r="O8" s="9" t="s">
        <v>49</v>
      </c>
      <c r="P8" s="9" t="s">
        <v>91</v>
      </c>
      <c r="Q8" s="9" t="s">
        <v>92</v>
      </c>
      <c r="R8" s="9" t="s">
        <v>93</v>
      </c>
      <c r="S8" s="9" t="s">
        <v>94</v>
      </c>
      <c r="T8" s="9" t="s">
        <v>46</v>
      </c>
      <c r="W8" s="26"/>
    </row>
    <row r="9" spans="2:25" x14ac:dyDescent="0.25">
      <c r="B9" s="11" t="str">
        <f>IF(ISERROR(F6),"",F6)</f>
        <v/>
      </c>
      <c r="C9" s="12" t="str">
        <f>TEXT(tblHorasMai[Data],"ddd")</f>
        <v/>
      </c>
      <c r="D9" s="25"/>
      <c r="E9" s="1"/>
      <c r="F9" s="1"/>
      <c r="G9" s="1"/>
      <c r="H9" s="1"/>
      <c r="I9" s="53"/>
      <c r="J9" s="4">
        <f>IF($B$6&lt;&gt;"",
IF(AND(tblHorasMai[Evento 
(1º Período)]&lt;&gt;"",IF(ISERROR(VLOOKUP(tblHorasMai[Evento 
(1º Período)],tblEvento[],Tabelas!$D$1,FALSE)),FALSE,VLOOKUP(tblHorasMai[Evento 
(1º Período)],tblEvento[],Tabelas!$D$1,FALSE)="Sim")),
        IF(JORNADA_PERIODO_1&lt;&gt;"",
IF(VLOOKUP(tblHorasMai[Dia],tblDiaUtil[[Abreviatura]:[1º Período]],3,FALSE)&gt;0,VLOOKUP(tblHorasMai[Dia],tblDiaUtil[[Abreviatura]:[1º Período]],3,FALSE),JORNADA_PERIODO_1),
IF(VLOOKUP(tblHorasMai[Dia],tblDiaUtil[[Abreviatura]:[1º Período]],3,FALSE)&gt;0,VLOOKUP(tblHorasMai[Dia],tblDiaUtil[[Abreviatura]:[1º Período]],3,FALSE),JORNADA/2)),
        IF(AND(ISNUMBER(tblHorasMai[Saída - 1 (Almoço)]),ISNUMBER(tblHorasMai[Entrada - 1])),
              IF(OR(AND(tblHorasMai[Evento 
(1º Período)]&lt;&gt;"",IF(ISERROR(VLOOKUP(tblHorasMai[Evento 
(1º Período)],tblEvento[],Tabelas!$E$1,FALSE)),FALSE,VLOOKUP(tblHorasMai[Evento 
(1º Período)],tblEvento[],Tabelas!$E$1,FALSE)="Sim")),IF(VLOOKUP(TEXT(tblHorasMai[Data],"dddd"),tblDiaUtil[],2,FALSE)="Não",TRUE,FALSE)),
                   tblHorasMai[Saída - 1 (Almoço)]-tblHorasMai[Entrada - 1],
                   IF(OR(HOUR(tblHorasMai[Saída - 1 (Almoço)]-tblHorasMai[Entrada - 1])&gt;0,ROUND(tblHorasMai[Saída - 1 (Almoço)]-tblHorasMai[Entrada - 1],6)&gt;ROUND(CARENCIA,6)),
                          tblHorasMai[Saída - 1 (Almoço)]-tblHorasMai[Entrada - 1],
                          0)),
                    0)),0)</f>
        <v>0</v>
      </c>
      <c r="K9" s="4">
        <f>IF($B$6&lt;&gt;"",
IF(AND(tblHorasMai[Evento 
(2º Período)]&lt;&gt;"",IF(ISERROR(VLOOKUP(tblHorasMai[Evento 
(2º Período)],tblEvento[],Tabelas!$D$1,FALSE)),FALSE,VLOOKUP(tblHorasMai[Evento 
(2º Período)],tblEvento[],Tabelas!$D$1,FALSE)="Sim")),
        IF(JORNADA_PERIODO_2&lt;&gt;"",
IF(VLOOKUP(tblHorasMai[Dia],tblDiaUtil[[Abreviatura]:[2º Período]],4,FALSE)&gt;0,VLOOKUP(tblHorasMai[Dia],tblDiaUtil[[Abreviatura]:[2º Período]],4,FALSE),JORNADA_PERIODO_2),
IF(VLOOKUP(tblHorasMai[Dia],tblDiaUtil[[Abreviatura]:[2º Período]],4,FALSE)&gt;0,VLOOKUP(tblHorasMai[Dia],tblDiaUtil[[Abreviatura]:[2º Período]],4,FALSE),JORNADA/2)),
        IF(AND(ISNUMBER(tblHorasMai[Saída - 2]),ISNUMBER(tblHorasMai[Entrada - 2 (Almoço)])),
              IF(OR(AND(tblHorasMai[Evento 
(2º Período)]&lt;&gt;"",IF(ISERROR(VLOOKUP(tblHorasMai[Evento 
(2º Período)],tblEvento[],Tabelas!$E$1,FALSE)),FALSE,VLOOKUP(tblHorasMai[Evento 
(2º Período)],tblEvento[],Tabelas!$E$1,FALSE)="Sim")),IF(VLOOKUP(TEXT(tblHorasMai[Data],"dddd"),tblDiaUtil[],2,FALSE)="Não",TRUE,FALSE)),
                   tblHorasMai[Saída - 2]-tblHorasMai[Entrada - 2 (Almoço)],
                   IF(OR(HOUR(tblHorasMai[Saída - 2]-tblHorasMai[Entrada - 2 (Almoço)])&gt;0,MINUTE(tblHorasMai[Saída - 2]-tblHorasMai[Entrada - 2 (Almoço)])&gt;CARENCIA),
                         tblHorasMai[Saída - 2]-tblHorasMai[Entrada - 2 (Almoço)],
                         0)),
       0)),0)</f>
        <v>0</v>
      </c>
      <c r="L9" s="4">
        <f>tblHorasMai[Horas Trabalhadas (1º Período)]+tblHorasMai[Horas Trabalhadas (2º Período)]</f>
        <v>0</v>
      </c>
      <c r="M9" s="4" t="str">
        <f>IF(tblHorasMai[Data]&lt;&gt;"",
        IF(
AND(VLOOKUP(TEXT(tblHorasMai[Data],"dddd"),tblDiaUtil[],3,FALSE)="Sim",IF(tblHorasMai[Evento 
(1º Período)]&lt;&gt;"",IF(VLOOKUP(tblHorasMai[Evento 
(1º Período)],tblEvento[],Tabelas!$E$1,FALSE)="Sim",FALSE,TRUE),TRUE),IF(tblHorasMai[Evento 
(2º Período)]&lt;&gt;"",IF(VLOOKUP(tblHorasMai[Evento 
(2º Período)],tblEvento[],Tabelas!$E$1,FALSE)="Sim",FALSE,TRUE),TRUE)),
              IF(VLOOKUP(tblHorasMai[Dia],tblDiaUtil[[Abreviatura]:[1º Período]],3,FALSE)&gt;0,VLOOKUP(tblHorasMai[Dia],tblDiaUtil[[Abreviatura]:[1º Período]],3,FALSE),JORNADA),
              ""),
         "")</f>
        <v/>
      </c>
      <c r="N9" s="14">
        <f>IF(OR(tblHorasMai[Horas Trabalhadas (1º Período)]&lt;&gt;0,tblHorasMai[Horas Trabalhadas (2º Período)]&lt;&gt;0),
        IF(ISNUMBER(tblHorasMai[Jornada Diária]),
              IF(tblHorasMai[Jornada Diária]&gt;(tblHorasMai[Horas Trabalhadas (2º Período)]+tblHorasMai[Horas Trabalhadas (1º Período)]),
                     IF(ROUND((tblHorasMai[Jornada Diária]-(tblHorasMai[Horas Trabalhadas (2º Período)]+tblHorasMai[Horas Trabalhadas (1º Período)])),6)&gt;ROUND(CARENCIA,6),
                           -tblHorasMai[Jornada Diária]+(tblHorasMai[Horas Trabalhadas (2º Período)]+tblHorasMai[Horas Trabalhadas (1º Período)]),
                           0),
                      IF(ROUND((tblHorasMai[Jornada Diária]-(tblHorasMai[Horas Trabalhadas (2º Período)]+tblHorasMai[Horas Trabalhadas (1º Período)])),6)&lt;ROUND(-CARENCIA,6),
                           -tblHorasMai[Jornada Diária]+(tblHorasMai[Horas Trabalhadas (2º Período)]+tblHorasMai[Horas Trabalhadas (1º Período)]),
                           0)),
              tblHorasMai[Horas Trabalhadas (2º Período)]+tblHorasMai[Horas Trabalhadas (1º Período)]),
         IF(AND(IF(ISERROR(VLOOKUP(tblHorasMai[Evento 
(1º Período)],tblEvento[[Evento]:[Libera o Período]],4,FALSE)),FALSE,IF(VLOOKUP(tblHorasMai[Evento 
(1º Período)],tblEvento[[Evento]:[Libera o Período]],4,FALSE)="Não",TRUE,FALSE)),IF(ISERROR(VLOOKUP(tblHorasMai[Evento 
(2º Período)],tblEvento[[Evento]:[Libera o Período]],4,FALSE)),FALSE,IF(VLOOKUP(tblHorasMai[Evento 
(2º Período)],tblEvento[[Evento]:[Libera o Período]],4,FALSE)="Não",TRUE,FALSE))),
-IF(VLOOKUP(tblHorasMai[Dia],tblDiaUtil[[Abreviatura]:[Total Jornada]],5,FALSE)&lt;&gt;"",VLOOKUP(tblHorasMai[Dia],tblDiaUtil[[Abreviatura]:[Total Jornada]],5,FALSE),JORNADA),
IF(IF(ISERROR(VLOOKUP(tblHorasMai[Evento 
(1º Período)],tblEvento[[Evento]:[Libera o Período]],4,FALSE)),FALSE,
IF(VLOOKUP(tblHorasMai[Evento 
(1º Período)],tblEvento[[Evento]:[Libera o Período]],4,FALSE)="Não",TRUE,FALSE)
),
-IF(VLOOKUP(tblHorasMai[Dia],tblDiaUtil[[Abreviatura]:[1º Período]],3,FALSE)&lt;&gt;"",VLOOKUP(tblHorasMai[Dia],tblDiaUtil[[Abreviatura]:[1º Período]],3,FALSE),JORNADA_PERIODO_1),
IF(IF(ISERROR(VLOOKUP(tblHorasMai[Evento 
(2º Período)],tblEvento[[Evento]:[Libera o Período]],4,FALSE)),FALSE,IF(VLOOKUP(tblHorasMai[Evento 
(2º Período)],tblEvento[[Evento]:[Libera o Período]],4,FALSE)="Não",TRUE,FALSE)),
-IF(VLOOKUP(tblHorasMai[Dia],tblDiaUtil[[Abreviatura]:[2º Período]],4,FALSE)&lt;&gt;"",VLOOKUP(tblHorasMai[Dia],tblDiaUtil[[Abreviatura]:[2º Período]],4,FALSE),JORNADA_PERIODO_2),0))))</f>
        <v>0</v>
      </c>
      <c r="O9" s="14">
        <f>IF(tblHorasMai[Horas Trabalhadas Além Jornada]&gt;0,
        IF(ISNUMBER(tblHorasMai[Jornada Diária]),
              IF(HOUR(tblHorasMai[Horas Trabalhadas Além Jornada])&gt;=VLOOKUP(LIMITE,tblLimiteHora[],Tabelas!$I$1,FALSE),
                    VLOOKUP(LIMITE,tblLimiteHora[],Tabelas!$J$1,FALSE),
                    tblHorasMai[Horas Trabalhadas Além Jornada]),
              tblHorasMai[Horas Trabalhadas Além Jornada]),
        tblHorasMai[Horas Trabalhadas Além Jornada])+O7</f>
        <v>0</v>
      </c>
      <c r="P9" s="14" t="str">
        <f>IF(tblHorasMai[Horas Trabalhadas Além Jornada]&lt;0,IF(OR(tblHorasMai[Evento 
(1º Período)]="",tblHorasMai[Evento 
(2º Período)]=""),tblHorasMai[Horas Trabalhadas Além Jornada],""),"")</f>
        <v/>
      </c>
      <c r="Q9" s="14" t="str">
        <f>IF(tblHorasMai[Jornada Diária]&lt;&gt;"",IF((N(tblHorasMai[Jornada Diária])-ABS(N(tblHorasMai[Horas Trabalhadas Além Jornada])))=0,1,""),"")</f>
        <v/>
      </c>
      <c r="R9" s="14" t="str">
        <f>IF(tblHorasMai[Horas Trabalhadas Além Jornada]&gt;0,
IF(AND(VLOOKUP(TEXT(tblHorasMai[Data],"dddd"),tblDiaUtil[],3,FALSE)="Sim",IF(tblHorasMai[Evento 
(1º Período)]&lt;&gt;"",IF(VLOOKUP(tblHorasMai[Evento 
(1º Período)],tblEvento[],Tabelas!$E$1,FALSE)="Sim",FALSE,TRUE),TRUE),IF(tblHorasMai[Evento 
(2º Período)]&lt;&gt;"",IF(VLOOKUP(tblHorasMai[Evento 
(2º Período)],tblEvento[],Tabelas!$E$1,FALSE)="Sim",FALSE,TRUE),TRUE)),
tblHorasMai[Horas Trabalhadas Além Jornada],""),"")</f>
        <v/>
      </c>
      <c r="S9" s="14" t="str">
        <f>IF(tblHorasMai[Horas Trabalhadas Além Jornada]&gt;0,
IF(OR(VLOOKUP(TEXT(tblHorasMai[Data],"dddd"),tblDiaUtil[],3,FALSE)="Não",IF(tblHorasMai[Evento 
(1º Período)]&lt;&gt;"",IF(VLOOKUP(tblHorasMai[Evento 
(1º Período)],tblEvento[],Tabelas!$E$1,FALSE)="Sim",TRUE,FALSE),FALSE),IF(tblHorasMai[Evento 
(2º Período)]&lt;&gt;"",IF(VLOOKUP(tblHorasMai[Evento 
(2º Período)],tblEvento[],Tabelas!$E$1,FALSE)="Sim",TRUE,FALSE),FALSE)),
tblHorasMai[Horas Trabalhadas Além Jornada],""),"")</f>
        <v/>
      </c>
      <c r="T9" s="15" t="str">
        <f>IF(tblHorasMai[Evento 
(1º Período)]&lt;&gt;""," - " &amp;VLOOKUP(tblHorasMai[Evento 
(1º Período)],tblEvento[],Tabelas!$F$1,FALSE),"")&amp;IF(AND(tblHorasMai[Evento 
(2º Período)]&lt;&gt;"",tblHorasMai[Evento 
(2º Período)]&lt;&gt;tblHorasMai[Evento 
(1º Período)])," - " &amp; VLOOKUP(tblHorasMai[Evento 
(2º Período)],tblEvento[],Tabelas!$F$1,FALSE),"")</f>
        <v/>
      </c>
      <c r="V9" s="16"/>
      <c r="Y9" s="17"/>
    </row>
    <row r="10" spans="2:25" x14ac:dyDescent="0.25">
      <c r="B10" s="11" t="str">
        <f>IF(B9&lt;&gt;"",IF(DAY(B9+1)=IF($E$6&lt;&gt;"",$E$6,1),"",B9+1),"")</f>
        <v/>
      </c>
      <c r="C10" s="12" t="str">
        <f>TEXT(tblHorasMai[Data],"ddd")</f>
        <v/>
      </c>
      <c r="D10" s="25"/>
      <c r="E10" s="1"/>
      <c r="F10" s="1"/>
      <c r="G10" s="1"/>
      <c r="H10" s="1"/>
      <c r="I10" s="53"/>
      <c r="J10" s="4">
        <f>IF($B$6&lt;&gt;"",
IF(AND(tblHorasMai[Evento 
(1º Período)]&lt;&gt;"",IF(ISERROR(VLOOKUP(tblHorasMai[Evento 
(1º Período)],tblEvento[],Tabelas!$D$1,FALSE)),FALSE,VLOOKUP(tblHorasMai[Evento 
(1º Período)],tblEvento[],Tabelas!$D$1,FALSE)="Sim")),
        IF(JORNADA_PERIODO_1&lt;&gt;"",
IF(VLOOKUP(tblHorasMai[Dia],tblDiaUtil[[Abreviatura]:[1º Período]],3,FALSE)&gt;0,VLOOKUP(tblHorasMai[Dia],tblDiaUtil[[Abreviatura]:[1º Período]],3,FALSE),JORNADA_PERIODO_1),
IF(VLOOKUP(tblHorasMai[Dia],tblDiaUtil[[Abreviatura]:[1º Período]],3,FALSE)&gt;0,VLOOKUP(tblHorasMai[Dia],tblDiaUtil[[Abreviatura]:[1º Período]],3,FALSE),JORNADA/2)),
        IF(AND(ISNUMBER(tblHorasMai[Saída - 1 (Almoço)]),ISNUMBER(tblHorasMai[Entrada - 1])),
              IF(OR(AND(tblHorasMai[Evento 
(1º Período)]&lt;&gt;"",IF(ISERROR(VLOOKUP(tblHorasMai[Evento 
(1º Período)],tblEvento[],Tabelas!$E$1,FALSE)),FALSE,VLOOKUP(tblHorasMai[Evento 
(1º Período)],tblEvento[],Tabelas!$E$1,FALSE)="Sim")),IF(VLOOKUP(TEXT(tblHorasMai[Data],"dddd"),tblDiaUtil[],2,FALSE)="Não",TRUE,FALSE)),
                   tblHorasMai[Saída - 1 (Almoço)]-tblHorasMai[Entrada - 1],
                   IF(OR(HOUR(tblHorasMai[Saída - 1 (Almoço)]-tblHorasMai[Entrada - 1])&gt;0,ROUND(tblHorasMai[Saída - 1 (Almoço)]-tblHorasMai[Entrada - 1],6)&gt;ROUND(CARENCIA,6)),
                          tblHorasMai[Saída - 1 (Almoço)]-tblHorasMai[Entrada - 1],
                          0)),
                    0)),0)</f>
        <v>0</v>
      </c>
      <c r="K10" s="4">
        <f>IF($B$6&lt;&gt;"",
IF(AND(tblHorasMai[Evento 
(2º Período)]&lt;&gt;"",IF(ISERROR(VLOOKUP(tblHorasMai[Evento 
(2º Período)],tblEvento[],Tabelas!$D$1,FALSE)),FALSE,VLOOKUP(tblHorasMai[Evento 
(2º Período)],tblEvento[],Tabelas!$D$1,FALSE)="Sim")),
        IF(JORNADA_PERIODO_2&lt;&gt;"",
IF(VLOOKUP(tblHorasMai[Dia],tblDiaUtil[[Abreviatura]:[2º Período]],4,FALSE)&gt;0,VLOOKUP(tblHorasMai[Dia],tblDiaUtil[[Abreviatura]:[2º Período]],4,FALSE),JORNADA_PERIODO_2),
IF(VLOOKUP(tblHorasMai[Dia],tblDiaUtil[[Abreviatura]:[2º Período]],4,FALSE)&gt;0,VLOOKUP(tblHorasMai[Dia],tblDiaUtil[[Abreviatura]:[2º Período]],4,FALSE),JORNADA/2)),
        IF(AND(ISNUMBER(tblHorasMai[Saída - 2]),ISNUMBER(tblHorasMai[Entrada - 2 (Almoço)])),
              IF(OR(AND(tblHorasMai[Evento 
(2º Período)]&lt;&gt;"",IF(ISERROR(VLOOKUP(tblHorasMai[Evento 
(2º Período)],tblEvento[],Tabelas!$E$1,FALSE)),FALSE,VLOOKUP(tblHorasMai[Evento 
(2º Período)],tblEvento[],Tabelas!$E$1,FALSE)="Sim")),IF(VLOOKUP(TEXT(tblHorasMai[Data],"dddd"),tblDiaUtil[],2,FALSE)="Não",TRUE,FALSE)),
                   tblHorasMai[Saída - 2]-tblHorasMai[Entrada - 2 (Almoço)],
                   IF(OR(HOUR(tblHorasMai[Saída - 2]-tblHorasMai[Entrada - 2 (Almoço)])&gt;0,MINUTE(tblHorasMai[Saída - 2]-tblHorasMai[Entrada - 2 (Almoço)])&gt;CARENCIA),
                         tblHorasMai[Saída - 2]-tblHorasMai[Entrada - 2 (Almoço)],
                         0)),
       0)),0)</f>
        <v>0</v>
      </c>
      <c r="L10" s="4">
        <f>tblHorasMai[Horas Trabalhadas (1º Período)]+tblHorasMai[Horas Trabalhadas (2º Período)]</f>
        <v>0</v>
      </c>
      <c r="M10" s="4" t="str">
        <f>IF(tblHorasMai[Data]&lt;&gt;"",
        IF(
AND(VLOOKUP(TEXT(tblHorasMai[Data],"dddd"),tblDiaUtil[],3,FALSE)="Sim",IF(tblHorasMai[Evento 
(1º Período)]&lt;&gt;"",IF(VLOOKUP(tblHorasMai[Evento 
(1º Período)],tblEvento[],Tabelas!$E$1,FALSE)="Sim",FALSE,TRUE),TRUE),IF(tblHorasMai[Evento 
(2º Período)]&lt;&gt;"",IF(VLOOKUP(tblHorasMai[Evento 
(2º Período)],tblEvento[],Tabelas!$E$1,FALSE)="Sim",FALSE,TRUE),TRUE)),
              IF(VLOOKUP(tblHorasMai[Dia],tblDiaUtil[[Abreviatura]:[1º Período]],3,FALSE)&gt;0,VLOOKUP(tblHorasMai[Dia],tblDiaUtil[[Abreviatura]:[1º Período]],3,FALSE),JORNADA),
              ""),
         "")</f>
        <v/>
      </c>
      <c r="N10" s="14">
        <f>IF(OR(tblHorasMai[Horas Trabalhadas (1º Período)]&lt;&gt;0,tblHorasMai[Horas Trabalhadas (2º Período)]&lt;&gt;0),
        IF(ISNUMBER(tblHorasMai[Jornada Diária]),
              IF(tblHorasMai[Jornada Diária]&gt;(tblHorasMai[Horas Trabalhadas (2º Período)]+tblHorasMai[Horas Trabalhadas (1º Período)]),
                     IF(ROUND((tblHorasMai[Jornada Diária]-(tblHorasMai[Horas Trabalhadas (2º Período)]+tblHorasMai[Horas Trabalhadas (1º Período)])),6)&gt;ROUND(CARENCIA,6),
                           -tblHorasMai[Jornada Diária]+(tblHorasMai[Horas Trabalhadas (2º Período)]+tblHorasMai[Horas Trabalhadas (1º Período)]),
                           0),
                      IF(ROUND((tblHorasMai[Jornada Diária]-(tblHorasMai[Horas Trabalhadas (2º Período)]+tblHorasMai[Horas Trabalhadas (1º Período)])),6)&lt;ROUND(-CARENCIA,6),
                           -tblHorasMai[Jornada Diária]+(tblHorasMai[Horas Trabalhadas (2º Período)]+tblHorasMai[Horas Trabalhadas (1º Período)]),
                           0)),
              tblHorasMai[Horas Trabalhadas (2º Período)]+tblHorasMai[Horas Trabalhadas (1º Período)]),
         IF(AND(IF(ISERROR(VLOOKUP(tblHorasMai[Evento 
(1º Período)],tblEvento[[Evento]:[Libera o Período]],4,FALSE)),FALSE,IF(VLOOKUP(tblHorasMai[Evento 
(1º Período)],tblEvento[[Evento]:[Libera o Período]],4,FALSE)="Não",TRUE,FALSE)),IF(ISERROR(VLOOKUP(tblHorasMai[Evento 
(2º Período)],tblEvento[[Evento]:[Libera o Período]],4,FALSE)),FALSE,IF(VLOOKUP(tblHorasMai[Evento 
(2º Período)],tblEvento[[Evento]:[Libera o Período]],4,FALSE)="Não",TRUE,FALSE))),
-IF(VLOOKUP(tblHorasMai[Dia],tblDiaUtil[[Abreviatura]:[Total Jornada]],5,FALSE)&lt;&gt;"",VLOOKUP(tblHorasMai[Dia],tblDiaUtil[[Abreviatura]:[Total Jornada]],5,FALSE),JORNADA),
IF(IF(ISERROR(VLOOKUP(tblHorasMai[Evento 
(1º Período)],tblEvento[[Evento]:[Libera o Período]],4,FALSE)),FALSE,
IF(VLOOKUP(tblHorasMai[Evento 
(1º Período)],tblEvento[[Evento]:[Libera o Período]],4,FALSE)="Não",TRUE,FALSE)
),
-IF(VLOOKUP(tblHorasMai[Dia],tblDiaUtil[[Abreviatura]:[1º Período]],3,FALSE)&lt;&gt;"",VLOOKUP(tblHorasMai[Dia],tblDiaUtil[[Abreviatura]:[1º Período]],3,FALSE),JORNADA_PERIODO_1),
IF(IF(ISERROR(VLOOKUP(tblHorasMai[Evento 
(2º Período)],tblEvento[[Evento]:[Libera o Período]],4,FALSE)),FALSE,IF(VLOOKUP(tblHorasMai[Evento 
(2º Período)],tblEvento[[Evento]:[Libera o Período]],4,FALSE)="Não",TRUE,FALSE)),
-IF(VLOOKUP(tblHorasMai[Dia],tblDiaUtil[[Abreviatura]:[2º Período]],4,FALSE)&lt;&gt;"",VLOOKUP(tblHorasMai[Dia],tblDiaUtil[[Abreviatura]:[2º Período]],4,FALSE),JORNADA_PERIODO_2),0))))</f>
        <v>0</v>
      </c>
      <c r="O10" s="14">
        <f>IF(tblHorasMai[Horas Trabalhadas Além Jornada]&gt;0,
        IF(ISNUMBER(tblHorasMai[Jornada Diária]),
              IF(HOUR(tblHorasMai[Horas Trabalhadas Além Jornada])&gt;=VLOOKUP(LIMITE,tblLimiteHora[],Tabelas!$I$1,FALSE),
                    VLOOKUP(LIMITE,tblLimiteHora[],Tabelas!$J$1,FALSE),
                    tblHorasMai[Horas Trabalhadas Além Jornada]),
              tblHorasMai[Horas Trabalhadas Além Jornada]),
        tblHorasMai[Horas Trabalhadas Além Jornada])+O9</f>
        <v>0</v>
      </c>
      <c r="P10" s="14" t="str">
        <f>IF(tblHorasMai[Horas Trabalhadas Além Jornada]&lt;0,IF(OR(tblHorasMai[Evento 
(1º Período)]="",tblHorasMai[Evento 
(2º Período)]=""),tblHorasMai[Horas Trabalhadas Além Jornada],""),"")</f>
        <v/>
      </c>
      <c r="Q10" s="14" t="str">
        <f>IF(tblHorasMai[Jornada Diária]&lt;&gt;"",IF((N(tblHorasMai[Jornada Diária])-ABS(N(tblHorasMai[Horas Trabalhadas Além Jornada])))=0,1,""),"")</f>
        <v/>
      </c>
      <c r="R10" s="14" t="str">
        <f>IF(tblHorasMai[Horas Trabalhadas Além Jornada]&gt;0,
IF(AND(VLOOKUP(TEXT(tblHorasMai[Data],"dddd"),tblDiaUtil[],3,FALSE)="Sim",IF(tblHorasMai[Evento 
(1º Período)]&lt;&gt;"",IF(VLOOKUP(tblHorasMai[Evento 
(1º Período)],tblEvento[],Tabelas!$E$1,FALSE)="Sim",FALSE,TRUE),TRUE),IF(tblHorasMai[Evento 
(2º Período)]&lt;&gt;"",IF(VLOOKUP(tblHorasMai[Evento 
(2º Período)],tblEvento[],Tabelas!$E$1,FALSE)="Sim",FALSE,TRUE),TRUE)),
tblHorasMai[Horas Trabalhadas Além Jornada],""),"")</f>
        <v/>
      </c>
      <c r="S10" s="14" t="str">
        <f>IF(tblHorasMai[Horas Trabalhadas Além Jornada]&gt;0,
IF(OR(VLOOKUP(TEXT(tblHorasMai[Data],"dddd"),tblDiaUtil[],3,FALSE)="Não",IF(tblHorasMai[Evento 
(1º Período)]&lt;&gt;"",IF(VLOOKUP(tblHorasMai[Evento 
(1º Período)],tblEvento[],Tabelas!$E$1,FALSE)="Sim",TRUE,FALSE),FALSE),IF(tblHorasMai[Evento 
(2º Período)]&lt;&gt;"",IF(VLOOKUP(tblHorasMai[Evento 
(2º Período)],tblEvento[],Tabelas!$E$1,FALSE)="Sim",TRUE,FALSE),FALSE)),
tblHorasMai[Horas Trabalhadas Além Jornada],""),"")</f>
        <v/>
      </c>
      <c r="T10" s="15" t="str">
        <f>IF(tblHorasMai[Evento 
(1º Período)]&lt;&gt;""," - " &amp;VLOOKUP(tblHorasMai[Evento 
(1º Período)],tblEvento[],Tabelas!$F$1,FALSE),"")&amp;IF(AND(tblHorasMai[Evento 
(2º Período)]&lt;&gt;"",tblHorasMai[Evento 
(2º Período)]&lt;&gt;tblHorasMai[Evento 
(1º Período)])," - " &amp; VLOOKUP(tblHorasMai[Evento 
(2º Período)],tblEvento[],Tabelas!$F$1,FALSE),"")</f>
        <v/>
      </c>
      <c r="Y10" s="17"/>
    </row>
    <row r="11" spans="2:25" x14ac:dyDescent="0.25">
      <c r="B11" s="11" t="str">
        <f t="shared" ref="B11:B39" si="0">IF(B10&lt;&gt;"",IF(DAY(B10+1)=IF($E$6&lt;&gt;"",$E$6,1),"",B10+1),"")</f>
        <v/>
      </c>
      <c r="C11" s="12" t="str">
        <f>TEXT(tblHorasMai[Data],"ddd")</f>
        <v/>
      </c>
      <c r="D11" s="25"/>
      <c r="E11" s="1"/>
      <c r="F11" s="1"/>
      <c r="G11" s="1"/>
      <c r="H11" s="1"/>
      <c r="I11" s="53"/>
      <c r="J11" s="4">
        <f>IF($B$6&lt;&gt;"",
IF(AND(tblHorasMai[Evento 
(1º Período)]&lt;&gt;"",IF(ISERROR(VLOOKUP(tblHorasMai[Evento 
(1º Período)],tblEvento[],Tabelas!$D$1,FALSE)),FALSE,VLOOKUP(tblHorasMai[Evento 
(1º Período)],tblEvento[],Tabelas!$D$1,FALSE)="Sim")),
        IF(JORNADA_PERIODO_1&lt;&gt;"",
IF(VLOOKUP(tblHorasMai[Dia],tblDiaUtil[[Abreviatura]:[1º Período]],3,FALSE)&gt;0,VLOOKUP(tblHorasMai[Dia],tblDiaUtil[[Abreviatura]:[1º Período]],3,FALSE),JORNADA_PERIODO_1),
IF(VLOOKUP(tblHorasMai[Dia],tblDiaUtil[[Abreviatura]:[1º Período]],3,FALSE)&gt;0,VLOOKUP(tblHorasMai[Dia],tblDiaUtil[[Abreviatura]:[1º Período]],3,FALSE),JORNADA/2)),
        IF(AND(ISNUMBER(tblHorasMai[Saída - 1 (Almoço)]),ISNUMBER(tblHorasMai[Entrada - 1])),
              IF(OR(AND(tblHorasMai[Evento 
(1º Período)]&lt;&gt;"",IF(ISERROR(VLOOKUP(tblHorasMai[Evento 
(1º Período)],tblEvento[],Tabelas!$E$1,FALSE)),FALSE,VLOOKUP(tblHorasMai[Evento 
(1º Período)],tblEvento[],Tabelas!$E$1,FALSE)="Sim")),IF(VLOOKUP(TEXT(tblHorasMai[Data],"dddd"),tblDiaUtil[],2,FALSE)="Não",TRUE,FALSE)),
                   tblHorasMai[Saída - 1 (Almoço)]-tblHorasMai[Entrada - 1],
                   IF(OR(HOUR(tblHorasMai[Saída - 1 (Almoço)]-tblHorasMai[Entrada - 1])&gt;0,ROUND(tblHorasMai[Saída - 1 (Almoço)]-tblHorasMai[Entrada - 1],6)&gt;ROUND(CARENCIA,6)),
                          tblHorasMai[Saída - 1 (Almoço)]-tblHorasMai[Entrada - 1],
                          0)),
                    0)),0)</f>
        <v>0</v>
      </c>
      <c r="K11" s="4">
        <f>IF($B$6&lt;&gt;"",
IF(AND(tblHorasMai[Evento 
(2º Período)]&lt;&gt;"",IF(ISERROR(VLOOKUP(tblHorasMai[Evento 
(2º Período)],tblEvento[],Tabelas!$D$1,FALSE)),FALSE,VLOOKUP(tblHorasMai[Evento 
(2º Período)],tblEvento[],Tabelas!$D$1,FALSE)="Sim")),
        IF(JORNADA_PERIODO_2&lt;&gt;"",
IF(VLOOKUP(tblHorasMai[Dia],tblDiaUtil[[Abreviatura]:[2º Período]],4,FALSE)&gt;0,VLOOKUP(tblHorasMai[Dia],tblDiaUtil[[Abreviatura]:[2º Período]],4,FALSE),JORNADA_PERIODO_2),
IF(VLOOKUP(tblHorasMai[Dia],tblDiaUtil[[Abreviatura]:[2º Período]],4,FALSE)&gt;0,VLOOKUP(tblHorasMai[Dia],tblDiaUtil[[Abreviatura]:[2º Período]],4,FALSE),JORNADA/2)),
        IF(AND(ISNUMBER(tblHorasMai[Saída - 2]),ISNUMBER(tblHorasMai[Entrada - 2 (Almoço)])),
              IF(OR(AND(tblHorasMai[Evento 
(2º Período)]&lt;&gt;"",IF(ISERROR(VLOOKUP(tblHorasMai[Evento 
(2º Período)],tblEvento[],Tabelas!$E$1,FALSE)),FALSE,VLOOKUP(tblHorasMai[Evento 
(2º Período)],tblEvento[],Tabelas!$E$1,FALSE)="Sim")),IF(VLOOKUP(TEXT(tblHorasMai[Data],"dddd"),tblDiaUtil[],2,FALSE)="Não",TRUE,FALSE)),
                   tblHorasMai[Saída - 2]-tblHorasMai[Entrada - 2 (Almoço)],
                   IF(OR(HOUR(tblHorasMai[Saída - 2]-tblHorasMai[Entrada - 2 (Almoço)])&gt;0,MINUTE(tblHorasMai[Saída - 2]-tblHorasMai[Entrada - 2 (Almoço)])&gt;CARENCIA),
                         tblHorasMai[Saída - 2]-tblHorasMai[Entrada - 2 (Almoço)],
                         0)),
       0)),0)</f>
        <v>0</v>
      </c>
      <c r="L11" s="4">
        <f>tblHorasMai[Horas Trabalhadas (1º Período)]+tblHorasMai[Horas Trabalhadas (2º Período)]</f>
        <v>0</v>
      </c>
      <c r="M11" s="4" t="str">
        <f>IF(tblHorasMai[Data]&lt;&gt;"",
        IF(
AND(VLOOKUP(TEXT(tblHorasMai[Data],"dddd"),tblDiaUtil[],3,FALSE)="Sim",IF(tblHorasMai[Evento 
(1º Período)]&lt;&gt;"",IF(VLOOKUP(tblHorasMai[Evento 
(1º Período)],tblEvento[],Tabelas!$E$1,FALSE)="Sim",FALSE,TRUE),TRUE),IF(tblHorasMai[Evento 
(2º Período)]&lt;&gt;"",IF(VLOOKUP(tblHorasMai[Evento 
(2º Período)],tblEvento[],Tabelas!$E$1,FALSE)="Sim",FALSE,TRUE),TRUE)),
              IF(VLOOKUP(tblHorasMai[Dia],tblDiaUtil[[Abreviatura]:[1º Período]],3,FALSE)&gt;0,VLOOKUP(tblHorasMai[Dia],tblDiaUtil[[Abreviatura]:[1º Período]],3,FALSE),JORNADA),
              ""),
         "")</f>
        <v/>
      </c>
      <c r="N11" s="14">
        <f>IF(OR(tblHorasMai[Horas Trabalhadas (1º Período)]&lt;&gt;0,tblHorasMai[Horas Trabalhadas (2º Período)]&lt;&gt;0),
        IF(ISNUMBER(tblHorasMai[Jornada Diária]),
              IF(tblHorasMai[Jornada Diária]&gt;(tblHorasMai[Horas Trabalhadas (2º Período)]+tblHorasMai[Horas Trabalhadas (1º Período)]),
                     IF(ROUND((tblHorasMai[Jornada Diária]-(tblHorasMai[Horas Trabalhadas (2º Período)]+tblHorasMai[Horas Trabalhadas (1º Período)])),6)&gt;ROUND(CARENCIA,6),
                           -tblHorasMai[Jornada Diária]+(tblHorasMai[Horas Trabalhadas (2º Período)]+tblHorasMai[Horas Trabalhadas (1º Período)]),
                           0),
                      IF(ROUND((tblHorasMai[Jornada Diária]-(tblHorasMai[Horas Trabalhadas (2º Período)]+tblHorasMai[Horas Trabalhadas (1º Período)])),6)&lt;ROUND(-CARENCIA,6),
                           -tblHorasMai[Jornada Diária]+(tblHorasMai[Horas Trabalhadas (2º Período)]+tblHorasMai[Horas Trabalhadas (1º Período)]),
                           0)),
              tblHorasMai[Horas Trabalhadas (2º Período)]+tblHorasMai[Horas Trabalhadas (1º Período)]),
         IF(AND(IF(ISERROR(VLOOKUP(tblHorasMai[Evento 
(1º Período)],tblEvento[[Evento]:[Libera o Período]],4,FALSE)),FALSE,IF(VLOOKUP(tblHorasMai[Evento 
(1º Período)],tblEvento[[Evento]:[Libera o Período]],4,FALSE)="Não",TRUE,FALSE)),IF(ISERROR(VLOOKUP(tblHorasMai[Evento 
(2º Período)],tblEvento[[Evento]:[Libera o Período]],4,FALSE)),FALSE,IF(VLOOKUP(tblHorasMai[Evento 
(2º Período)],tblEvento[[Evento]:[Libera o Período]],4,FALSE)="Não",TRUE,FALSE))),
-IF(VLOOKUP(tblHorasMai[Dia],tblDiaUtil[[Abreviatura]:[Total Jornada]],5,FALSE)&lt;&gt;"",VLOOKUP(tblHorasMai[Dia],tblDiaUtil[[Abreviatura]:[Total Jornada]],5,FALSE),JORNADA),
IF(IF(ISERROR(VLOOKUP(tblHorasMai[Evento 
(1º Período)],tblEvento[[Evento]:[Libera o Período]],4,FALSE)),FALSE,
IF(VLOOKUP(tblHorasMai[Evento 
(1º Período)],tblEvento[[Evento]:[Libera o Período]],4,FALSE)="Não",TRUE,FALSE)
),
-IF(VLOOKUP(tblHorasMai[Dia],tblDiaUtil[[Abreviatura]:[1º Período]],3,FALSE)&lt;&gt;"",VLOOKUP(tblHorasMai[Dia],tblDiaUtil[[Abreviatura]:[1º Período]],3,FALSE),JORNADA_PERIODO_1),
IF(IF(ISERROR(VLOOKUP(tblHorasMai[Evento 
(2º Período)],tblEvento[[Evento]:[Libera o Período]],4,FALSE)),FALSE,IF(VLOOKUP(tblHorasMai[Evento 
(2º Período)],tblEvento[[Evento]:[Libera o Período]],4,FALSE)="Não",TRUE,FALSE)),
-IF(VLOOKUP(tblHorasMai[Dia],tblDiaUtil[[Abreviatura]:[2º Período]],4,FALSE)&lt;&gt;"",VLOOKUP(tblHorasMai[Dia],tblDiaUtil[[Abreviatura]:[2º Período]],4,FALSE),JORNADA_PERIODO_2),0))))</f>
        <v>0</v>
      </c>
      <c r="O11" s="14">
        <f>IF(tblHorasMai[Horas Trabalhadas Além Jornada]&gt;0,
        IF(ISNUMBER(tblHorasMai[Jornada Diária]),
              IF(HOUR(tblHorasMai[Horas Trabalhadas Além Jornada])&gt;=VLOOKUP(LIMITE,tblLimiteHora[],Tabelas!$I$1,FALSE),
                    VLOOKUP(LIMITE,tblLimiteHora[],Tabelas!$J$1,FALSE),
                    tblHorasMai[Horas Trabalhadas Além Jornada]),
              tblHorasMai[Horas Trabalhadas Além Jornada]),
        tblHorasMai[Horas Trabalhadas Além Jornada])+O10</f>
        <v>0</v>
      </c>
      <c r="P11" s="14" t="str">
        <f>IF(tblHorasMai[Horas Trabalhadas Além Jornada]&lt;0,IF(OR(tblHorasMai[Evento 
(1º Período)]="",tblHorasMai[Evento 
(2º Período)]=""),tblHorasMai[Horas Trabalhadas Além Jornada],""),"")</f>
        <v/>
      </c>
      <c r="Q11" s="14" t="str">
        <f>IF(tblHorasMai[Jornada Diária]&lt;&gt;"",IF((N(tblHorasMai[Jornada Diária])-ABS(N(tblHorasMai[Horas Trabalhadas Além Jornada])))=0,1,""),"")</f>
        <v/>
      </c>
      <c r="R11" s="14" t="str">
        <f>IF(tblHorasMai[Horas Trabalhadas Além Jornada]&gt;0,
IF(AND(VLOOKUP(TEXT(tblHorasMai[Data],"dddd"),tblDiaUtil[],3,FALSE)="Sim",IF(tblHorasMai[Evento 
(1º Período)]&lt;&gt;"",IF(VLOOKUP(tblHorasMai[Evento 
(1º Período)],tblEvento[],Tabelas!$E$1,FALSE)="Sim",FALSE,TRUE),TRUE),IF(tblHorasMai[Evento 
(2º Período)]&lt;&gt;"",IF(VLOOKUP(tblHorasMai[Evento 
(2º Período)],tblEvento[],Tabelas!$E$1,FALSE)="Sim",FALSE,TRUE),TRUE)),
tblHorasMai[Horas Trabalhadas Além Jornada],""),"")</f>
        <v/>
      </c>
      <c r="S11" s="14" t="str">
        <f>IF(tblHorasMai[Horas Trabalhadas Além Jornada]&gt;0,
IF(OR(VLOOKUP(TEXT(tblHorasMai[Data],"dddd"),tblDiaUtil[],3,FALSE)="Não",IF(tblHorasMai[Evento 
(1º Período)]&lt;&gt;"",IF(VLOOKUP(tblHorasMai[Evento 
(1º Período)],tblEvento[],Tabelas!$E$1,FALSE)="Sim",TRUE,FALSE),FALSE),IF(tblHorasMai[Evento 
(2º Período)]&lt;&gt;"",IF(VLOOKUP(tblHorasMai[Evento 
(2º Período)],tblEvento[],Tabelas!$E$1,FALSE)="Sim",TRUE,FALSE),FALSE)),
tblHorasMai[Horas Trabalhadas Além Jornada],""),"")</f>
        <v/>
      </c>
      <c r="T11" s="15" t="str">
        <f>IF(tblHorasMai[Evento 
(1º Período)]&lt;&gt;""," - " &amp;VLOOKUP(tblHorasMai[Evento 
(1º Período)],tblEvento[],Tabelas!$F$1,FALSE),"")&amp;IF(AND(tblHorasMai[Evento 
(2º Período)]&lt;&gt;"",tblHorasMai[Evento 
(2º Período)]&lt;&gt;tblHorasMai[Evento 
(1º Período)])," - " &amp; VLOOKUP(tblHorasMai[Evento 
(2º Período)],tblEvento[],Tabelas!$F$1,FALSE),"")</f>
        <v/>
      </c>
    </row>
    <row r="12" spans="2:25" x14ac:dyDescent="0.25">
      <c r="B12" s="11" t="str">
        <f t="shared" si="0"/>
        <v/>
      </c>
      <c r="C12" s="12" t="str">
        <f>TEXT(tblHorasMai[Data],"ddd")</f>
        <v/>
      </c>
      <c r="D12" s="25"/>
      <c r="E12" s="1"/>
      <c r="F12" s="1"/>
      <c r="G12" s="1"/>
      <c r="H12" s="1"/>
      <c r="I12" s="53"/>
      <c r="J12" s="4">
        <f>IF($B$6&lt;&gt;"",
IF(AND(tblHorasMai[Evento 
(1º Período)]&lt;&gt;"",IF(ISERROR(VLOOKUP(tblHorasMai[Evento 
(1º Período)],tblEvento[],Tabelas!$D$1,FALSE)),FALSE,VLOOKUP(tblHorasMai[Evento 
(1º Período)],tblEvento[],Tabelas!$D$1,FALSE)="Sim")),
        IF(JORNADA_PERIODO_1&lt;&gt;"",
IF(VLOOKUP(tblHorasMai[Dia],tblDiaUtil[[Abreviatura]:[1º Período]],3,FALSE)&gt;0,VLOOKUP(tblHorasMai[Dia],tblDiaUtil[[Abreviatura]:[1º Período]],3,FALSE),JORNADA_PERIODO_1),
IF(VLOOKUP(tblHorasMai[Dia],tblDiaUtil[[Abreviatura]:[1º Período]],3,FALSE)&gt;0,VLOOKUP(tblHorasMai[Dia],tblDiaUtil[[Abreviatura]:[1º Período]],3,FALSE),JORNADA/2)),
        IF(AND(ISNUMBER(tblHorasMai[Saída - 1 (Almoço)]),ISNUMBER(tblHorasMai[Entrada - 1])),
              IF(OR(AND(tblHorasMai[Evento 
(1º Período)]&lt;&gt;"",IF(ISERROR(VLOOKUP(tblHorasMai[Evento 
(1º Período)],tblEvento[],Tabelas!$E$1,FALSE)),FALSE,VLOOKUP(tblHorasMai[Evento 
(1º Período)],tblEvento[],Tabelas!$E$1,FALSE)="Sim")),IF(VLOOKUP(TEXT(tblHorasMai[Data],"dddd"),tblDiaUtil[],2,FALSE)="Não",TRUE,FALSE)),
                   tblHorasMai[Saída - 1 (Almoço)]-tblHorasMai[Entrada - 1],
                   IF(OR(HOUR(tblHorasMai[Saída - 1 (Almoço)]-tblHorasMai[Entrada - 1])&gt;0,ROUND(tblHorasMai[Saída - 1 (Almoço)]-tblHorasMai[Entrada - 1],6)&gt;ROUND(CARENCIA,6)),
                          tblHorasMai[Saída - 1 (Almoço)]-tblHorasMai[Entrada - 1],
                          0)),
                    0)),0)</f>
        <v>0</v>
      </c>
      <c r="K12" s="4">
        <f>IF($B$6&lt;&gt;"",
IF(AND(tblHorasMai[Evento 
(2º Período)]&lt;&gt;"",IF(ISERROR(VLOOKUP(tblHorasMai[Evento 
(2º Período)],tblEvento[],Tabelas!$D$1,FALSE)),FALSE,VLOOKUP(tblHorasMai[Evento 
(2º Período)],tblEvento[],Tabelas!$D$1,FALSE)="Sim")),
        IF(JORNADA_PERIODO_2&lt;&gt;"",
IF(VLOOKUP(tblHorasMai[Dia],tblDiaUtil[[Abreviatura]:[2º Período]],4,FALSE)&gt;0,VLOOKUP(tblHorasMai[Dia],tblDiaUtil[[Abreviatura]:[2º Período]],4,FALSE),JORNADA_PERIODO_2),
IF(VLOOKUP(tblHorasMai[Dia],tblDiaUtil[[Abreviatura]:[2º Período]],4,FALSE)&gt;0,VLOOKUP(tblHorasMai[Dia],tblDiaUtil[[Abreviatura]:[2º Período]],4,FALSE),JORNADA/2)),
        IF(AND(ISNUMBER(tblHorasMai[Saída - 2]),ISNUMBER(tblHorasMai[Entrada - 2 (Almoço)])),
              IF(OR(AND(tblHorasMai[Evento 
(2º Período)]&lt;&gt;"",IF(ISERROR(VLOOKUP(tblHorasMai[Evento 
(2º Período)],tblEvento[],Tabelas!$E$1,FALSE)),FALSE,VLOOKUP(tblHorasMai[Evento 
(2º Período)],tblEvento[],Tabelas!$E$1,FALSE)="Sim")),IF(VLOOKUP(TEXT(tblHorasMai[Data],"dddd"),tblDiaUtil[],2,FALSE)="Não",TRUE,FALSE)),
                   tblHorasMai[Saída - 2]-tblHorasMai[Entrada - 2 (Almoço)],
                   IF(OR(HOUR(tblHorasMai[Saída - 2]-tblHorasMai[Entrada - 2 (Almoço)])&gt;0,MINUTE(tblHorasMai[Saída - 2]-tblHorasMai[Entrada - 2 (Almoço)])&gt;CARENCIA),
                         tblHorasMai[Saída - 2]-tblHorasMai[Entrada - 2 (Almoço)],
                         0)),
       0)),0)</f>
        <v>0</v>
      </c>
      <c r="L12" s="4">
        <f>tblHorasMai[Horas Trabalhadas (1º Período)]+tblHorasMai[Horas Trabalhadas (2º Período)]</f>
        <v>0</v>
      </c>
      <c r="M12" s="4" t="str">
        <f>IF(tblHorasMai[Data]&lt;&gt;"",
        IF(
AND(VLOOKUP(TEXT(tblHorasMai[Data],"dddd"),tblDiaUtil[],3,FALSE)="Sim",IF(tblHorasMai[Evento 
(1º Período)]&lt;&gt;"",IF(VLOOKUP(tblHorasMai[Evento 
(1º Período)],tblEvento[],Tabelas!$E$1,FALSE)="Sim",FALSE,TRUE),TRUE),IF(tblHorasMai[Evento 
(2º Período)]&lt;&gt;"",IF(VLOOKUP(tblHorasMai[Evento 
(2º Período)],tblEvento[],Tabelas!$E$1,FALSE)="Sim",FALSE,TRUE),TRUE)),
              IF(VLOOKUP(tblHorasMai[Dia],tblDiaUtil[[Abreviatura]:[1º Período]],3,FALSE)&gt;0,VLOOKUP(tblHorasMai[Dia],tblDiaUtil[[Abreviatura]:[1º Período]],3,FALSE),JORNADA),
              ""),
         "")</f>
        <v/>
      </c>
      <c r="N12" s="14">
        <f>IF(OR(tblHorasMai[Horas Trabalhadas (1º Período)]&lt;&gt;0,tblHorasMai[Horas Trabalhadas (2º Período)]&lt;&gt;0),
        IF(ISNUMBER(tblHorasMai[Jornada Diária]),
              IF(tblHorasMai[Jornada Diária]&gt;(tblHorasMai[Horas Trabalhadas (2º Período)]+tblHorasMai[Horas Trabalhadas (1º Período)]),
                     IF(ROUND((tblHorasMai[Jornada Diária]-(tblHorasMai[Horas Trabalhadas (2º Período)]+tblHorasMai[Horas Trabalhadas (1º Período)])),6)&gt;ROUND(CARENCIA,6),
                           -tblHorasMai[Jornada Diária]+(tblHorasMai[Horas Trabalhadas (2º Período)]+tblHorasMai[Horas Trabalhadas (1º Período)]),
                           0),
                      IF(ROUND((tblHorasMai[Jornada Diária]-(tblHorasMai[Horas Trabalhadas (2º Período)]+tblHorasMai[Horas Trabalhadas (1º Período)])),6)&lt;ROUND(-CARENCIA,6),
                           -tblHorasMai[Jornada Diária]+(tblHorasMai[Horas Trabalhadas (2º Período)]+tblHorasMai[Horas Trabalhadas (1º Período)]),
                           0)),
              tblHorasMai[Horas Trabalhadas (2º Período)]+tblHorasMai[Horas Trabalhadas (1º Período)]),
         IF(AND(IF(ISERROR(VLOOKUP(tblHorasMai[Evento 
(1º Período)],tblEvento[[Evento]:[Libera o Período]],4,FALSE)),FALSE,IF(VLOOKUP(tblHorasMai[Evento 
(1º Período)],tblEvento[[Evento]:[Libera o Período]],4,FALSE)="Não",TRUE,FALSE)),IF(ISERROR(VLOOKUP(tblHorasMai[Evento 
(2º Período)],tblEvento[[Evento]:[Libera o Período]],4,FALSE)),FALSE,IF(VLOOKUP(tblHorasMai[Evento 
(2º Período)],tblEvento[[Evento]:[Libera o Período]],4,FALSE)="Não",TRUE,FALSE))),
-IF(VLOOKUP(tblHorasMai[Dia],tblDiaUtil[[Abreviatura]:[Total Jornada]],5,FALSE)&lt;&gt;"",VLOOKUP(tblHorasMai[Dia],tblDiaUtil[[Abreviatura]:[Total Jornada]],5,FALSE),JORNADA),
IF(IF(ISERROR(VLOOKUP(tblHorasMai[Evento 
(1º Período)],tblEvento[[Evento]:[Libera o Período]],4,FALSE)),FALSE,
IF(VLOOKUP(tblHorasMai[Evento 
(1º Período)],tblEvento[[Evento]:[Libera o Período]],4,FALSE)="Não",TRUE,FALSE)
),
-IF(VLOOKUP(tblHorasMai[Dia],tblDiaUtil[[Abreviatura]:[1º Período]],3,FALSE)&lt;&gt;"",VLOOKUP(tblHorasMai[Dia],tblDiaUtil[[Abreviatura]:[1º Período]],3,FALSE),JORNADA_PERIODO_1),
IF(IF(ISERROR(VLOOKUP(tblHorasMai[Evento 
(2º Período)],tblEvento[[Evento]:[Libera o Período]],4,FALSE)),FALSE,IF(VLOOKUP(tblHorasMai[Evento 
(2º Período)],tblEvento[[Evento]:[Libera o Período]],4,FALSE)="Não",TRUE,FALSE)),
-IF(VLOOKUP(tblHorasMai[Dia],tblDiaUtil[[Abreviatura]:[2º Período]],4,FALSE)&lt;&gt;"",VLOOKUP(tblHorasMai[Dia],tblDiaUtil[[Abreviatura]:[2º Período]],4,FALSE),JORNADA_PERIODO_2),0))))</f>
        <v>0</v>
      </c>
      <c r="O12" s="14">
        <f>IF(tblHorasMai[Horas Trabalhadas Além Jornada]&gt;0,
        IF(ISNUMBER(tblHorasMai[Jornada Diária]),
              IF(HOUR(tblHorasMai[Horas Trabalhadas Além Jornada])&gt;=VLOOKUP(LIMITE,tblLimiteHora[],Tabelas!$I$1,FALSE),
                    VLOOKUP(LIMITE,tblLimiteHora[],Tabelas!$J$1,FALSE),
                    tblHorasMai[Horas Trabalhadas Além Jornada]),
              tblHorasMai[Horas Trabalhadas Além Jornada]),
        tblHorasMai[Horas Trabalhadas Além Jornada])+O11</f>
        <v>0</v>
      </c>
      <c r="P12" s="14" t="str">
        <f>IF(tblHorasMai[Horas Trabalhadas Além Jornada]&lt;0,IF(OR(tblHorasMai[Evento 
(1º Período)]="",tblHorasMai[Evento 
(2º Período)]=""),tblHorasMai[Horas Trabalhadas Além Jornada],""),"")</f>
        <v/>
      </c>
      <c r="Q12" s="14" t="str">
        <f>IF(tblHorasMai[Jornada Diária]&lt;&gt;"",IF((N(tblHorasMai[Jornada Diária])-ABS(N(tblHorasMai[Horas Trabalhadas Além Jornada])))=0,1,""),"")</f>
        <v/>
      </c>
      <c r="R12" s="14" t="str">
        <f>IF(tblHorasMai[Horas Trabalhadas Além Jornada]&gt;0,
IF(AND(VLOOKUP(TEXT(tblHorasMai[Data],"dddd"),tblDiaUtil[],3,FALSE)="Sim",IF(tblHorasMai[Evento 
(1º Período)]&lt;&gt;"",IF(VLOOKUP(tblHorasMai[Evento 
(1º Período)],tblEvento[],Tabelas!$E$1,FALSE)="Sim",FALSE,TRUE),TRUE),IF(tblHorasMai[Evento 
(2º Período)]&lt;&gt;"",IF(VLOOKUP(tblHorasMai[Evento 
(2º Período)],tblEvento[],Tabelas!$E$1,FALSE)="Sim",FALSE,TRUE),TRUE)),
tblHorasMai[Horas Trabalhadas Além Jornada],""),"")</f>
        <v/>
      </c>
      <c r="S12" s="14" t="str">
        <f>IF(tblHorasMai[Horas Trabalhadas Além Jornada]&gt;0,
IF(OR(VLOOKUP(TEXT(tblHorasMai[Data],"dddd"),tblDiaUtil[],3,FALSE)="Não",IF(tblHorasMai[Evento 
(1º Período)]&lt;&gt;"",IF(VLOOKUP(tblHorasMai[Evento 
(1º Período)],tblEvento[],Tabelas!$E$1,FALSE)="Sim",TRUE,FALSE),FALSE),IF(tblHorasMai[Evento 
(2º Período)]&lt;&gt;"",IF(VLOOKUP(tblHorasMai[Evento 
(2º Período)],tblEvento[],Tabelas!$E$1,FALSE)="Sim",TRUE,FALSE),FALSE)),
tblHorasMai[Horas Trabalhadas Além Jornada],""),"")</f>
        <v/>
      </c>
      <c r="T12" s="15" t="str">
        <f>IF(tblHorasMai[Evento 
(1º Período)]&lt;&gt;""," - " &amp;VLOOKUP(tblHorasMai[Evento 
(1º Período)],tblEvento[],Tabelas!$F$1,FALSE),"")&amp;IF(AND(tblHorasMai[Evento 
(2º Período)]&lt;&gt;"",tblHorasMai[Evento 
(2º Período)]&lt;&gt;tblHorasMai[Evento 
(1º Período)])," - " &amp; VLOOKUP(tblHorasMai[Evento 
(2º Período)],tblEvento[],Tabelas!$F$1,FALSE),"")</f>
        <v/>
      </c>
    </row>
    <row r="13" spans="2:25" x14ac:dyDescent="0.25">
      <c r="B13" s="11" t="str">
        <f t="shared" si="0"/>
        <v/>
      </c>
      <c r="C13" s="12" t="str">
        <f>TEXT(tblHorasMai[Data],"ddd")</f>
        <v/>
      </c>
      <c r="D13" s="25"/>
      <c r="E13" s="1"/>
      <c r="F13" s="1"/>
      <c r="G13" s="1"/>
      <c r="H13" s="1"/>
      <c r="I13" s="53"/>
      <c r="J13" s="4">
        <f>IF($B$6&lt;&gt;"",
IF(AND(tblHorasMai[Evento 
(1º Período)]&lt;&gt;"",IF(ISERROR(VLOOKUP(tblHorasMai[Evento 
(1º Período)],tblEvento[],Tabelas!$D$1,FALSE)),FALSE,VLOOKUP(tblHorasMai[Evento 
(1º Período)],tblEvento[],Tabelas!$D$1,FALSE)="Sim")),
        IF(JORNADA_PERIODO_1&lt;&gt;"",
IF(VLOOKUP(tblHorasMai[Dia],tblDiaUtil[[Abreviatura]:[1º Período]],3,FALSE)&gt;0,VLOOKUP(tblHorasMai[Dia],tblDiaUtil[[Abreviatura]:[1º Período]],3,FALSE),JORNADA_PERIODO_1),
IF(VLOOKUP(tblHorasMai[Dia],tblDiaUtil[[Abreviatura]:[1º Período]],3,FALSE)&gt;0,VLOOKUP(tblHorasMai[Dia],tblDiaUtil[[Abreviatura]:[1º Período]],3,FALSE),JORNADA/2)),
        IF(AND(ISNUMBER(tblHorasMai[Saída - 1 (Almoço)]),ISNUMBER(tblHorasMai[Entrada - 1])),
              IF(OR(AND(tblHorasMai[Evento 
(1º Período)]&lt;&gt;"",IF(ISERROR(VLOOKUP(tblHorasMai[Evento 
(1º Período)],tblEvento[],Tabelas!$E$1,FALSE)),FALSE,VLOOKUP(tblHorasMai[Evento 
(1º Período)],tblEvento[],Tabelas!$E$1,FALSE)="Sim")),IF(VLOOKUP(TEXT(tblHorasMai[Data],"dddd"),tblDiaUtil[],2,FALSE)="Não",TRUE,FALSE)),
                   tblHorasMai[Saída - 1 (Almoço)]-tblHorasMai[Entrada - 1],
                   IF(OR(HOUR(tblHorasMai[Saída - 1 (Almoço)]-tblHorasMai[Entrada - 1])&gt;0,ROUND(tblHorasMai[Saída - 1 (Almoço)]-tblHorasMai[Entrada - 1],6)&gt;ROUND(CARENCIA,6)),
                          tblHorasMai[Saída - 1 (Almoço)]-tblHorasMai[Entrada - 1],
                          0)),
                    0)),0)</f>
        <v>0</v>
      </c>
      <c r="K13" s="4">
        <f>IF($B$6&lt;&gt;"",
IF(AND(tblHorasMai[Evento 
(2º Período)]&lt;&gt;"",IF(ISERROR(VLOOKUP(tblHorasMai[Evento 
(2º Período)],tblEvento[],Tabelas!$D$1,FALSE)),FALSE,VLOOKUP(tblHorasMai[Evento 
(2º Período)],tblEvento[],Tabelas!$D$1,FALSE)="Sim")),
        IF(JORNADA_PERIODO_2&lt;&gt;"",
IF(VLOOKUP(tblHorasMai[Dia],tblDiaUtil[[Abreviatura]:[2º Período]],4,FALSE)&gt;0,VLOOKUP(tblHorasMai[Dia],tblDiaUtil[[Abreviatura]:[2º Período]],4,FALSE),JORNADA_PERIODO_2),
IF(VLOOKUP(tblHorasMai[Dia],tblDiaUtil[[Abreviatura]:[2º Período]],4,FALSE)&gt;0,VLOOKUP(tblHorasMai[Dia],tblDiaUtil[[Abreviatura]:[2º Período]],4,FALSE),JORNADA/2)),
        IF(AND(ISNUMBER(tblHorasMai[Saída - 2]),ISNUMBER(tblHorasMai[Entrada - 2 (Almoço)])),
              IF(OR(AND(tblHorasMai[Evento 
(2º Período)]&lt;&gt;"",IF(ISERROR(VLOOKUP(tblHorasMai[Evento 
(2º Período)],tblEvento[],Tabelas!$E$1,FALSE)),FALSE,VLOOKUP(tblHorasMai[Evento 
(2º Período)],tblEvento[],Tabelas!$E$1,FALSE)="Sim")),IF(VLOOKUP(TEXT(tblHorasMai[Data],"dddd"),tblDiaUtil[],2,FALSE)="Não",TRUE,FALSE)),
                   tblHorasMai[Saída - 2]-tblHorasMai[Entrada - 2 (Almoço)],
                   IF(OR(HOUR(tblHorasMai[Saída - 2]-tblHorasMai[Entrada - 2 (Almoço)])&gt;0,MINUTE(tblHorasMai[Saída - 2]-tblHorasMai[Entrada - 2 (Almoço)])&gt;CARENCIA),
                         tblHorasMai[Saída - 2]-tblHorasMai[Entrada - 2 (Almoço)],
                         0)),
       0)),0)</f>
        <v>0</v>
      </c>
      <c r="L13" s="4">
        <f>tblHorasMai[Horas Trabalhadas (1º Período)]+tblHorasMai[Horas Trabalhadas (2º Período)]</f>
        <v>0</v>
      </c>
      <c r="M13" s="4" t="str">
        <f>IF(tblHorasMai[Data]&lt;&gt;"",
        IF(
AND(VLOOKUP(TEXT(tblHorasMai[Data],"dddd"),tblDiaUtil[],3,FALSE)="Sim",IF(tblHorasMai[Evento 
(1º Período)]&lt;&gt;"",IF(VLOOKUP(tblHorasMai[Evento 
(1º Período)],tblEvento[],Tabelas!$E$1,FALSE)="Sim",FALSE,TRUE),TRUE),IF(tblHorasMai[Evento 
(2º Período)]&lt;&gt;"",IF(VLOOKUP(tblHorasMai[Evento 
(2º Período)],tblEvento[],Tabelas!$E$1,FALSE)="Sim",FALSE,TRUE),TRUE)),
              IF(VLOOKUP(tblHorasMai[Dia],tblDiaUtil[[Abreviatura]:[1º Período]],3,FALSE)&gt;0,VLOOKUP(tblHorasMai[Dia],tblDiaUtil[[Abreviatura]:[1º Período]],3,FALSE),JORNADA),
              ""),
         "")</f>
        <v/>
      </c>
      <c r="N13" s="14">
        <f>IF(OR(tblHorasMai[Horas Trabalhadas (1º Período)]&lt;&gt;0,tblHorasMai[Horas Trabalhadas (2º Período)]&lt;&gt;0),
        IF(ISNUMBER(tblHorasMai[Jornada Diária]),
              IF(tblHorasMai[Jornada Diária]&gt;(tblHorasMai[Horas Trabalhadas (2º Período)]+tblHorasMai[Horas Trabalhadas (1º Período)]),
                     IF(ROUND((tblHorasMai[Jornada Diária]-(tblHorasMai[Horas Trabalhadas (2º Período)]+tblHorasMai[Horas Trabalhadas (1º Período)])),6)&gt;ROUND(CARENCIA,6),
                           -tblHorasMai[Jornada Diária]+(tblHorasMai[Horas Trabalhadas (2º Período)]+tblHorasMai[Horas Trabalhadas (1º Período)]),
                           0),
                      IF(ROUND((tblHorasMai[Jornada Diária]-(tblHorasMai[Horas Trabalhadas (2º Período)]+tblHorasMai[Horas Trabalhadas (1º Período)])),6)&lt;ROUND(-CARENCIA,6),
                           -tblHorasMai[Jornada Diária]+(tblHorasMai[Horas Trabalhadas (2º Período)]+tblHorasMai[Horas Trabalhadas (1º Período)]),
                           0)),
              tblHorasMai[Horas Trabalhadas (2º Período)]+tblHorasMai[Horas Trabalhadas (1º Período)]),
         IF(AND(IF(ISERROR(VLOOKUP(tblHorasMai[Evento 
(1º Período)],tblEvento[[Evento]:[Libera o Período]],4,FALSE)),FALSE,IF(VLOOKUP(tblHorasMai[Evento 
(1º Período)],tblEvento[[Evento]:[Libera o Período]],4,FALSE)="Não",TRUE,FALSE)),IF(ISERROR(VLOOKUP(tblHorasMai[Evento 
(2º Período)],tblEvento[[Evento]:[Libera o Período]],4,FALSE)),FALSE,IF(VLOOKUP(tblHorasMai[Evento 
(2º Período)],tblEvento[[Evento]:[Libera o Período]],4,FALSE)="Não",TRUE,FALSE))),
-IF(VLOOKUP(tblHorasMai[Dia],tblDiaUtil[[Abreviatura]:[Total Jornada]],5,FALSE)&lt;&gt;"",VLOOKUP(tblHorasMai[Dia],tblDiaUtil[[Abreviatura]:[Total Jornada]],5,FALSE),JORNADA),
IF(IF(ISERROR(VLOOKUP(tblHorasMai[Evento 
(1º Período)],tblEvento[[Evento]:[Libera o Período]],4,FALSE)),FALSE,
IF(VLOOKUP(tblHorasMai[Evento 
(1º Período)],tblEvento[[Evento]:[Libera o Período]],4,FALSE)="Não",TRUE,FALSE)
),
-IF(VLOOKUP(tblHorasMai[Dia],tblDiaUtil[[Abreviatura]:[1º Período]],3,FALSE)&lt;&gt;"",VLOOKUP(tblHorasMai[Dia],tblDiaUtil[[Abreviatura]:[1º Período]],3,FALSE),JORNADA_PERIODO_1),
IF(IF(ISERROR(VLOOKUP(tblHorasMai[Evento 
(2º Período)],tblEvento[[Evento]:[Libera o Período]],4,FALSE)),FALSE,IF(VLOOKUP(tblHorasMai[Evento 
(2º Período)],tblEvento[[Evento]:[Libera o Período]],4,FALSE)="Não",TRUE,FALSE)),
-IF(VLOOKUP(tblHorasMai[Dia],tblDiaUtil[[Abreviatura]:[2º Período]],4,FALSE)&lt;&gt;"",VLOOKUP(tblHorasMai[Dia],tblDiaUtil[[Abreviatura]:[2º Período]],4,FALSE),JORNADA_PERIODO_2),0))))</f>
        <v>0</v>
      </c>
      <c r="O13" s="14">
        <f>IF(tblHorasMai[Horas Trabalhadas Além Jornada]&gt;0,
        IF(ISNUMBER(tblHorasMai[Jornada Diária]),
              IF(HOUR(tblHorasMai[Horas Trabalhadas Além Jornada])&gt;=VLOOKUP(LIMITE,tblLimiteHora[],Tabelas!$I$1,FALSE),
                    VLOOKUP(LIMITE,tblLimiteHora[],Tabelas!$J$1,FALSE),
                    tblHorasMai[Horas Trabalhadas Além Jornada]),
              tblHorasMai[Horas Trabalhadas Além Jornada]),
        tblHorasMai[Horas Trabalhadas Além Jornada])+O12</f>
        <v>0</v>
      </c>
      <c r="P13" s="14" t="str">
        <f>IF(tblHorasMai[Horas Trabalhadas Além Jornada]&lt;0,IF(OR(tblHorasMai[Evento 
(1º Período)]="",tblHorasMai[Evento 
(2º Período)]=""),tblHorasMai[Horas Trabalhadas Além Jornada],""),"")</f>
        <v/>
      </c>
      <c r="Q13" s="14" t="str">
        <f>IF(tblHorasMai[Jornada Diária]&lt;&gt;"",IF((N(tblHorasMai[Jornada Diária])-ABS(N(tblHorasMai[Horas Trabalhadas Além Jornada])))=0,1,""),"")</f>
        <v/>
      </c>
      <c r="R13" s="14" t="str">
        <f>IF(tblHorasMai[Horas Trabalhadas Além Jornada]&gt;0,
IF(AND(VLOOKUP(TEXT(tblHorasMai[Data],"dddd"),tblDiaUtil[],3,FALSE)="Sim",IF(tblHorasMai[Evento 
(1º Período)]&lt;&gt;"",IF(VLOOKUP(tblHorasMai[Evento 
(1º Período)],tblEvento[],Tabelas!$E$1,FALSE)="Sim",FALSE,TRUE),TRUE),IF(tblHorasMai[Evento 
(2º Período)]&lt;&gt;"",IF(VLOOKUP(tblHorasMai[Evento 
(2º Período)],tblEvento[],Tabelas!$E$1,FALSE)="Sim",FALSE,TRUE),TRUE)),
tblHorasMai[Horas Trabalhadas Além Jornada],""),"")</f>
        <v/>
      </c>
      <c r="S13" s="14" t="str">
        <f>IF(tblHorasMai[Horas Trabalhadas Além Jornada]&gt;0,
IF(OR(VLOOKUP(TEXT(tblHorasMai[Data],"dddd"),tblDiaUtil[],3,FALSE)="Não",IF(tblHorasMai[Evento 
(1º Período)]&lt;&gt;"",IF(VLOOKUP(tblHorasMai[Evento 
(1º Período)],tblEvento[],Tabelas!$E$1,FALSE)="Sim",TRUE,FALSE),FALSE),IF(tblHorasMai[Evento 
(2º Período)]&lt;&gt;"",IF(VLOOKUP(tblHorasMai[Evento 
(2º Período)],tblEvento[],Tabelas!$E$1,FALSE)="Sim",TRUE,FALSE),FALSE)),
tblHorasMai[Horas Trabalhadas Além Jornada],""),"")</f>
        <v/>
      </c>
      <c r="T13" s="15" t="str">
        <f>IF(tblHorasMai[Evento 
(1º Período)]&lt;&gt;""," - " &amp;VLOOKUP(tblHorasMai[Evento 
(1º Período)],tblEvento[],Tabelas!$F$1,FALSE),"")&amp;IF(AND(tblHorasMai[Evento 
(2º Período)]&lt;&gt;"",tblHorasMai[Evento 
(2º Período)]&lt;&gt;tblHorasMai[Evento 
(1º Período)])," - " &amp; VLOOKUP(tblHorasMai[Evento 
(2º Período)],tblEvento[],Tabelas!$F$1,FALSE),"")</f>
        <v/>
      </c>
    </row>
    <row r="14" spans="2:25" x14ac:dyDescent="0.25">
      <c r="B14" s="11" t="str">
        <f t="shared" si="0"/>
        <v/>
      </c>
      <c r="C14" s="12" t="str">
        <f>TEXT(tblHorasMai[Data],"ddd")</f>
        <v/>
      </c>
      <c r="D14" s="25"/>
      <c r="E14" s="1"/>
      <c r="F14" s="1"/>
      <c r="G14" s="1"/>
      <c r="H14" s="1"/>
      <c r="I14" s="53"/>
      <c r="J14" s="4">
        <f>IF($B$6&lt;&gt;"",
IF(AND(tblHorasMai[Evento 
(1º Período)]&lt;&gt;"",IF(ISERROR(VLOOKUP(tblHorasMai[Evento 
(1º Período)],tblEvento[],Tabelas!$D$1,FALSE)),FALSE,VLOOKUP(tblHorasMai[Evento 
(1º Período)],tblEvento[],Tabelas!$D$1,FALSE)="Sim")),
        IF(JORNADA_PERIODO_1&lt;&gt;"",
IF(VLOOKUP(tblHorasMai[Dia],tblDiaUtil[[Abreviatura]:[1º Período]],3,FALSE)&gt;0,VLOOKUP(tblHorasMai[Dia],tblDiaUtil[[Abreviatura]:[1º Período]],3,FALSE),JORNADA_PERIODO_1),
IF(VLOOKUP(tblHorasMai[Dia],tblDiaUtil[[Abreviatura]:[1º Período]],3,FALSE)&gt;0,VLOOKUP(tblHorasMai[Dia],tblDiaUtil[[Abreviatura]:[1º Período]],3,FALSE),JORNADA/2)),
        IF(AND(ISNUMBER(tblHorasMai[Saída - 1 (Almoço)]),ISNUMBER(tblHorasMai[Entrada - 1])),
              IF(OR(AND(tblHorasMai[Evento 
(1º Período)]&lt;&gt;"",IF(ISERROR(VLOOKUP(tblHorasMai[Evento 
(1º Período)],tblEvento[],Tabelas!$E$1,FALSE)),FALSE,VLOOKUP(tblHorasMai[Evento 
(1º Período)],tblEvento[],Tabelas!$E$1,FALSE)="Sim")),IF(VLOOKUP(TEXT(tblHorasMai[Data],"dddd"),tblDiaUtil[],2,FALSE)="Não",TRUE,FALSE)),
                   tblHorasMai[Saída - 1 (Almoço)]-tblHorasMai[Entrada - 1],
                   IF(OR(HOUR(tblHorasMai[Saída - 1 (Almoço)]-tblHorasMai[Entrada - 1])&gt;0,ROUND(tblHorasMai[Saída - 1 (Almoço)]-tblHorasMai[Entrada - 1],6)&gt;ROUND(CARENCIA,6)),
                          tblHorasMai[Saída - 1 (Almoço)]-tblHorasMai[Entrada - 1],
                          0)),
                    0)),0)</f>
        <v>0</v>
      </c>
      <c r="K14" s="4">
        <f>IF($B$6&lt;&gt;"",
IF(AND(tblHorasMai[Evento 
(2º Período)]&lt;&gt;"",IF(ISERROR(VLOOKUP(tblHorasMai[Evento 
(2º Período)],tblEvento[],Tabelas!$D$1,FALSE)),FALSE,VLOOKUP(tblHorasMai[Evento 
(2º Período)],tblEvento[],Tabelas!$D$1,FALSE)="Sim")),
        IF(JORNADA_PERIODO_2&lt;&gt;"",
IF(VLOOKUP(tblHorasMai[Dia],tblDiaUtil[[Abreviatura]:[2º Período]],4,FALSE)&gt;0,VLOOKUP(tblHorasMai[Dia],tblDiaUtil[[Abreviatura]:[2º Período]],4,FALSE),JORNADA_PERIODO_2),
IF(VLOOKUP(tblHorasMai[Dia],tblDiaUtil[[Abreviatura]:[2º Período]],4,FALSE)&gt;0,VLOOKUP(tblHorasMai[Dia],tblDiaUtil[[Abreviatura]:[2º Período]],4,FALSE),JORNADA/2)),
        IF(AND(ISNUMBER(tblHorasMai[Saída - 2]),ISNUMBER(tblHorasMai[Entrada - 2 (Almoço)])),
              IF(OR(AND(tblHorasMai[Evento 
(2º Período)]&lt;&gt;"",IF(ISERROR(VLOOKUP(tblHorasMai[Evento 
(2º Período)],tblEvento[],Tabelas!$E$1,FALSE)),FALSE,VLOOKUP(tblHorasMai[Evento 
(2º Período)],tblEvento[],Tabelas!$E$1,FALSE)="Sim")),IF(VLOOKUP(TEXT(tblHorasMai[Data],"dddd"),tblDiaUtil[],2,FALSE)="Não",TRUE,FALSE)),
                   tblHorasMai[Saída - 2]-tblHorasMai[Entrada - 2 (Almoço)],
                   IF(OR(HOUR(tblHorasMai[Saída - 2]-tblHorasMai[Entrada - 2 (Almoço)])&gt;0,MINUTE(tblHorasMai[Saída - 2]-tblHorasMai[Entrada - 2 (Almoço)])&gt;CARENCIA),
                         tblHorasMai[Saída - 2]-tblHorasMai[Entrada - 2 (Almoço)],
                         0)),
       0)),0)</f>
        <v>0</v>
      </c>
      <c r="L14" s="4">
        <f>tblHorasMai[Horas Trabalhadas (1º Período)]+tblHorasMai[Horas Trabalhadas (2º Período)]</f>
        <v>0</v>
      </c>
      <c r="M14" s="4" t="str">
        <f>IF(tblHorasMai[Data]&lt;&gt;"",
        IF(
AND(VLOOKUP(TEXT(tblHorasMai[Data],"dddd"),tblDiaUtil[],3,FALSE)="Sim",IF(tblHorasMai[Evento 
(1º Período)]&lt;&gt;"",IF(VLOOKUP(tblHorasMai[Evento 
(1º Período)],tblEvento[],Tabelas!$E$1,FALSE)="Sim",FALSE,TRUE),TRUE),IF(tblHorasMai[Evento 
(2º Período)]&lt;&gt;"",IF(VLOOKUP(tblHorasMai[Evento 
(2º Período)],tblEvento[],Tabelas!$E$1,FALSE)="Sim",FALSE,TRUE),TRUE)),
              IF(VLOOKUP(tblHorasMai[Dia],tblDiaUtil[[Abreviatura]:[1º Período]],3,FALSE)&gt;0,VLOOKUP(tblHorasMai[Dia],tblDiaUtil[[Abreviatura]:[1º Período]],3,FALSE),JORNADA),
              ""),
         "")</f>
        <v/>
      </c>
      <c r="N14" s="14">
        <f>IF(OR(tblHorasMai[Horas Trabalhadas (1º Período)]&lt;&gt;0,tblHorasMai[Horas Trabalhadas (2º Período)]&lt;&gt;0),
        IF(ISNUMBER(tblHorasMai[Jornada Diária]),
              IF(tblHorasMai[Jornada Diária]&gt;(tblHorasMai[Horas Trabalhadas (2º Período)]+tblHorasMai[Horas Trabalhadas (1º Período)]),
                     IF(ROUND((tblHorasMai[Jornada Diária]-(tblHorasMai[Horas Trabalhadas (2º Período)]+tblHorasMai[Horas Trabalhadas (1º Período)])),6)&gt;ROUND(CARENCIA,6),
                           -tblHorasMai[Jornada Diária]+(tblHorasMai[Horas Trabalhadas (2º Período)]+tblHorasMai[Horas Trabalhadas (1º Período)]),
                           0),
                      IF(ROUND((tblHorasMai[Jornada Diária]-(tblHorasMai[Horas Trabalhadas (2º Período)]+tblHorasMai[Horas Trabalhadas (1º Período)])),6)&lt;ROUND(-CARENCIA,6),
                           -tblHorasMai[Jornada Diária]+(tblHorasMai[Horas Trabalhadas (2º Período)]+tblHorasMai[Horas Trabalhadas (1º Período)]),
                           0)),
              tblHorasMai[Horas Trabalhadas (2º Período)]+tblHorasMai[Horas Trabalhadas (1º Período)]),
         IF(AND(IF(ISERROR(VLOOKUP(tblHorasMai[Evento 
(1º Período)],tblEvento[[Evento]:[Libera o Período]],4,FALSE)),FALSE,IF(VLOOKUP(tblHorasMai[Evento 
(1º Período)],tblEvento[[Evento]:[Libera o Período]],4,FALSE)="Não",TRUE,FALSE)),IF(ISERROR(VLOOKUP(tblHorasMai[Evento 
(2º Período)],tblEvento[[Evento]:[Libera o Período]],4,FALSE)),FALSE,IF(VLOOKUP(tblHorasMai[Evento 
(2º Período)],tblEvento[[Evento]:[Libera o Período]],4,FALSE)="Não",TRUE,FALSE))),
-IF(VLOOKUP(tblHorasMai[Dia],tblDiaUtil[[Abreviatura]:[Total Jornada]],5,FALSE)&lt;&gt;"",VLOOKUP(tblHorasMai[Dia],tblDiaUtil[[Abreviatura]:[Total Jornada]],5,FALSE),JORNADA),
IF(IF(ISERROR(VLOOKUP(tblHorasMai[Evento 
(1º Período)],tblEvento[[Evento]:[Libera o Período]],4,FALSE)),FALSE,
IF(VLOOKUP(tblHorasMai[Evento 
(1º Período)],tblEvento[[Evento]:[Libera o Período]],4,FALSE)="Não",TRUE,FALSE)
),
-IF(VLOOKUP(tblHorasMai[Dia],tblDiaUtil[[Abreviatura]:[1º Período]],3,FALSE)&lt;&gt;"",VLOOKUP(tblHorasMai[Dia],tblDiaUtil[[Abreviatura]:[1º Período]],3,FALSE),JORNADA_PERIODO_1),
IF(IF(ISERROR(VLOOKUP(tblHorasMai[Evento 
(2º Período)],tblEvento[[Evento]:[Libera o Período]],4,FALSE)),FALSE,IF(VLOOKUP(tblHorasMai[Evento 
(2º Período)],tblEvento[[Evento]:[Libera o Período]],4,FALSE)="Não",TRUE,FALSE)),
-IF(VLOOKUP(tblHorasMai[Dia],tblDiaUtil[[Abreviatura]:[2º Período]],4,FALSE)&lt;&gt;"",VLOOKUP(tblHorasMai[Dia],tblDiaUtil[[Abreviatura]:[2º Período]],4,FALSE),JORNADA_PERIODO_2),0))))</f>
        <v>0</v>
      </c>
      <c r="O14" s="14">
        <f>IF(tblHorasMai[Horas Trabalhadas Além Jornada]&gt;0,
        IF(ISNUMBER(tblHorasMai[Jornada Diária]),
              IF(HOUR(tblHorasMai[Horas Trabalhadas Além Jornada])&gt;=VLOOKUP(LIMITE,tblLimiteHora[],Tabelas!$I$1,FALSE),
                    VLOOKUP(LIMITE,tblLimiteHora[],Tabelas!$J$1,FALSE),
                    tblHorasMai[Horas Trabalhadas Além Jornada]),
              tblHorasMai[Horas Trabalhadas Além Jornada]),
        tblHorasMai[Horas Trabalhadas Além Jornada])+O13</f>
        <v>0</v>
      </c>
      <c r="P14" s="14" t="str">
        <f>IF(tblHorasMai[Horas Trabalhadas Além Jornada]&lt;0,IF(OR(tblHorasMai[Evento 
(1º Período)]="",tblHorasMai[Evento 
(2º Período)]=""),tblHorasMai[Horas Trabalhadas Além Jornada],""),"")</f>
        <v/>
      </c>
      <c r="Q14" s="14" t="str">
        <f>IF(tblHorasMai[Jornada Diária]&lt;&gt;"",IF((N(tblHorasMai[Jornada Diária])-ABS(N(tblHorasMai[Horas Trabalhadas Além Jornada])))=0,1,""),"")</f>
        <v/>
      </c>
      <c r="R14" s="14" t="str">
        <f>IF(tblHorasMai[Horas Trabalhadas Além Jornada]&gt;0,
IF(AND(VLOOKUP(TEXT(tblHorasMai[Data],"dddd"),tblDiaUtil[],3,FALSE)="Sim",IF(tblHorasMai[Evento 
(1º Período)]&lt;&gt;"",IF(VLOOKUP(tblHorasMai[Evento 
(1º Período)],tblEvento[],Tabelas!$E$1,FALSE)="Sim",FALSE,TRUE),TRUE),IF(tblHorasMai[Evento 
(2º Período)]&lt;&gt;"",IF(VLOOKUP(tblHorasMai[Evento 
(2º Período)],tblEvento[],Tabelas!$E$1,FALSE)="Sim",FALSE,TRUE),TRUE)),
tblHorasMai[Horas Trabalhadas Além Jornada],""),"")</f>
        <v/>
      </c>
      <c r="S14" s="14" t="str">
        <f>IF(tblHorasMai[Horas Trabalhadas Além Jornada]&gt;0,
IF(OR(VLOOKUP(TEXT(tblHorasMai[Data],"dddd"),tblDiaUtil[],3,FALSE)="Não",IF(tblHorasMai[Evento 
(1º Período)]&lt;&gt;"",IF(VLOOKUP(tblHorasMai[Evento 
(1º Período)],tblEvento[],Tabelas!$E$1,FALSE)="Sim",TRUE,FALSE),FALSE),IF(tblHorasMai[Evento 
(2º Período)]&lt;&gt;"",IF(VLOOKUP(tblHorasMai[Evento 
(2º Período)],tblEvento[],Tabelas!$E$1,FALSE)="Sim",TRUE,FALSE),FALSE)),
tblHorasMai[Horas Trabalhadas Além Jornada],""),"")</f>
        <v/>
      </c>
      <c r="T14" s="15" t="str">
        <f>IF(tblHorasMai[Evento 
(1º Período)]&lt;&gt;""," - " &amp;VLOOKUP(tblHorasMai[Evento 
(1º Período)],tblEvento[],Tabelas!$F$1,FALSE),"")&amp;IF(AND(tblHorasMai[Evento 
(2º Período)]&lt;&gt;"",tblHorasMai[Evento 
(2º Período)]&lt;&gt;tblHorasMai[Evento 
(1º Período)])," - " &amp; VLOOKUP(tblHorasMai[Evento 
(2º Período)],tblEvento[],Tabelas!$F$1,FALSE),"")</f>
        <v/>
      </c>
      <c r="X14" s="18"/>
      <c r="Y14" s="18"/>
    </row>
    <row r="15" spans="2:25" x14ac:dyDescent="0.25">
      <c r="B15" s="11" t="str">
        <f t="shared" si="0"/>
        <v/>
      </c>
      <c r="C15" s="12" t="str">
        <f>TEXT(tblHorasMai[Data],"ddd")</f>
        <v/>
      </c>
      <c r="D15" s="25"/>
      <c r="E15" s="1"/>
      <c r="F15" s="1"/>
      <c r="G15" s="1"/>
      <c r="H15" s="1"/>
      <c r="I15" s="53"/>
      <c r="J15" s="4">
        <f>IF($B$6&lt;&gt;"",
IF(AND(tblHorasMai[Evento 
(1º Período)]&lt;&gt;"",IF(ISERROR(VLOOKUP(tblHorasMai[Evento 
(1º Período)],tblEvento[],Tabelas!$D$1,FALSE)),FALSE,VLOOKUP(tblHorasMai[Evento 
(1º Período)],tblEvento[],Tabelas!$D$1,FALSE)="Sim")),
        IF(JORNADA_PERIODO_1&lt;&gt;"",
IF(VLOOKUP(tblHorasMai[Dia],tblDiaUtil[[Abreviatura]:[1º Período]],3,FALSE)&gt;0,VLOOKUP(tblHorasMai[Dia],tblDiaUtil[[Abreviatura]:[1º Período]],3,FALSE),JORNADA_PERIODO_1),
IF(VLOOKUP(tblHorasMai[Dia],tblDiaUtil[[Abreviatura]:[1º Período]],3,FALSE)&gt;0,VLOOKUP(tblHorasMai[Dia],tblDiaUtil[[Abreviatura]:[1º Período]],3,FALSE),JORNADA/2)),
        IF(AND(ISNUMBER(tblHorasMai[Saída - 1 (Almoço)]),ISNUMBER(tblHorasMai[Entrada - 1])),
              IF(OR(AND(tblHorasMai[Evento 
(1º Período)]&lt;&gt;"",IF(ISERROR(VLOOKUP(tblHorasMai[Evento 
(1º Período)],tblEvento[],Tabelas!$E$1,FALSE)),FALSE,VLOOKUP(tblHorasMai[Evento 
(1º Período)],tblEvento[],Tabelas!$E$1,FALSE)="Sim")),IF(VLOOKUP(TEXT(tblHorasMai[Data],"dddd"),tblDiaUtil[],2,FALSE)="Não",TRUE,FALSE)),
                   tblHorasMai[Saída - 1 (Almoço)]-tblHorasMai[Entrada - 1],
                   IF(OR(HOUR(tblHorasMai[Saída - 1 (Almoço)]-tblHorasMai[Entrada - 1])&gt;0,ROUND(tblHorasMai[Saída - 1 (Almoço)]-tblHorasMai[Entrada - 1],6)&gt;ROUND(CARENCIA,6)),
                          tblHorasMai[Saída - 1 (Almoço)]-tblHorasMai[Entrada - 1],
                          0)),
                    0)),0)</f>
        <v>0</v>
      </c>
      <c r="K15" s="4">
        <f>IF($B$6&lt;&gt;"",
IF(AND(tblHorasMai[Evento 
(2º Período)]&lt;&gt;"",IF(ISERROR(VLOOKUP(tblHorasMai[Evento 
(2º Período)],tblEvento[],Tabelas!$D$1,FALSE)),FALSE,VLOOKUP(tblHorasMai[Evento 
(2º Período)],tblEvento[],Tabelas!$D$1,FALSE)="Sim")),
        IF(JORNADA_PERIODO_2&lt;&gt;"",
IF(VLOOKUP(tblHorasMai[Dia],tblDiaUtil[[Abreviatura]:[2º Período]],4,FALSE)&gt;0,VLOOKUP(tblHorasMai[Dia],tblDiaUtil[[Abreviatura]:[2º Período]],4,FALSE),JORNADA_PERIODO_2),
IF(VLOOKUP(tblHorasMai[Dia],tblDiaUtil[[Abreviatura]:[2º Período]],4,FALSE)&gt;0,VLOOKUP(tblHorasMai[Dia],tblDiaUtil[[Abreviatura]:[2º Período]],4,FALSE),JORNADA/2)),
        IF(AND(ISNUMBER(tblHorasMai[Saída - 2]),ISNUMBER(tblHorasMai[Entrada - 2 (Almoço)])),
              IF(OR(AND(tblHorasMai[Evento 
(2º Período)]&lt;&gt;"",IF(ISERROR(VLOOKUP(tblHorasMai[Evento 
(2º Período)],tblEvento[],Tabelas!$E$1,FALSE)),FALSE,VLOOKUP(tblHorasMai[Evento 
(2º Período)],tblEvento[],Tabelas!$E$1,FALSE)="Sim")),IF(VLOOKUP(TEXT(tblHorasMai[Data],"dddd"),tblDiaUtil[],2,FALSE)="Não",TRUE,FALSE)),
                   tblHorasMai[Saída - 2]-tblHorasMai[Entrada - 2 (Almoço)],
                   IF(OR(HOUR(tblHorasMai[Saída - 2]-tblHorasMai[Entrada - 2 (Almoço)])&gt;0,MINUTE(tblHorasMai[Saída - 2]-tblHorasMai[Entrada - 2 (Almoço)])&gt;CARENCIA),
                         tblHorasMai[Saída - 2]-tblHorasMai[Entrada - 2 (Almoço)],
                         0)),
       0)),0)</f>
        <v>0</v>
      </c>
      <c r="L15" s="4">
        <f>tblHorasMai[Horas Trabalhadas (1º Período)]+tblHorasMai[Horas Trabalhadas (2º Período)]</f>
        <v>0</v>
      </c>
      <c r="M15" s="4" t="str">
        <f>IF(tblHorasMai[Data]&lt;&gt;"",
        IF(
AND(VLOOKUP(TEXT(tblHorasMai[Data],"dddd"),tblDiaUtil[],3,FALSE)="Sim",IF(tblHorasMai[Evento 
(1º Período)]&lt;&gt;"",IF(VLOOKUP(tblHorasMai[Evento 
(1º Período)],tblEvento[],Tabelas!$E$1,FALSE)="Sim",FALSE,TRUE),TRUE),IF(tblHorasMai[Evento 
(2º Período)]&lt;&gt;"",IF(VLOOKUP(tblHorasMai[Evento 
(2º Período)],tblEvento[],Tabelas!$E$1,FALSE)="Sim",FALSE,TRUE),TRUE)),
              IF(VLOOKUP(tblHorasMai[Dia],tblDiaUtil[[Abreviatura]:[1º Período]],3,FALSE)&gt;0,VLOOKUP(tblHorasMai[Dia],tblDiaUtil[[Abreviatura]:[1º Período]],3,FALSE),JORNADA),
              ""),
         "")</f>
        <v/>
      </c>
      <c r="N15" s="14">
        <f>IF(OR(tblHorasMai[Horas Trabalhadas (1º Período)]&lt;&gt;0,tblHorasMai[Horas Trabalhadas (2º Período)]&lt;&gt;0),
        IF(ISNUMBER(tblHorasMai[Jornada Diária]),
              IF(tblHorasMai[Jornada Diária]&gt;(tblHorasMai[Horas Trabalhadas (2º Período)]+tblHorasMai[Horas Trabalhadas (1º Período)]),
                     IF(ROUND((tblHorasMai[Jornada Diária]-(tblHorasMai[Horas Trabalhadas (2º Período)]+tblHorasMai[Horas Trabalhadas (1º Período)])),6)&gt;ROUND(CARENCIA,6),
                           -tblHorasMai[Jornada Diária]+(tblHorasMai[Horas Trabalhadas (2º Período)]+tblHorasMai[Horas Trabalhadas (1º Período)]),
                           0),
                      IF(ROUND((tblHorasMai[Jornada Diária]-(tblHorasMai[Horas Trabalhadas (2º Período)]+tblHorasMai[Horas Trabalhadas (1º Período)])),6)&lt;ROUND(-CARENCIA,6),
                           -tblHorasMai[Jornada Diária]+(tblHorasMai[Horas Trabalhadas (2º Período)]+tblHorasMai[Horas Trabalhadas (1º Período)]),
                           0)),
              tblHorasMai[Horas Trabalhadas (2º Período)]+tblHorasMai[Horas Trabalhadas (1º Período)]),
         IF(AND(IF(ISERROR(VLOOKUP(tblHorasMai[Evento 
(1º Período)],tblEvento[[Evento]:[Libera o Período]],4,FALSE)),FALSE,IF(VLOOKUP(tblHorasMai[Evento 
(1º Período)],tblEvento[[Evento]:[Libera o Período]],4,FALSE)="Não",TRUE,FALSE)),IF(ISERROR(VLOOKUP(tblHorasMai[Evento 
(2º Período)],tblEvento[[Evento]:[Libera o Período]],4,FALSE)),FALSE,IF(VLOOKUP(tblHorasMai[Evento 
(2º Período)],tblEvento[[Evento]:[Libera o Período]],4,FALSE)="Não",TRUE,FALSE))),
-IF(VLOOKUP(tblHorasMai[Dia],tblDiaUtil[[Abreviatura]:[Total Jornada]],5,FALSE)&lt;&gt;"",VLOOKUP(tblHorasMai[Dia],tblDiaUtil[[Abreviatura]:[Total Jornada]],5,FALSE),JORNADA),
IF(IF(ISERROR(VLOOKUP(tblHorasMai[Evento 
(1º Período)],tblEvento[[Evento]:[Libera o Período]],4,FALSE)),FALSE,
IF(VLOOKUP(tblHorasMai[Evento 
(1º Período)],tblEvento[[Evento]:[Libera o Período]],4,FALSE)="Não",TRUE,FALSE)
),
-IF(VLOOKUP(tblHorasMai[Dia],tblDiaUtil[[Abreviatura]:[1º Período]],3,FALSE)&lt;&gt;"",VLOOKUP(tblHorasMai[Dia],tblDiaUtil[[Abreviatura]:[1º Período]],3,FALSE),JORNADA_PERIODO_1),
IF(IF(ISERROR(VLOOKUP(tblHorasMai[Evento 
(2º Período)],tblEvento[[Evento]:[Libera o Período]],4,FALSE)),FALSE,IF(VLOOKUP(tblHorasMai[Evento 
(2º Período)],tblEvento[[Evento]:[Libera o Período]],4,FALSE)="Não",TRUE,FALSE)),
-IF(VLOOKUP(tblHorasMai[Dia],tblDiaUtil[[Abreviatura]:[2º Período]],4,FALSE)&lt;&gt;"",VLOOKUP(tblHorasMai[Dia],tblDiaUtil[[Abreviatura]:[2º Período]],4,FALSE),JORNADA_PERIODO_2),0))))</f>
        <v>0</v>
      </c>
      <c r="O15" s="14">
        <f>IF(tblHorasMai[Horas Trabalhadas Além Jornada]&gt;0,
        IF(ISNUMBER(tblHorasMai[Jornada Diária]),
              IF(HOUR(tblHorasMai[Horas Trabalhadas Além Jornada])&gt;=VLOOKUP(LIMITE,tblLimiteHora[],Tabelas!$I$1,FALSE),
                    VLOOKUP(LIMITE,tblLimiteHora[],Tabelas!$J$1,FALSE),
                    tblHorasMai[Horas Trabalhadas Além Jornada]),
              tblHorasMai[Horas Trabalhadas Além Jornada]),
        tblHorasMai[Horas Trabalhadas Além Jornada])+O14</f>
        <v>0</v>
      </c>
      <c r="P15" s="14" t="str">
        <f>IF(tblHorasMai[Horas Trabalhadas Além Jornada]&lt;0,IF(OR(tblHorasMai[Evento 
(1º Período)]="",tblHorasMai[Evento 
(2º Período)]=""),tblHorasMai[Horas Trabalhadas Além Jornada],""),"")</f>
        <v/>
      </c>
      <c r="Q15" s="14" t="str">
        <f>IF(tblHorasMai[Jornada Diária]&lt;&gt;"",IF((N(tblHorasMai[Jornada Diária])-ABS(N(tblHorasMai[Horas Trabalhadas Além Jornada])))=0,1,""),"")</f>
        <v/>
      </c>
      <c r="R15" s="14" t="str">
        <f>IF(tblHorasMai[Horas Trabalhadas Além Jornada]&gt;0,
IF(AND(VLOOKUP(TEXT(tblHorasMai[Data],"dddd"),tblDiaUtil[],3,FALSE)="Sim",IF(tblHorasMai[Evento 
(1º Período)]&lt;&gt;"",IF(VLOOKUP(tblHorasMai[Evento 
(1º Período)],tblEvento[],Tabelas!$E$1,FALSE)="Sim",FALSE,TRUE),TRUE),IF(tblHorasMai[Evento 
(2º Período)]&lt;&gt;"",IF(VLOOKUP(tblHorasMai[Evento 
(2º Período)],tblEvento[],Tabelas!$E$1,FALSE)="Sim",FALSE,TRUE),TRUE)),
tblHorasMai[Horas Trabalhadas Além Jornada],""),"")</f>
        <v/>
      </c>
      <c r="S15" s="14" t="str">
        <f>IF(tblHorasMai[Horas Trabalhadas Além Jornada]&gt;0,
IF(OR(VLOOKUP(TEXT(tblHorasMai[Data],"dddd"),tblDiaUtil[],3,FALSE)="Não",IF(tblHorasMai[Evento 
(1º Período)]&lt;&gt;"",IF(VLOOKUP(tblHorasMai[Evento 
(1º Período)],tblEvento[],Tabelas!$E$1,FALSE)="Sim",TRUE,FALSE),FALSE),IF(tblHorasMai[Evento 
(2º Período)]&lt;&gt;"",IF(VLOOKUP(tblHorasMai[Evento 
(2º Período)],tblEvento[],Tabelas!$E$1,FALSE)="Sim",TRUE,FALSE),FALSE)),
tblHorasMai[Horas Trabalhadas Além Jornada],""),"")</f>
        <v/>
      </c>
      <c r="T15" s="15" t="str">
        <f>IF(tblHorasMai[Evento 
(1º Período)]&lt;&gt;""," - " &amp;VLOOKUP(tblHorasMai[Evento 
(1º Período)],tblEvento[],Tabelas!$F$1,FALSE),"")&amp;IF(AND(tblHorasMai[Evento 
(2º Período)]&lt;&gt;"",tblHorasMai[Evento 
(2º Período)]&lt;&gt;tblHorasMai[Evento 
(1º Período)])," - " &amp; VLOOKUP(tblHorasMai[Evento 
(2º Período)],tblEvento[],Tabelas!$F$1,FALSE),"")</f>
        <v/>
      </c>
      <c r="X15" s="17"/>
    </row>
    <row r="16" spans="2:25" x14ac:dyDescent="0.25">
      <c r="B16" s="11" t="str">
        <f t="shared" si="0"/>
        <v/>
      </c>
      <c r="C16" s="12" t="str">
        <f>TEXT(tblHorasMai[Data],"ddd")</f>
        <v/>
      </c>
      <c r="D16" s="25"/>
      <c r="E16" s="1"/>
      <c r="F16" s="1"/>
      <c r="G16" s="1"/>
      <c r="H16" s="1"/>
      <c r="I16" s="53"/>
      <c r="J16" s="4">
        <f>IF($B$6&lt;&gt;"",
IF(AND(tblHorasMai[Evento 
(1º Período)]&lt;&gt;"",IF(ISERROR(VLOOKUP(tblHorasMai[Evento 
(1º Período)],tblEvento[],Tabelas!$D$1,FALSE)),FALSE,VLOOKUP(tblHorasMai[Evento 
(1º Período)],tblEvento[],Tabelas!$D$1,FALSE)="Sim")),
        IF(JORNADA_PERIODO_1&lt;&gt;"",
IF(VLOOKUP(tblHorasMai[Dia],tblDiaUtil[[Abreviatura]:[1º Período]],3,FALSE)&gt;0,VLOOKUP(tblHorasMai[Dia],tblDiaUtil[[Abreviatura]:[1º Período]],3,FALSE),JORNADA_PERIODO_1),
IF(VLOOKUP(tblHorasMai[Dia],tblDiaUtil[[Abreviatura]:[1º Período]],3,FALSE)&gt;0,VLOOKUP(tblHorasMai[Dia],tblDiaUtil[[Abreviatura]:[1º Período]],3,FALSE),JORNADA/2)),
        IF(AND(ISNUMBER(tblHorasMai[Saída - 1 (Almoço)]),ISNUMBER(tblHorasMai[Entrada - 1])),
              IF(OR(AND(tblHorasMai[Evento 
(1º Período)]&lt;&gt;"",IF(ISERROR(VLOOKUP(tblHorasMai[Evento 
(1º Período)],tblEvento[],Tabelas!$E$1,FALSE)),FALSE,VLOOKUP(tblHorasMai[Evento 
(1º Período)],tblEvento[],Tabelas!$E$1,FALSE)="Sim")),IF(VLOOKUP(TEXT(tblHorasMai[Data],"dddd"),tblDiaUtil[],2,FALSE)="Não",TRUE,FALSE)),
                   tblHorasMai[Saída - 1 (Almoço)]-tblHorasMai[Entrada - 1],
                   IF(OR(HOUR(tblHorasMai[Saída - 1 (Almoço)]-tblHorasMai[Entrada - 1])&gt;0,ROUND(tblHorasMai[Saída - 1 (Almoço)]-tblHorasMai[Entrada - 1],6)&gt;ROUND(CARENCIA,6)),
                          tblHorasMai[Saída - 1 (Almoço)]-tblHorasMai[Entrada - 1],
                          0)),
                    0)),0)</f>
        <v>0</v>
      </c>
      <c r="K16" s="4">
        <f>IF($B$6&lt;&gt;"",
IF(AND(tblHorasMai[Evento 
(2º Período)]&lt;&gt;"",IF(ISERROR(VLOOKUP(tblHorasMai[Evento 
(2º Período)],tblEvento[],Tabelas!$D$1,FALSE)),FALSE,VLOOKUP(tblHorasMai[Evento 
(2º Período)],tblEvento[],Tabelas!$D$1,FALSE)="Sim")),
        IF(JORNADA_PERIODO_2&lt;&gt;"",
IF(VLOOKUP(tblHorasMai[Dia],tblDiaUtil[[Abreviatura]:[2º Período]],4,FALSE)&gt;0,VLOOKUP(tblHorasMai[Dia],tblDiaUtil[[Abreviatura]:[2º Período]],4,FALSE),JORNADA_PERIODO_2),
IF(VLOOKUP(tblHorasMai[Dia],tblDiaUtil[[Abreviatura]:[2º Período]],4,FALSE)&gt;0,VLOOKUP(tblHorasMai[Dia],tblDiaUtil[[Abreviatura]:[2º Período]],4,FALSE),JORNADA/2)),
        IF(AND(ISNUMBER(tblHorasMai[Saída - 2]),ISNUMBER(tblHorasMai[Entrada - 2 (Almoço)])),
              IF(OR(AND(tblHorasMai[Evento 
(2º Período)]&lt;&gt;"",IF(ISERROR(VLOOKUP(tblHorasMai[Evento 
(2º Período)],tblEvento[],Tabelas!$E$1,FALSE)),FALSE,VLOOKUP(tblHorasMai[Evento 
(2º Período)],tblEvento[],Tabelas!$E$1,FALSE)="Sim")),IF(VLOOKUP(TEXT(tblHorasMai[Data],"dddd"),tblDiaUtil[],2,FALSE)="Não",TRUE,FALSE)),
                   tblHorasMai[Saída - 2]-tblHorasMai[Entrada - 2 (Almoço)],
                   IF(OR(HOUR(tblHorasMai[Saída - 2]-tblHorasMai[Entrada - 2 (Almoço)])&gt;0,MINUTE(tblHorasMai[Saída - 2]-tblHorasMai[Entrada - 2 (Almoço)])&gt;CARENCIA),
                         tblHorasMai[Saída - 2]-tblHorasMai[Entrada - 2 (Almoço)],
                         0)),
       0)),0)</f>
        <v>0</v>
      </c>
      <c r="L16" s="4">
        <f>tblHorasMai[Horas Trabalhadas (1º Período)]+tblHorasMai[Horas Trabalhadas (2º Período)]</f>
        <v>0</v>
      </c>
      <c r="M16" s="4" t="str">
        <f>IF(tblHorasMai[Data]&lt;&gt;"",
        IF(
AND(VLOOKUP(TEXT(tblHorasMai[Data],"dddd"),tblDiaUtil[],3,FALSE)="Sim",IF(tblHorasMai[Evento 
(1º Período)]&lt;&gt;"",IF(VLOOKUP(tblHorasMai[Evento 
(1º Período)],tblEvento[],Tabelas!$E$1,FALSE)="Sim",FALSE,TRUE),TRUE),IF(tblHorasMai[Evento 
(2º Período)]&lt;&gt;"",IF(VLOOKUP(tblHorasMai[Evento 
(2º Período)],tblEvento[],Tabelas!$E$1,FALSE)="Sim",FALSE,TRUE),TRUE)),
              IF(VLOOKUP(tblHorasMai[Dia],tblDiaUtil[[Abreviatura]:[1º Período]],3,FALSE)&gt;0,VLOOKUP(tblHorasMai[Dia],tblDiaUtil[[Abreviatura]:[1º Período]],3,FALSE),JORNADA),
              ""),
         "")</f>
        <v/>
      </c>
      <c r="N16" s="14">
        <f>IF(OR(tblHorasMai[Horas Trabalhadas (1º Período)]&lt;&gt;0,tblHorasMai[Horas Trabalhadas (2º Período)]&lt;&gt;0),
        IF(ISNUMBER(tblHorasMai[Jornada Diária]),
              IF(tblHorasMai[Jornada Diária]&gt;(tblHorasMai[Horas Trabalhadas (2º Período)]+tblHorasMai[Horas Trabalhadas (1º Período)]),
                     IF(ROUND((tblHorasMai[Jornada Diária]-(tblHorasMai[Horas Trabalhadas (2º Período)]+tblHorasMai[Horas Trabalhadas (1º Período)])),6)&gt;ROUND(CARENCIA,6),
                           -tblHorasMai[Jornada Diária]+(tblHorasMai[Horas Trabalhadas (2º Período)]+tblHorasMai[Horas Trabalhadas (1º Período)]),
                           0),
                      IF(ROUND((tblHorasMai[Jornada Diária]-(tblHorasMai[Horas Trabalhadas (2º Período)]+tblHorasMai[Horas Trabalhadas (1º Período)])),6)&lt;ROUND(-CARENCIA,6),
                           -tblHorasMai[Jornada Diária]+(tblHorasMai[Horas Trabalhadas (2º Período)]+tblHorasMai[Horas Trabalhadas (1º Período)]),
                           0)),
              tblHorasMai[Horas Trabalhadas (2º Período)]+tblHorasMai[Horas Trabalhadas (1º Período)]),
         IF(AND(IF(ISERROR(VLOOKUP(tblHorasMai[Evento 
(1º Período)],tblEvento[[Evento]:[Libera o Período]],4,FALSE)),FALSE,IF(VLOOKUP(tblHorasMai[Evento 
(1º Período)],tblEvento[[Evento]:[Libera o Período]],4,FALSE)="Não",TRUE,FALSE)),IF(ISERROR(VLOOKUP(tblHorasMai[Evento 
(2º Período)],tblEvento[[Evento]:[Libera o Período]],4,FALSE)),FALSE,IF(VLOOKUP(tblHorasMai[Evento 
(2º Período)],tblEvento[[Evento]:[Libera o Período]],4,FALSE)="Não",TRUE,FALSE))),
-IF(VLOOKUP(tblHorasMai[Dia],tblDiaUtil[[Abreviatura]:[Total Jornada]],5,FALSE)&lt;&gt;"",VLOOKUP(tblHorasMai[Dia],tblDiaUtil[[Abreviatura]:[Total Jornada]],5,FALSE),JORNADA),
IF(IF(ISERROR(VLOOKUP(tblHorasMai[Evento 
(1º Período)],tblEvento[[Evento]:[Libera o Período]],4,FALSE)),FALSE,
IF(VLOOKUP(tblHorasMai[Evento 
(1º Período)],tblEvento[[Evento]:[Libera o Período]],4,FALSE)="Não",TRUE,FALSE)
),
-IF(VLOOKUP(tblHorasMai[Dia],tblDiaUtil[[Abreviatura]:[1º Período]],3,FALSE)&lt;&gt;"",VLOOKUP(tblHorasMai[Dia],tblDiaUtil[[Abreviatura]:[1º Período]],3,FALSE),JORNADA_PERIODO_1),
IF(IF(ISERROR(VLOOKUP(tblHorasMai[Evento 
(2º Período)],tblEvento[[Evento]:[Libera o Período]],4,FALSE)),FALSE,IF(VLOOKUP(tblHorasMai[Evento 
(2º Período)],tblEvento[[Evento]:[Libera o Período]],4,FALSE)="Não",TRUE,FALSE)),
-IF(VLOOKUP(tblHorasMai[Dia],tblDiaUtil[[Abreviatura]:[2º Período]],4,FALSE)&lt;&gt;"",VLOOKUP(tblHorasMai[Dia],tblDiaUtil[[Abreviatura]:[2º Período]],4,FALSE),JORNADA_PERIODO_2),0))))</f>
        <v>0</v>
      </c>
      <c r="O16" s="14">
        <f>IF(tblHorasMai[Horas Trabalhadas Além Jornada]&gt;0,
        IF(ISNUMBER(tblHorasMai[Jornada Diária]),
              IF(HOUR(tblHorasMai[Horas Trabalhadas Além Jornada])&gt;=VLOOKUP(LIMITE,tblLimiteHora[],Tabelas!$I$1,FALSE),
                    VLOOKUP(LIMITE,tblLimiteHora[],Tabelas!$J$1,FALSE),
                    tblHorasMai[Horas Trabalhadas Além Jornada]),
              tblHorasMai[Horas Trabalhadas Além Jornada]),
        tblHorasMai[Horas Trabalhadas Além Jornada])+O15</f>
        <v>0</v>
      </c>
      <c r="P16" s="14" t="str">
        <f>IF(tblHorasMai[Horas Trabalhadas Além Jornada]&lt;0,IF(OR(tblHorasMai[Evento 
(1º Período)]="",tblHorasMai[Evento 
(2º Período)]=""),tblHorasMai[Horas Trabalhadas Além Jornada],""),"")</f>
        <v/>
      </c>
      <c r="Q16" s="14" t="str">
        <f>IF(tblHorasMai[Jornada Diária]&lt;&gt;"",IF((N(tblHorasMai[Jornada Diária])-ABS(N(tblHorasMai[Horas Trabalhadas Além Jornada])))=0,1,""),"")</f>
        <v/>
      </c>
      <c r="R16" s="14" t="str">
        <f>IF(tblHorasMai[Horas Trabalhadas Além Jornada]&gt;0,
IF(AND(VLOOKUP(TEXT(tblHorasMai[Data],"dddd"),tblDiaUtil[],3,FALSE)="Sim",IF(tblHorasMai[Evento 
(1º Período)]&lt;&gt;"",IF(VLOOKUP(tblHorasMai[Evento 
(1º Período)],tblEvento[],Tabelas!$E$1,FALSE)="Sim",FALSE,TRUE),TRUE),IF(tblHorasMai[Evento 
(2º Período)]&lt;&gt;"",IF(VLOOKUP(tblHorasMai[Evento 
(2º Período)],tblEvento[],Tabelas!$E$1,FALSE)="Sim",FALSE,TRUE),TRUE)),
tblHorasMai[Horas Trabalhadas Além Jornada],""),"")</f>
        <v/>
      </c>
      <c r="S16" s="14" t="str">
        <f>IF(tblHorasMai[Horas Trabalhadas Além Jornada]&gt;0,
IF(OR(VLOOKUP(TEXT(tblHorasMai[Data],"dddd"),tblDiaUtil[],3,FALSE)="Não",IF(tblHorasMai[Evento 
(1º Período)]&lt;&gt;"",IF(VLOOKUP(tblHorasMai[Evento 
(1º Período)],tblEvento[],Tabelas!$E$1,FALSE)="Sim",TRUE,FALSE),FALSE),IF(tblHorasMai[Evento 
(2º Período)]&lt;&gt;"",IF(VLOOKUP(tblHorasMai[Evento 
(2º Período)],tblEvento[],Tabelas!$E$1,FALSE)="Sim",TRUE,FALSE),FALSE)),
tblHorasMai[Horas Trabalhadas Além Jornada],""),"")</f>
        <v/>
      </c>
      <c r="T16" s="15" t="str">
        <f>IF(tblHorasMai[Evento 
(1º Período)]&lt;&gt;""," - " &amp;VLOOKUP(tblHorasMai[Evento 
(1º Período)],tblEvento[],Tabelas!$F$1,FALSE),"")&amp;IF(AND(tblHorasMai[Evento 
(2º Período)]&lt;&gt;"",tblHorasMai[Evento 
(2º Período)]&lt;&gt;tblHorasMai[Evento 
(1º Período)])," - " &amp; VLOOKUP(tblHorasMai[Evento 
(2º Período)],tblEvento[],Tabelas!$F$1,FALSE),"")</f>
        <v/>
      </c>
    </row>
    <row r="17" spans="2:20" x14ac:dyDescent="0.25">
      <c r="B17" s="11" t="str">
        <f t="shared" si="0"/>
        <v/>
      </c>
      <c r="C17" s="12" t="str">
        <f>TEXT(tblHorasMai[Data],"ddd")</f>
        <v/>
      </c>
      <c r="D17" s="25"/>
      <c r="E17" s="1"/>
      <c r="F17" s="1"/>
      <c r="G17" s="1"/>
      <c r="H17" s="1"/>
      <c r="I17" s="53"/>
      <c r="J17" s="4">
        <f>IF($B$6&lt;&gt;"",
IF(AND(tblHorasMai[Evento 
(1º Período)]&lt;&gt;"",IF(ISERROR(VLOOKUP(tblHorasMai[Evento 
(1º Período)],tblEvento[],Tabelas!$D$1,FALSE)),FALSE,VLOOKUP(tblHorasMai[Evento 
(1º Período)],tblEvento[],Tabelas!$D$1,FALSE)="Sim")),
        IF(JORNADA_PERIODO_1&lt;&gt;"",
IF(VLOOKUP(tblHorasMai[Dia],tblDiaUtil[[Abreviatura]:[1º Período]],3,FALSE)&gt;0,VLOOKUP(tblHorasMai[Dia],tblDiaUtil[[Abreviatura]:[1º Período]],3,FALSE),JORNADA_PERIODO_1),
IF(VLOOKUP(tblHorasMai[Dia],tblDiaUtil[[Abreviatura]:[1º Período]],3,FALSE)&gt;0,VLOOKUP(tblHorasMai[Dia],tblDiaUtil[[Abreviatura]:[1º Período]],3,FALSE),JORNADA/2)),
        IF(AND(ISNUMBER(tblHorasMai[Saída - 1 (Almoço)]),ISNUMBER(tblHorasMai[Entrada - 1])),
              IF(OR(AND(tblHorasMai[Evento 
(1º Período)]&lt;&gt;"",IF(ISERROR(VLOOKUP(tblHorasMai[Evento 
(1º Período)],tblEvento[],Tabelas!$E$1,FALSE)),FALSE,VLOOKUP(tblHorasMai[Evento 
(1º Período)],tblEvento[],Tabelas!$E$1,FALSE)="Sim")),IF(VLOOKUP(TEXT(tblHorasMai[Data],"dddd"),tblDiaUtil[],2,FALSE)="Não",TRUE,FALSE)),
                   tblHorasMai[Saída - 1 (Almoço)]-tblHorasMai[Entrada - 1],
                   IF(OR(HOUR(tblHorasMai[Saída - 1 (Almoço)]-tblHorasMai[Entrada - 1])&gt;0,ROUND(tblHorasMai[Saída - 1 (Almoço)]-tblHorasMai[Entrada - 1],6)&gt;ROUND(CARENCIA,6)),
                          tblHorasMai[Saída - 1 (Almoço)]-tblHorasMai[Entrada - 1],
                          0)),
                    0)),0)</f>
        <v>0</v>
      </c>
      <c r="K17" s="4">
        <f>IF($B$6&lt;&gt;"",
IF(AND(tblHorasMai[Evento 
(2º Período)]&lt;&gt;"",IF(ISERROR(VLOOKUP(tblHorasMai[Evento 
(2º Período)],tblEvento[],Tabelas!$D$1,FALSE)),FALSE,VLOOKUP(tblHorasMai[Evento 
(2º Período)],tblEvento[],Tabelas!$D$1,FALSE)="Sim")),
        IF(JORNADA_PERIODO_2&lt;&gt;"",
IF(VLOOKUP(tblHorasMai[Dia],tblDiaUtil[[Abreviatura]:[2º Período]],4,FALSE)&gt;0,VLOOKUP(tblHorasMai[Dia],tblDiaUtil[[Abreviatura]:[2º Período]],4,FALSE),JORNADA_PERIODO_2),
IF(VLOOKUP(tblHorasMai[Dia],tblDiaUtil[[Abreviatura]:[2º Período]],4,FALSE)&gt;0,VLOOKUP(tblHorasMai[Dia],tblDiaUtil[[Abreviatura]:[2º Período]],4,FALSE),JORNADA/2)),
        IF(AND(ISNUMBER(tblHorasMai[Saída - 2]),ISNUMBER(tblHorasMai[Entrada - 2 (Almoço)])),
              IF(OR(AND(tblHorasMai[Evento 
(2º Período)]&lt;&gt;"",IF(ISERROR(VLOOKUP(tblHorasMai[Evento 
(2º Período)],tblEvento[],Tabelas!$E$1,FALSE)),FALSE,VLOOKUP(tblHorasMai[Evento 
(2º Período)],tblEvento[],Tabelas!$E$1,FALSE)="Sim")),IF(VLOOKUP(TEXT(tblHorasMai[Data],"dddd"),tblDiaUtil[],2,FALSE)="Não",TRUE,FALSE)),
                   tblHorasMai[Saída - 2]-tblHorasMai[Entrada - 2 (Almoço)],
                   IF(OR(HOUR(tblHorasMai[Saída - 2]-tblHorasMai[Entrada - 2 (Almoço)])&gt;0,MINUTE(tblHorasMai[Saída - 2]-tblHorasMai[Entrada - 2 (Almoço)])&gt;CARENCIA),
                         tblHorasMai[Saída - 2]-tblHorasMai[Entrada - 2 (Almoço)],
                         0)),
       0)),0)</f>
        <v>0</v>
      </c>
      <c r="L17" s="4">
        <f>tblHorasMai[Horas Trabalhadas (1º Período)]+tblHorasMai[Horas Trabalhadas (2º Período)]</f>
        <v>0</v>
      </c>
      <c r="M17" s="4" t="str">
        <f>IF(tblHorasMai[Data]&lt;&gt;"",
        IF(
AND(VLOOKUP(TEXT(tblHorasMai[Data],"dddd"),tblDiaUtil[],3,FALSE)="Sim",IF(tblHorasMai[Evento 
(1º Período)]&lt;&gt;"",IF(VLOOKUP(tblHorasMai[Evento 
(1º Período)],tblEvento[],Tabelas!$E$1,FALSE)="Sim",FALSE,TRUE),TRUE),IF(tblHorasMai[Evento 
(2º Período)]&lt;&gt;"",IF(VLOOKUP(tblHorasMai[Evento 
(2º Período)],tblEvento[],Tabelas!$E$1,FALSE)="Sim",FALSE,TRUE),TRUE)),
              IF(VLOOKUP(tblHorasMai[Dia],tblDiaUtil[[Abreviatura]:[1º Período]],3,FALSE)&gt;0,VLOOKUP(tblHorasMai[Dia],tblDiaUtil[[Abreviatura]:[1º Período]],3,FALSE),JORNADA),
              ""),
         "")</f>
        <v/>
      </c>
      <c r="N17" s="14">
        <f>IF(OR(tblHorasMai[Horas Trabalhadas (1º Período)]&lt;&gt;0,tblHorasMai[Horas Trabalhadas (2º Período)]&lt;&gt;0),
        IF(ISNUMBER(tblHorasMai[Jornada Diária]),
              IF(tblHorasMai[Jornada Diária]&gt;(tblHorasMai[Horas Trabalhadas (2º Período)]+tblHorasMai[Horas Trabalhadas (1º Período)]),
                     IF(ROUND((tblHorasMai[Jornada Diária]-(tblHorasMai[Horas Trabalhadas (2º Período)]+tblHorasMai[Horas Trabalhadas (1º Período)])),6)&gt;ROUND(CARENCIA,6),
                           -tblHorasMai[Jornada Diária]+(tblHorasMai[Horas Trabalhadas (2º Período)]+tblHorasMai[Horas Trabalhadas (1º Período)]),
                           0),
                      IF(ROUND((tblHorasMai[Jornada Diária]-(tblHorasMai[Horas Trabalhadas (2º Período)]+tblHorasMai[Horas Trabalhadas (1º Período)])),6)&lt;ROUND(-CARENCIA,6),
                           -tblHorasMai[Jornada Diária]+(tblHorasMai[Horas Trabalhadas (2º Período)]+tblHorasMai[Horas Trabalhadas (1º Período)]),
                           0)),
              tblHorasMai[Horas Trabalhadas (2º Período)]+tblHorasMai[Horas Trabalhadas (1º Período)]),
         IF(AND(IF(ISERROR(VLOOKUP(tblHorasMai[Evento 
(1º Período)],tblEvento[[Evento]:[Libera o Período]],4,FALSE)),FALSE,IF(VLOOKUP(tblHorasMai[Evento 
(1º Período)],tblEvento[[Evento]:[Libera o Período]],4,FALSE)="Não",TRUE,FALSE)),IF(ISERROR(VLOOKUP(tblHorasMai[Evento 
(2º Período)],tblEvento[[Evento]:[Libera o Período]],4,FALSE)),FALSE,IF(VLOOKUP(tblHorasMai[Evento 
(2º Período)],tblEvento[[Evento]:[Libera o Período]],4,FALSE)="Não",TRUE,FALSE))),
-IF(VLOOKUP(tblHorasMai[Dia],tblDiaUtil[[Abreviatura]:[Total Jornada]],5,FALSE)&lt;&gt;"",VLOOKUP(tblHorasMai[Dia],tblDiaUtil[[Abreviatura]:[Total Jornada]],5,FALSE),JORNADA),
IF(IF(ISERROR(VLOOKUP(tblHorasMai[Evento 
(1º Período)],tblEvento[[Evento]:[Libera o Período]],4,FALSE)),FALSE,
IF(VLOOKUP(tblHorasMai[Evento 
(1º Período)],tblEvento[[Evento]:[Libera o Período]],4,FALSE)="Não",TRUE,FALSE)
),
-IF(VLOOKUP(tblHorasMai[Dia],tblDiaUtil[[Abreviatura]:[1º Período]],3,FALSE)&lt;&gt;"",VLOOKUP(tblHorasMai[Dia],tblDiaUtil[[Abreviatura]:[1º Período]],3,FALSE),JORNADA_PERIODO_1),
IF(IF(ISERROR(VLOOKUP(tblHorasMai[Evento 
(2º Período)],tblEvento[[Evento]:[Libera o Período]],4,FALSE)),FALSE,IF(VLOOKUP(tblHorasMai[Evento 
(2º Período)],tblEvento[[Evento]:[Libera o Período]],4,FALSE)="Não",TRUE,FALSE)),
-IF(VLOOKUP(tblHorasMai[Dia],tblDiaUtil[[Abreviatura]:[2º Período]],4,FALSE)&lt;&gt;"",VLOOKUP(tblHorasMai[Dia],tblDiaUtil[[Abreviatura]:[2º Período]],4,FALSE),JORNADA_PERIODO_2),0))))</f>
        <v>0</v>
      </c>
      <c r="O17" s="14">
        <f>IF(tblHorasMai[Horas Trabalhadas Além Jornada]&gt;0,
        IF(ISNUMBER(tblHorasMai[Jornada Diária]),
              IF(HOUR(tblHorasMai[Horas Trabalhadas Além Jornada])&gt;=VLOOKUP(LIMITE,tblLimiteHora[],Tabelas!$I$1,FALSE),
                    VLOOKUP(LIMITE,tblLimiteHora[],Tabelas!$J$1,FALSE),
                    tblHorasMai[Horas Trabalhadas Além Jornada]),
              tblHorasMai[Horas Trabalhadas Além Jornada]),
        tblHorasMai[Horas Trabalhadas Além Jornada])+O16</f>
        <v>0</v>
      </c>
      <c r="P17" s="14" t="str">
        <f>IF(tblHorasMai[Horas Trabalhadas Além Jornada]&lt;0,IF(OR(tblHorasMai[Evento 
(1º Período)]="",tblHorasMai[Evento 
(2º Período)]=""),tblHorasMai[Horas Trabalhadas Além Jornada],""),"")</f>
        <v/>
      </c>
      <c r="Q17" s="14" t="str">
        <f>IF(tblHorasMai[Jornada Diária]&lt;&gt;"",IF((N(tblHorasMai[Jornada Diária])-ABS(N(tblHorasMai[Horas Trabalhadas Além Jornada])))=0,1,""),"")</f>
        <v/>
      </c>
      <c r="R17" s="14" t="str">
        <f>IF(tblHorasMai[Horas Trabalhadas Além Jornada]&gt;0,
IF(AND(VLOOKUP(TEXT(tblHorasMai[Data],"dddd"),tblDiaUtil[],3,FALSE)="Sim",IF(tblHorasMai[Evento 
(1º Período)]&lt;&gt;"",IF(VLOOKUP(tblHorasMai[Evento 
(1º Período)],tblEvento[],Tabelas!$E$1,FALSE)="Sim",FALSE,TRUE),TRUE),IF(tblHorasMai[Evento 
(2º Período)]&lt;&gt;"",IF(VLOOKUP(tblHorasMai[Evento 
(2º Período)],tblEvento[],Tabelas!$E$1,FALSE)="Sim",FALSE,TRUE),TRUE)),
tblHorasMai[Horas Trabalhadas Além Jornada],""),"")</f>
        <v/>
      </c>
      <c r="S17" s="14" t="str">
        <f>IF(tblHorasMai[Horas Trabalhadas Além Jornada]&gt;0,
IF(OR(VLOOKUP(TEXT(tblHorasMai[Data],"dddd"),tblDiaUtil[],3,FALSE)="Não",IF(tblHorasMai[Evento 
(1º Período)]&lt;&gt;"",IF(VLOOKUP(tblHorasMai[Evento 
(1º Período)],tblEvento[],Tabelas!$E$1,FALSE)="Sim",TRUE,FALSE),FALSE),IF(tblHorasMai[Evento 
(2º Período)]&lt;&gt;"",IF(VLOOKUP(tblHorasMai[Evento 
(2º Período)],tblEvento[],Tabelas!$E$1,FALSE)="Sim",TRUE,FALSE),FALSE)),
tblHorasMai[Horas Trabalhadas Além Jornada],""),"")</f>
        <v/>
      </c>
      <c r="T17" s="15" t="str">
        <f>IF(tblHorasMai[Evento 
(1º Período)]&lt;&gt;""," - " &amp;VLOOKUP(tblHorasMai[Evento 
(1º Período)],tblEvento[],Tabelas!$F$1,FALSE),"")&amp;IF(AND(tblHorasMai[Evento 
(2º Período)]&lt;&gt;"",tblHorasMai[Evento 
(2º Período)]&lt;&gt;tblHorasMai[Evento 
(1º Período)])," - " &amp; VLOOKUP(tblHorasMai[Evento 
(2º Período)],tblEvento[],Tabelas!$F$1,FALSE),"")</f>
        <v/>
      </c>
    </row>
    <row r="18" spans="2:20" x14ac:dyDescent="0.25">
      <c r="B18" s="11" t="str">
        <f t="shared" si="0"/>
        <v/>
      </c>
      <c r="C18" s="12" t="str">
        <f>TEXT(tblHorasMai[Data],"ddd")</f>
        <v/>
      </c>
      <c r="D18" s="25"/>
      <c r="E18" s="1"/>
      <c r="F18" s="1"/>
      <c r="G18" s="1"/>
      <c r="H18" s="1"/>
      <c r="I18" s="53"/>
      <c r="J18" s="4">
        <f>IF($B$6&lt;&gt;"",
IF(AND(tblHorasMai[Evento 
(1º Período)]&lt;&gt;"",IF(ISERROR(VLOOKUP(tblHorasMai[Evento 
(1º Período)],tblEvento[],Tabelas!$D$1,FALSE)),FALSE,VLOOKUP(tblHorasMai[Evento 
(1º Período)],tblEvento[],Tabelas!$D$1,FALSE)="Sim")),
        IF(JORNADA_PERIODO_1&lt;&gt;"",
IF(VLOOKUP(tblHorasMai[Dia],tblDiaUtil[[Abreviatura]:[1º Período]],3,FALSE)&gt;0,VLOOKUP(tblHorasMai[Dia],tblDiaUtil[[Abreviatura]:[1º Período]],3,FALSE),JORNADA_PERIODO_1),
IF(VLOOKUP(tblHorasMai[Dia],tblDiaUtil[[Abreviatura]:[1º Período]],3,FALSE)&gt;0,VLOOKUP(tblHorasMai[Dia],tblDiaUtil[[Abreviatura]:[1º Período]],3,FALSE),JORNADA/2)),
        IF(AND(ISNUMBER(tblHorasMai[Saída - 1 (Almoço)]),ISNUMBER(tblHorasMai[Entrada - 1])),
              IF(OR(AND(tblHorasMai[Evento 
(1º Período)]&lt;&gt;"",IF(ISERROR(VLOOKUP(tblHorasMai[Evento 
(1º Período)],tblEvento[],Tabelas!$E$1,FALSE)),FALSE,VLOOKUP(tblHorasMai[Evento 
(1º Período)],tblEvento[],Tabelas!$E$1,FALSE)="Sim")),IF(VLOOKUP(TEXT(tblHorasMai[Data],"dddd"),tblDiaUtil[],2,FALSE)="Não",TRUE,FALSE)),
                   tblHorasMai[Saída - 1 (Almoço)]-tblHorasMai[Entrada - 1],
                   IF(OR(HOUR(tblHorasMai[Saída - 1 (Almoço)]-tblHorasMai[Entrada - 1])&gt;0,ROUND(tblHorasMai[Saída - 1 (Almoço)]-tblHorasMai[Entrada - 1],6)&gt;ROUND(CARENCIA,6)),
                          tblHorasMai[Saída - 1 (Almoço)]-tblHorasMai[Entrada - 1],
                          0)),
                    0)),0)</f>
        <v>0</v>
      </c>
      <c r="K18" s="4">
        <f>IF($B$6&lt;&gt;"",
IF(AND(tblHorasMai[Evento 
(2º Período)]&lt;&gt;"",IF(ISERROR(VLOOKUP(tblHorasMai[Evento 
(2º Período)],tblEvento[],Tabelas!$D$1,FALSE)),FALSE,VLOOKUP(tblHorasMai[Evento 
(2º Período)],tblEvento[],Tabelas!$D$1,FALSE)="Sim")),
        IF(JORNADA_PERIODO_2&lt;&gt;"",
IF(VLOOKUP(tblHorasMai[Dia],tblDiaUtil[[Abreviatura]:[2º Período]],4,FALSE)&gt;0,VLOOKUP(tblHorasMai[Dia],tblDiaUtil[[Abreviatura]:[2º Período]],4,FALSE),JORNADA_PERIODO_2),
IF(VLOOKUP(tblHorasMai[Dia],tblDiaUtil[[Abreviatura]:[2º Período]],4,FALSE)&gt;0,VLOOKUP(tblHorasMai[Dia],tblDiaUtil[[Abreviatura]:[2º Período]],4,FALSE),JORNADA/2)),
        IF(AND(ISNUMBER(tblHorasMai[Saída - 2]),ISNUMBER(tblHorasMai[Entrada - 2 (Almoço)])),
              IF(OR(AND(tblHorasMai[Evento 
(2º Período)]&lt;&gt;"",IF(ISERROR(VLOOKUP(tblHorasMai[Evento 
(2º Período)],tblEvento[],Tabelas!$E$1,FALSE)),FALSE,VLOOKUP(tblHorasMai[Evento 
(2º Período)],tblEvento[],Tabelas!$E$1,FALSE)="Sim")),IF(VLOOKUP(TEXT(tblHorasMai[Data],"dddd"),tblDiaUtil[],2,FALSE)="Não",TRUE,FALSE)),
                   tblHorasMai[Saída - 2]-tblHorasMai[Entrada - 2 (Almoço)],
                   IF(OR(HOUR(tblHorasMai[Saída - 2]-tblHorasMai[Entrada - 2 (Almoço)])&gt;0,MINUTE(tblHorasMai[Saída - 2]-tblHorasMai[Entrada - 2 (Almoço)])&gt;CARENCIA),
                         tblHorasMai[Saída - 2]-tblHorasMai[Entrada - 2 (Almoço)],
                         0)),
       0)),0)</f>
        <v>0</v>
      </c>
      <c r="L18" s="4">
        <f>tblHorasMai[Horas Trabalhadas (1º Período)]+tblHorasMai[Horas Trabalhadas (2º Período)]</f>
        <v>0</v>
      </c>
      <c r="M18" s="4" t="str">
        <f>IF(tblHorasMai[Data]&lt;&gt;"",
        IF(
AND(VLOOKUP(TEXT(tblHorasMai[Data],"dddd"),tblDiaUtil[],3,FALSE)="Sim",IF(tblHorasMai[Evento 
(1º Período)]&lt;&gt;"",IF(VLOOKUP(tblHorasMai[Evento 
(1º Período)],tblEvento[],Tabelas!$E$1,FALSE)="Sim",FALSE,TRUE),TRUE),IF(tblHorasMai[Evento 
(2º Período)]&lt;&gt;"",IF(VLOOKUP(tblHorasMai[Evento 
(2º Período)],tblEvento[],Tabelas!$E$1,FALSE)="Sim",FALSE,TRUE),TRUE)),
              IF(VLOOKUP(tblHorasMai[Dia],tblDiaUtil[[Abreviatura]:[1º Período]],3,FALSE)&gt;0,VLOOKUP(tblHorasMai[Dia],tblDiaUtil[[Abreviatura]:[1º Período]],3,FALSE),JORNADA),
              ""),
         "")</f>
        <v/>
      </c>
      <c r="N18" s="14">
        <f>IF(OR(tblHorasMai[Horas Trabalhadas (1º Período)]&lt;&gt;0,tblHorasMai[Horas Trabalhadas (2º Período)]&lt;&gt;0),
        IF(ISNUMBER(tblHorasMai[Jornada Diária]),
              IF(tblHorasMai[Jornada Diária]&gt;(tblHorasMai[Horas Trabalhadas (2º Período)]+tblHorasMai[Horas Trabalhadas (1º Período)]),
                     IF(ROUND((tblHorasMai[Jornada Diária]-(tblHorasMai[Horas Trabalhadas (2º Período)]+tblHorasMai[Horas Trabalhadas (1º Período)])),6)&gt;ROUND(CARENCIA,6),
                           -tblHorasMai[Jornada Diária]+(tblHorasMai[Horas Trabalhadas (2º Período)]+tblHorasMai[Horas Trabalhadas (1º Período)]),
                           0),
                      IF(ROUND((tblHorasMai[Jornada Diária]-(tblHorasMai[Horas Trabalhadas (2º Período)]+tblHorasMai[Horas Trabalhadas (1º Período)])),6)&lt;ROUND(-CARENCIA,6),
                           -tblHorasMai[Jornada Diária]+(tblHorasMai[Horas Trabalhadas (2º Período)]+tblHorasMai[Horas Trabalhadas (1º Período)]),
                           0)),
              tblHorasMai[Horas Trabalhadas (2º Período)]+tblHorasMai[Horas Trabalhadas (1º Período)]),
         IF(AND(IF(ISERROR(VLOOKUP(tblHorasMai[Evento 
(1º Período)],tblEvento[[Evento]:[Libera o Período]],4,FALSE)),FALSE,IF(VLOOKUP(tblHorasMai[Evento 
(1º Período)],tblEvento[[Evento]:[Libera o Período]],4,FALSE)="Não",TRUE,FALSE)),IF(ISERROR(VLOOKUP(tblHorasMai[Evento 
(2º Período)],tblEvento[[Evento]:[Libera o Período]],4,FALSE)),FALSE,IF(VLOOKUP(tblHorasMai[Evento 
(2º Período)],tblEvento[[Evento]:[Libera o Período]],4,FALSE)="Não",TRUE,FALSE))),
-IF(VLOOKUP(tblHorasMai[Dia],tblDiaUtil[[Abreviatura]:[Total Jornada]],5,FALSE)&lt;&gt;"",VLOOKUP(tblHorasMai[Dia],tblDiaUtil[[Abreviatura]:[Total Jornada]],5,FALSE),JORNADA),
IF(IF(ISERROR(VLOOKUP(tblHorasMai[Evento 
(1º Período)],tblEvento[[Evento]:[Libera o Período]],4,FALSE)),FALSE,
IF(VLOOKUP(tblHorasMai[Evento 
(1º Período)],tblEvento[[Evento]:[Libera o Período]],4,FALSE)="Não",TRUE,FALSE)
),
-IF(VLOOKUP(tblHorasMai[Dia],tblDiaUtil[[Abreviatura]:[1º Período]],3,FALSE)&lt;&gt;"",VLOOKUP(tblHorasMai[Dia],tblDiaUtil[[Abreviatura]:[1º Período]],3,FALSE),JORNADA_PERIODO_1),
IF(IF(ISERROR(VLOOKUP(tblHorasMai[Evento 
(2º Período)],tblEvento[[Evento]:[Libera o Período]],4,FALSE)),FALSE,IF(VLOOKUP(tblHorasMai[Evento 
(2º Período)],tblEvento[[Evento]:[Libera o Período]],4,FALSE)="Não",TRUE,FALSE)),
-IF(VLOOKUP(tblHorasMai[Dia],tblDiaUtil[[Abreviatura]:[2º Período]],4,FALSE)&lt;&gt;"",VLOOKUP(tblHorasMai[Dia],tblDiaUtil[[Abreviatura]:[2º Período]],4,FALSE),JORNADA_PERIODO_2),0))))</f>
        <v>0</v>
      </c>
      <c r="O18" s="14">
        <f>IF(tblHorasMai[Horas Trabalhadas Além Jornada]&gt;0,
        IF(ISNUMBER(tblHorasMai[Jornada Diária]),
              IF(HOUR(tblHorasMai[Horas Trabalhadas Além Jornada])&gt;=VLOOKUP(LIMITE,tblLimiteHora[],Tabelas!$I$1,FALSE),
                    VLOOKUP(LIMITE,tblLimiteHora[],Tabelas!$J$1,FALSE),
                    tblHorasMai[Horas Trabalhadas Além Jornada]),
              tblHorasMai[Horas Trabalhadas Além Jornada]),
        tblHorasMai[Horas Trabalhadas Além Jornada])+O17</f>
        <v>0</v>
      </c>
      <c r="P18" s="14" t="str">
        <f>IF(tblHorasMai[Horas Trabalhadas Além Jornada]&lt;0,IF(OR(tblHorasMai[Evento 
(1º Período)]="",tblHorasMai[Evento 
(2º Período)]=""),tblHorasMai[Horas Trabalhadas Além Jornada],""),"")</f>
        <v/>
      </c>
      <c r="Q18" s="14" t="str">
        <f>IF(tblHorasMai[Jornada Diária]&lt;&gt;"",IF((N(tblHorasMai[Jornada Diária])-ABS(N(tblHorasMai[Horas Trabalhadas Além Jornada])))=0,1,""),"")</f>
        <v/>
      </c>
      <c r="R18" s="14" t="str">
        <f>IF(tblHorasMai[Horas Trabalhadas Além Jornada]&gt;0,
IF(AND(VLOOKUP(TEXT(tblHorasMai[Data],"dddd"),tblDiaUtil[],3,FALSE)="Sim",IF(tblHorasMai[Evento 
(1º Período)]&lt;&gt;"",IF(VLOOKUP(tblHorasMai[Evento 
(1º Período)],tblEvento[],Tabelas!$E$1,FALSE)="Sim",FALSE,TRUE),TRUE),IF(tblHorasMai[Evento 
(2º Período)]&lt;&gt;"",IF(VLOOKUP(tblHorasMai[Evento 
(2º Período)],tblEvento[],Tabelas!$E$1,FALSE)="Sim",FALSE,TRUE),TRUE)),
tblHorasMai[Horas Trabalhadas Além Jornada],""),"")</f>
        <v/>
      </c>
      <c r="S18" s="14" t="str">
        <f>IF(tblHorasMai[Horas Trabalhadas Além Jornada]&gt;0,
IF(OR(VLOOKUP(TEXT(tblHorasMai[Data],"dddd"),tblDiaUtil[],3,FALSE)="Não",IF(tblHorasMai[Evento 
(1º Período)]&lt;&gt;"",IF(VLOOKUP(tblHorasMai[Evento 
(1º Período)],tblEvento[],Tabelas!$E$1,FALSE)="Sim",TRUE,FALSE),FALSE),IF(tblHorasMai[Evento 
(2º Período)]&lt;&gt;"",IF(VLOOKUP(tblHorasMai[Evento 
(2º Período)],tblEvento[],Tabelas!$E$1,FALSE)="Sim",TRUE,FALSE),FALSE)),
tblHorasMai[Horas Trabalhadas Além Jornada],""),"")</f>
        <v/>
      </c>
      <c r="T18" s="15" t="str">
        <f>IF(tblHorasMai[Evento 
(1º Período)]&lt;&gt;""," - " &amp;VLOOKUP(tblHorasMai[Evento 
(1º Período)],tblEvento[],Tabelas!$F$1,FALSE),"")&amp;IF(AND(tblHorasMai[Evento 
(2º Período)]&lt;&gt;"",tblHorasMai[Evento 
(2º Período)]&lt;&gt;tblHorasMai[Evento 
(1º Período)])," - " &amp; VLOOKUP(tblHorasMai[Evento 
(2º Período)],tblEvento[],Tabelas!$F$1,FALSE),"")</f>
        <v/>
      </c>
    </row>
    <row r="19" spans="2:20" x14ac:dyDescent="0.25">
      <c r="B19" s="11" t="str">
        <f t="shared" si="0"/>
        <v/>
      </c>
      <c r="C19" s="12" t="str">
        <f>TEXT(tblHorasMai[Data],"ddd")</f>
        <v/>
      </c>
      <c r="D19" s="25"/>
      <c r="E19" s="1"/>
      <c r="F19" s="1"/>
      <c r="G19" s="1"/>
      <c r="H19" s="1"/>
      <c r="I19" s="53"/>
      <c r="J19" s="4">
        <f>IF($B$6&lt;&gt;"",
IF(AND(tblHorasMai[Evento 
(1º Período)]&lt;&gt;"",IF(ISERROR(VLOOKUP(tblHorasMai[Evento 
(1º Período)],tblEvento[],Tabelas!$D$1,FALSE)),FALSE,VLOOKUP(tblHorasMai[Evento 
(1º Período)],tblEvento[],Tabelas!$D$1,FALSE)="Sim")),
        IF(JORNADA_PERIODO_1&lt;&gt;"",
IF(VLOOKUP(tblHorasMai[Dia],tblDiaUtil[[Abreviatura]:[1º Período]],3,FALSE)&gt;0,VLOOKUP(tblHorasMai[Dia],tblDiaUtil[[Abreviatura]:[1º Período]],3,FALSE),JORNADA_PERIODO_1),
IF(VLOOKUP(tblHorasMai[Dia],tblDiaUtil[[Abreviatura]:[1º Período]],3,FALSE)&gt;0,VLOOKUP(tblHorasMai[Dia],tblDiaUtil[[Abreviatura]:[1º Período]],3,FALSE),JORNADA/2)),
        IF(AND(ISNUMBER(tblHorasMai[Saída - 1 (Almoço)]),ISNUMBER(tblHorasMai[Entrada - 1])),
              IF(OR(AND(tblHorasMai[Evento 
(1º Período)]&lt;&gt;"",IF(ISERROR(VLOOKUP(tblHorasMai[Evento 
(1º Período)],tblEvento[],Tabelas!$E$1,FALSE)),FALSE,VLOOKUP(tblHorasMai[Evento 
(1º Período)],tblEvento[],Tabelas!$E$1,FALSE)="Sim")),IF(VLOOKUP(TEXT(tblHorasMai[Data],"dddd"),tblDiaUtil[],2,FALSE)="Não",TRUE,FALSE)),
                   tblHorasMai[Saída - 1 (Almoço)]-tblHorasMai[Entrada - 1],
                   IF(OR(HOUR(tblHorasMai[Saída - 1 (Almoço)]-tblHorasMai[Entrada - 1])&gt;0,ROUND(tblHorasMai[Saída - 1 (Almoço)]-tblHorasMai[Entrada - 1],6)&gt;ROUND(CARENCIA,6)),
                          tblHorasMai[Saída - 1 (Almoço)]-tblHorasMai[Entrada - 1],
                          0)),
                    0)),0)</f>
        <v>0</v>
      </c>
      <c r="K19" s="4">
        <f>IF($B$6&lt;&gt;"",
IF(AND(tblHorasMai[Evento 
(2º Período)]&lt;&gt;"",IF(ISERROR(VLOOKUP(tblHorasMai[Evento 
(2º Período)],tblEvento[],Tabelas!$D$1,FALSE)),FALSE,VLOOKUP(tblHorasMai[Evento 
(2º Período)],tblEvento[],Tabelas!$D$1,FALSE)="Sim")),
        IF(JORNADA_PERIODO_2&lt;&gt;"",
IF(VLOOKUP(tblHorasMai[Dia],tblDiaUtil[[Abreviatura]:[2º Período]],4,FALSE)&gt;0,VLOOKUP(tblHorasMai[Dia],tblDiaUtil[[Abreviatura]:[2º Período]],4,FALSE),JORNADA_PERIODO_2),
IF(VLOOKUP(tblHorasMai[Dia],tblDiaUtil[[Abreviatura]:[2º Período]],4,FALSE)&gt;0,VLOOKUP(tblHorasMai[Dia],tblDiaUtil[[Abreviatura]:[2º Período]],4,FALSE),JORNADA/2)),
        IF(AND(ISNUMBER(tblHorasMai[Saída - 2]),ISNUMBER(tblHorasMai[Entrada - 2 (Almoço)])),
              IF(OR(AND(tblHorasMai[Evento 
(2º Período)]&lt;&gt;"",IF(ISERROR(VLOOKUP(tblHorasMai[Evento 
(2º Período)],tblEvento[],Tabelas!$E$1,FALSE)),FALSE,VLOOKUP(tblHorasMai[Evento 
(2º Período)],tblEvento[],Tabelas!$E$1,FALSE)="Sim")),IF(VLOOKUP(TEXT(tblHorasMai[Data],"dddd"),tblDiaUtil[],2,FALSE)="Não",TRUE,FALSE)),
                   tblHorasMai[Saída - 2]-tblHorasMai[Entrada - 2 (Almoço)],
                   IF(OR(HOUR(tblHorasMai[Saída - 2]-tblHorasMai[Entrada - 2 (Almoço)])&gt;0,MINUTE(tblHorasMai[Saída - 2]-tblHorasMai[Entrada - 2 (Almoço)])&gt;CARENCIA),
                         tblHorasMai[Saída - 2]-tblHorasMai[Entrada - 2 (Almoço)],
                         0)),
       0)),0)</f>
        <v>0</v>
      </c>
      <c r="L19" s="4">
        <f>tblHorasMai[Horas Trabalhadas (1º Período)]+tblHorasMai[Horas Trabalhadas (2º Período)]</f>
        <v>0</v>
      </c>
      <c r="M19" s="4" t="str">
        <f>IF(tblHorasMai[Data]&lt;&gt;"",
        IF(
AND(VLOOKUP(TEXT(tblHorasMai[Data],"dddd"),tblDiaUtil[],3,FALSE)="Sim",IF(tblHorasMai[Evento 
(1º Período)]&lt;&gt;"",IF(VLOOKUP(tblHorasMai[Evento 
(1º Período)],tblEvento[],Tabelas!$E$1,FALSE)="Sim",FALSE,TRUE),TRUE),IF(tblHorasMai[Evento 
(2º Período)]&lt;&gt;"",IF(VLOOKUP(tblHorasMai[Evento 
(2º Período)],tblEvento[],Tabelas!$E$1,FALSE)="Sim",FALSE,TRUE),TRUE)),
              IF(VLOOKUP(tblHorasMai[Dia],tblDiaUtil[[Abreviatura]:[1º Período]],3,FALSE)&gt;0,VLOOKUP(tblHorasMai[Dia],tblDiaUtil[[Abreviatura]:[1º Período]],3,FALSE),JORNADA),
              ""),
         "")</f>
        <v/>
      </c>
      <c r="N19" s="14">
        <f>IF(OR(tblHorasMai[Horas Trabalhadas (1º Período)]&lt;&gt;0,tblHorasMai[Horas Trabalhadas (2º Período)]&lt;&gt;0),
        IF(ISNUMBER(tblHorasMai[Jornada Diária]),
              IF(tblHorasMai[Jornada Diária]&gt;(tblHorasMai[Horas Trabalhadas (2º Período)]+tblHorasMai[Horas Trabalhadas (1º Período)]),
                     IF(ROUND((tblHorasMai[Jornada Diária]-(tblHorasMai[Horas Trabalhadas (2º Período)]+tblHorasMai[Horas Trabalhadas (1º Período)])),6)&gt;ROUND(CARENCIA,6),
                           -tblHorasMai[Jornada Diária]+(tblHorasMai[Horas Trabalhadas (2º Período)]+tblHorasMai[Horas Trabalhadas (1º Período)]),
                           0),
                      IF(ROUND((tblHorasMai[Jornada Diária]-(tblHorasMai[Horas Trabalhadas (2º Período)]+tblHorasMai[Horas Trabalhadas (1º Período)])),6)&lt;ROUND(-CARENCIA,6),
                           -tblHorasMai[Jornada Diária]+(tblHorasMai[Horas Trabalhadas (2º Período)]+tblHorasMai[Horas Trabalhadas (1º Período)]),
                           0)),
              tblHorasMai[Horas Trabalhadas (2º Período)]+tblHorasMai[Horas Trabalhadas (1º Período)]),
         IF(AND(IF(ISERROR(VLOOKUP(tblHorasMai[Evento 
(1º Período)],tblEvento[[Evento]:[Libera o Período]],4,FALSE)),FALSE,IF(VLOOKUP(tblHorasMai[Evento 
(1º Período)],tblEvento[[Evento]:[Libera o Período]],4,FALSE)="Não",TRUE,FALSE)),IF(ISERROR(VLOOKUP(tblHorasMai[Evento 
(2º Período)],tblEvento[[Evento]:[Libera o Período]],4,FALSE)),FALSE,IF(VLOOKUP(tblHorasMai[Evento 
(2º Período)],tblEvento[[Evento]:[Libera o Período]],4,FALSE)="Não",TRUE,FALSE))),
-IF(VLOOKUP(tblHorasMai[Dia],tblDiaUtil[[Abreviatura]:[Total Jornada]],5,FALSE)&lt;&gt;"",VLOOKUP(tblHorasMai[Dia],tblDiaUtil[[Abreviatura]:[Total Jornada]],5,FALSE),JORNADA),
IF(IF(ISERROR(VLOOKUP(tblHorasMai[Evento 
(1º Período)],tblEvento[[Evento]:[Libera o Período]],4,FALSE)),FALSE,
IF(VLOOKUP(tblHorasMai[Evento 
(1º Período)],tblEvento[[Evento]:[Libera o Período]],4,FALSE)="Não",TRUE,FALSE)
),
-IF(VLOOKUP(tblHorasMai[Dia],tblDiaUtil[[Abreviatura]:[1º Período]],3,FALSE)&lt;&gt;"",VLOOKUP(tblHorasMai[Dia],tblDiaUtil[[Abreviatura]:[1º Período]],3,FALSE),JORNADA_PERIODO_1),
IF(IF(ISERROR(VLOOKUP(tblHorasMai[Evento 
(2º Período)],tblEvento[[Evento]:[Libera o Período]],4,FALSE)),FALSE,IF(VLOOKUP(tblHorasMai[Evento 
(2º Período)],tblEvento[[Evento]:[Libera o Período]],4,FALSE)="Não",TRUE,FALSE)),
-IF(VLOOKUP(tblHorasMai[Dia],tblDiaUtil[[Abreviatura]:[2º Período]],4,FALSE)&lt;&gt;"",VLOOKUP(tblHorasMai[Dia],tblDiaUtil[[Abreviatura]:[2º Período]],4,FALSE),JORNADA_PERIODO_2),0))))</f>
        <v>0</v>
      </c>
      <c r="O19" s="14">
        <f>IF(tblHorasMai[Horas Trabalhadas Além Jornada]&gt;0,
        IF(ISNUMBER(tblHorasMai[Jornada Diária]),
              IF(HOUR(tblHorasMai[Horas Trabalhadas Além Jornada])&gt;=VLOOKUP(LIMITE,tblLimiteHora[],Tabelas!$I$1,FALSE),
                    VLOOKUP(LIMITE,tblLimiteHora[],Tabelas!$J$1,FALSE),
                    tblHorasMai[Horas Trabalhadas Além Jornada]),
              tblHorasMai[Horas Trabalhadas Além Jornada]),
        tblHorasMai[Horas Trabalhadas Além Jornada])+O18</f>
        <v>0</v>
      </c>
      <c r="P19" s="14" t="str">
        <f>IF(tblHorasMai[Horas Trabalhadas Além Jornada]&lt;0,IF(OR(tblHorasMai[Evento 
(1º Período)]="",tblHorasMai[Evento 
(2º Período)]=""),tblHorasMai[Horas Trabalhadas Além Jornada],""),"")</f>
        <v/>
      </c>
      <c r="Q19" s="14" t="str">
        <f>IF(tblHorasMai[Jornada Diária]&lt;&gt;"",IF((N(tblHorasMai[Jornada Diária])-ABS(N(tblHorasMai[Horas Trabalhadas Além Jornada])))=0,1,""),"")</f>
        <v/>
      </c>
      <c r="R19" s="14" t="str">
        <f>IF(tblHorasMai[Horas Trabalhadas Além Jornada]&gt;0,
IF(AND(VLOOKUP(TEXT(tblHorasMai[Data],"dddd"),tblDiaUtil[],3,FALSE)="Sim",IF(tblHorasMai[Evento 
(1º Período)]&lt;&gt;"",IF(VLOOKUP(tblHorasMai[Evento 
(1º Período)],tblEvento[],Tabelas!$E$1,FALSE)="Sim",FALSE,TRUE),TRUE),IF(tblHorasMai[Evento 
(2º Período)]&lt;&gt;"",IF(VLOOKUP(tblHorasMai[Evento 
(2º Período)],tblEvento[],Tabelas!$E$1,FALSE)="Sim",FALSE,TRUE),TRUE)),
tblHorasMai[Horas Trabalhadas Além Jornada],""),"")</f>
        <v/>
      </c>
      <c r="S19" s="14" t="str">
        <f>IF(tblHorasMai[Horas Trabalhadas Além Jornada]&gt;0,
IF(OR(VLOOKUP(TEXT(tblHorasMai[Data],"dddd"),tblDiaUtil[],3,FALSE)="Não",IF(tblHorasMai[Evento 
(1º Período)]&lt;&gt;"",IF(VLOOKUP(tblHorasMai[Evento 
(1º Período)],tblEvento[],Tabelas!$E$1,FALSE)="Sim",TRUE,FALSE),FALSE),IF(tblHorasMai[Evento 
(2º Período)]&lt;&gt;"",IF(VLOOKUP(tblHorasMai[Evento 
(2º Período)],tblEvento[],Tabelas!$E$1,FALSE)="Sim",TRUE,FALSE),FALSE)),
tblHorasMai[Horas Trabalhadas Além Jornada],""),"")</f>
        <v/>
      </c>
      <c r="T19" s="15" t="str">
        <f>IF(tblHorasMai[Evento 
(1º Período)]&lt;&gt;""," - " &amp;VLOOKUP(tblHorasMai[Evento 
(1º Período)],tblEvento[],Tabelas!$F$1,FALSE),"")&amp;IF(AND(tblHorasMai[Evento 
(2º Período)]&lt;&gt;"",tblHorasMai[Evento 
(2º Período)]&lt;&gt;tblHorasMai[Evento 
(1º Período)])," - " &amp; VLOOKUP(tblHorasMai[Evento 
(2º Período)],tblEvento[],Tabelas!$F$1,FALSE),"")</f>
        <v/>
      </c>
    </row>
    <row r="20" spans="2:20" x14ac:dyDescent="0.25">
      <c r="B20" s="11" t="str">
        <f t="shared" si="0"/>
        <v/>
      </c>
      <c r="C20" s="12" t="str">
        <f>TEXT(tblHorasMai[Data],"ddd")</f>
        <v/>
      </c>
      <c r="D20" s="25"/>
      <c r="E20" s="1"/>
      <c r="F20" s="1"/>
      <c r="G20" s="1"/>
      <c r="H20" s="1"/>
      <c r="I20" s="53"/>
      <c r="J20" s="4">
        <f>IF($B$6&lt;&gt;"",
IF(AND(tblHorasMai[Evento 
(1º Período)]&lt;&gt;"",IF(ISERROR(VLOOKUP(tblHorasMai[Evento 
(1º Período)],tblEvento[],Tabelas!$D$1,FALSE)),FALSE,VLOOKUP(tblHorasMai[Evento 
(1º Período)],tblEvento[],Tabelas!$D$1,FALSE)="Sim")),
        IF(JORNADA_PERIODO_1&lt;&gt;"",
IF(VLOOKUP(tblHorasMai[Dia],tblDiaUtil[[Abreviatura]:[1º Período]],3,FALSE)&gt;0,VLOOKUP(tblHorasMai[Dia],tblDiaUtil[[Abreviatura]:[1º Período]],3,FALSE),JORNADA_PERIODO_1),
IF(VLOOKUP(tblHorasMai[Dia],tblDiaUtil[[Abreviatura]:[1º Período]],3,FALSE)&gt;0,VLOOKUP(tblHorasMai[Dia],tblDiaUtil[[Abreviatura]:[1º Período]],3,FALSE),JORNADA/2)),
        IF(AND(ISNUMBER(tblHorasMai[Saída - 1 (Almoço)]),ISNUMBER(tblHorasMai[Entrada - 1])),
              IF(OR(AND(tblHorasMai[Evento 
(1º Período)]&lt;&gt;"",IF(ISERROR(VLOOKUP(tblHorasMai[Evento 
(1º Período)],tblEvento[],Tabelas!$E$1,FALSE)),FALSE,VLOOKUP(tblHorasMai[Evento 
(1º Período)],tblEvento[],Tabelas!$E$1,FALSE)="Sim")),IF(VLOOKUP(TEXT(tblHorasMai[Data],"dddd"),tblDiaUtil[],2,FALSE)="Não",TRUE,FALSE)),
                   tblHorasMai[Saída - 1 (Almoço)]-tblHorasMai[Entrada - 1],
                   IF(OR(HOUR(tblHorasMai[Saída - 1 (Almoço)]-tblHorasMai[Entrada - 1])&gt;0,ROUND(tblHorasMai[Saída - 1 (Almoço)]-tblHorasMai[Entrada - 1],6)&gt;ROUND(CARENCIA,6)),
                          tblHorasMai[Saída - 1 (Almoço)]-tblHorasMai[Entrada - 1],
                          0)),
                    0)),0)</f>
        <v>0</v>
      </c>
      <c r="K20" s="4">
        <f>IF($B$6&lt;&gt;"",
IF(AND(tblHorasMai[Evento 
(2º Período)]&lt;&gt;"",IF(ISERROR(VLOOKUP(tblHorasMai[Evento 
(2º Período)],tblEvento[],Tabelas!$D$1,FALSE)),FALSE,VLOOKUP(tblHorasMai[Evento 
(2º Período)],tblEvento[],Tabelas!$D$1,FALSE)="Sim")),
        IF(JORNADA_PERIODO_2&lt;&gt;"",
IF(VLOOKUP(tblHorasMai[Dia],tblDiaUtil[[Abreviatura]:[2º Período]],4,FALSE)&gt;0,VLOOKUP(tblHorasMai[Dia],tblDiaUtil[[Abreviatura]:[2º Período]],4,FALSE),JORNADA_PERIODO_2),
IF(VLOOKUP(tblHorasMai[Dia],tblDiaUtil[[Abreviatura]:[2º Período]],4,FALSE)&gt;0,VLOOKUP(tblHorasMai[Dia],tblDiaUtil[[Abreviatura]:[2º Período]],4,FALSE),JORNADA/2)),
        IF(AND(ISNUMBER(tblHorasMai[Saída - 2]),ISNUMBER(tblHorasMai[Entrada - 2 (Almoço)])),
              IF(OR(AND(tblHorasMai[Evento 
(2º Período)]&lt;&gt;"",IF(ISERROR(VLOOKUP(tblHorasMai[Evento 
(2º Período)],tblEvento[],Tabelas!$E$1,FALSE)),FALSE,VLOOKUP(tblHorasMai[Evento 
(2º Período)],tblEvento[],Tabelas!$E$1,FALSE)="Sim")),IF(VLOOKUP(TEXT(tblHorasMai[Data],"dddd"),tblDiaUtil[],2,FALSE)="Não",TRUE,FALSE)),
                   tblHorasMai[Saída - 2]-tblHorasMai[Entrada - 2 (Almoço)],
                   IF(OR(HOUR(tblHorasMai[Saída - 2]-tblHorasMai[Entrada - 2 (Almoço)])&gt;0,MINUTE(tblHorasMai[Saída - 2]-tblHorasMai[Entrada - 2 (Almoço)])&gt;CARENCIA),
                         tblHorasMai[Saída - 2]-tblHorasMai[Entrada - 2 (Almoço)],
                         0)),
       0)),0)</f>
        <v>0</v>
      </c>
      <c r="L20" s="4">
        <f>tblHorasMai[Horas Trabalhadas (1º Período)]+tblHorasMai[Horas Trabalhadas (2º Período)]</f>
        <v>0</v>
      </c>
      <c r="M20" s="4" t="str">
        <f>IF(tblHorasMai[Data]&lt;&gt;"",
        IF(
AND(VLOOKUP(TEXT(tblHorasMai[Data],"dddd"),tblDiaUtil[],3,FALSE)="Sim",IF(tblHorasMai[Evento 
(1º Período)]&lt;&gt;"",IF(VLOOKUP(tblHorasMai[Evento 
(1º Período)],tblEvento[],Tabelas!$E$1,FALSE)="Sim",FALSE,TRUE),TRUE),IF(tblHorasMai[Evento 
(2º Período)]&lt;&gt;"",IF(VLOOKUP(tblHorasMai[Evento 
(2º Período)],tblEvento[],Tabelas!$E$1,FALSE)="Sim",FALSE,TRUE),TRUE)),
              IF(VLOOKUP(tblHorasMai[Dia],tblDiaUtil[[Abreviatura]:[1º Período]],3,FALSE)&gt;0,VLOOKUP(tblHorasMai[Dia],tblDiaUtil[[Abreviatura]:[1º Período]],3,FALSE),JORNADA),
              ""),
         "")</f>
        <v/>
      </c>
      <c r="N20" s="14">
        <f>IF(OR(tblHorasMai[Horas Trabalhadas (1º Período)]&lt;&gt;0,tblHorasMai[Horas Trabalhadas (2º Período)]&lt;&gt;0),
        IF(ISNUMBER(tblHorasMai[Jornada Diária]),
              IF(tblHorasMai[Jornada Diária]&gt;(tblHorasMai[Horas Trabalhadas (2º Período)]+tblHorasMai[Horas Trabalhadas (1º Período)]),
                     IF(ROUND((tblHorasMai[Jornada Diária]-(tblHorasMai[Horas Trabalhadas (2º Período)]+tblHorasMai[Horas Trabalhadas (1º Período)])),6)&gt;ROUND(CARENCIA,6),
                           -tblHorasMai[Jornada Diária]+(tblHorasMai[Horas Trabalhadas (2º Período)]+tblHorasMai[Horas Trabalhadas (1º Período)]),
                           0),
                      IF(ROUND((tblHorasMai[Jornada Diária]-(tblHorasMai[Horas Trabalhadas (2º Período)]+tblHorasMai[Horas Trabalhadas (1º Período)])),6)&lt;ROUND(-CARENCIA,6),
                           -tblHorasMai[Jornada Diária]+(tblHorasMai[Horas Trabalhadas (2º Período)]+tblHorasMai[Horas Trabalhadas (1º Período)]),
                           0)),
              tblHorasMai[Horas Trabalhadas (2º Período)]+tblHorasMai[Horas Trabalhadas (1º Período)]),
         IF(AND(IF(ISERROR(VLOOKUP(tblHorasMai[Evento 
(1º Período)],tblEvento[[Evento]:[Libera o Período]],4,FALSE)),FALSE,IF(VLOOKUP(tblHorasMai[Evento 
(1º Período)],tblEvento[[Evento]:[Libera o Período]],4,FALSE)="Não",TRUE,FALSE)),IF(ISERROR(VLOOKUP(tblHorasMai[Evento 
(2º Período)],tblEvento[[Evento]:[Libera o Período]],4,FALSE)),FALSE,IF(VLOOKUP(tblHorasMai[Evento 
(2º Período)],tblEvento[[Evento]:[Libera o Período]],4,FALSE)="Não",TRUE,FALSE))),
-IF(VLOOKUP(tblHorasMai[Dia],tblDiaUtil[[Abreviatura]:[Total Jornada]],5,FALSE)&lt;&gt;"",VLOOKUP(tblHorasMai[Dia],tblDiaUtil[[Abreviatura]:[Total Jornada]],5,FALSE),JORNADA),
IF(IF(ISERROR(VLOOKUP(tblHorasMai[Evento 
(1º Período)],tblEvento[[Evento]:[Libera o Período]],4,FALSE)),FALSE,
IF(VLOOKUP(tblHorasMai[Evento 
(1º Período)],tblEvento[[Evento]:[Libera o Período]],4,FALSE)="Não",TRUE,FALSE)
),
-IF(VLOOKUP(tblHorasMai[Dia],tblDiaUtil[[Abreviatura]:[1º Período]],3,FALSE)&lt;&gt;"",VLOOKUP(tblHorasMai[Dia],tblDiaUtil[[Abreviatura]:[1º Período]],3,FALSE),JORNADA_PERIODO_1),
IF(IF(ISERROR(VLOOKUP(tblHorasMai[Evento 
(2º Período)],tblEvento[[Evento]:[Libera o Período]],4,FALSE)),FALSE,IF(VLOOKUP(tblHorasMai[Evento 
(2º Período)],tblEvento[[Evento]:[Libera o Período]],4,FALSE)="Não",TRUE,FALSE)),
-IF(VLOOKUP(tblHorasMai[Dia],tblDiaUtil[[Abreviatura]:[2º Período]],4,FALSE)&lt;&gt;"",VLOOKUP(tblHorasMai[Dia],tblDiaUtil[[Abreviatura]:[2º Período]],4,FALSE),JORNADA_PERIODO_2),0))))</f>
        <v>0</v>
      </c>
      <c r="O20" s="14">
        <f>IF(tblHorasMai[Horas Trabalhadas Além Jornada]&gt;0,
        IF(ISNUMBER(tblHorasMai[Jornada Diária]),
              IF(HOUR(tblHorasMai[Horas Trabalhadas Além Jornada])&gt;=VLOOKUP(LIMITE,tblLimiteHora[],Tabelas!$I$1,FALSE),
                    VLOOKUP(LIMITE,tblLimiteHora[],Tabelas!$J$1,FALSE),
                    tblHorasMai[Horas Trabalhadas Além Jornada]),
              tblHorasMai[Horas Trabalhadas Além Jornada]),
        tblHorasMai[Horas Trabalhadas Além Jornada])+O19</f>
        <v>0</v>
      </c>
      <c r="P20" s="14" t="str">
        <f>IF(tblHorasMai[Horas Trabalhadas Além Jornada]&lt;0,IF(OR(tblHorasMai[Evento 
(1º Período)]="",tblHorasMai[Evento 
(2º Período)]=""),tblHorasMai[Horas Trabalhadas Além Jornada],""),"")</f>
        <v/>
      </c>
      <c r="Q20" s="14" t="str">
        <f>IF(tblHorasMai[Jornada Diária]&lt;&gt;"",IF((N(tblHorasMai[Jornada Diária])-ABS(N(tblHorasMai[Horas Trabalhadas Além Jornada])))=0,1,""),"")</f>
        <v/>
      </c>
      <c r="R20" s="14" t="str">
        <f>IF(tblHorasMai[Horas Trabalhadas Além Jornada]&gt;0,
IF(AND(VLOOKUP(TEXT(tblHorasMai[Data],"dddd"),tblDiaUtil[],3,FALSE)="Sim",IF(tblHorasMai[Evento 
(1º Período)]&lt;&gt;"",IF(VLOOKUP(tblHorasMai[Evento 
(1º Período)],tblEvento[],Tabelas!$E$1,FALSE)="Sim",FALSE,TRUE),TRUE),IF(tblHorasMai[Evento 
(2º Período)]&lt;&gt;"",IF(VLOOKUP(tblHorasMai[Evento 
(2º Período)],tblEvento[],Tabelas!$E$1,FALSE)="Sim",FALSE,TRUE),TRUE)),
tblHorasMai[Horas Trabalhadas Além Jornada],""),"")</f>
        <v/>
      </c>
      <c r="S20" s="14" t="str">
        <f>IF(tblHorasMai[Horas Trabalhadas Além Jornada]&gt;0,
IF(OR(VLOOKUP(TEXT(tblHorasMai[Data],"dddd"),tblDiaUtil[],3,FALSE)="Não",IF(tblHorasMai[Evento 
(1º Período)]&lt;&gt;"",IF(VLOOKUP(tblHorasMai[Evento 
(1º Período)],tblEvento[],Tabelas!$E$1,FALSE)="Sim",TRUE,FALSE),FALSE),IF(tblHorasMai[Evento 
(2º Período)]&lt;&gt;"",IF(VLOOKUP(tblHorasMai[Evento 
(2º Período)],tblEvento[],Tabelas!$E$1,FALSE)="Sim",TRUE,FALSE),FALSE)),
tblHorasMai[Horas Trabalhadas Além Jornada],""),"")</f>
        <v/>
      </c>
      <c r="T20" s="15" t="str">
        <f>IF(tblHorasMai[Evento 
(1º Período)]&lt;&gt;""," - " &amp;VLOOKUP(tblHorasMai[Evento 
(1º Período)],tblEvento[],Tabelas!$F$1,FALSE),"")&amp;IF(AND(tblHorasMai[Evento 
(2º Período)]&lt;&gt;"",tblHorasMai[Evento 
(2º Período)]&lt;&gt;tblHorasMai[Evento 
(1º Período)])," - " &amp; VLOOKUP(tblHorasMai[Evento 
(2º Período)],tblEvento[],Tabelas!$F$1,FALSE),"")</f>
        <v/>
      </c>
    </row>
    <row r="21" spans="2:20" x14ac:dyDescent="0.25">
      <c r="B21" s="11" t="str">
        <f t="shared" si="0"/>
        <v/>
      </c>
      <c r="C21" s="12" t="str">
        <f>TEXT(tblHorasMai[Data],"ddd")</f>
        <v/>
      </c>
      <c r="D21" s="25"/>
      <c r="E21" s="1"/>
      <c r="F21" s="1"/>
      <c r="G21" s="1"/>
      <c r="H21" s="1"/>
      <c r="I21" s="53"/>
      <c r="J21" s="4">
        <f>IF($B$6&lt;&gt;"",
IF(AND(tblHorasMai[Evento 
(1º Período)]&lt;&gt;"",IF(ISERROR(VLOOKUP(tblHorasMai[Evento 
(1º Período)],tblEvento[],Tabelas!$D$1,FALSE)),FALSE,VLOOKUP(tblHorasMai[Evento 
(1º Período)],tblEvento[],Tabelas!$D$1,FALSE)="Sim")),
        IF(JORNADA_PERIODO_1&lt;&gt;"",
IF(VLOOKUP(tblHorasMai[Dia],tblDiaUtil[[Abreviatura]:[1º Período]],3,FALSE)&gt;0,VLOOKUP(tblHorasMai[Dia],tblDiaUtil[[Abreviatura]:[1º Período]],3,FALSE),JORNADA_PERIODO_1),
IF(VLOOKUP(tblHorasMai[Dia],tblDiaUtil[[Abreviatura]:[1º Período]],3,FALSE)&gt;0,VLOOKUP(tblHorasMai[Dia],tblDiaUtil[[Abreviatura]:[1º Período]],3,FALSE),JORNADA/2)),
        IF(AND(ISNUMBER(tblHorasMai[Saída - 1 (Almoço)]),ISNUMBER(tblHorasMai[Entrada - 1])),
              IF(OR(AND(tblHorasMai[Evento 
(1º Período)]&lt;&gt;"",IF(ISERROR(VLOOKUP(tblHorasMai[Evento 
(1º Período)],tblEvento[],Tabelas!$E$1,FALSE)),FALSE,VLOOKUP(tblHorasMai[Evento 
(1º Período)],tblEvento[],Tabelas!$E$1,FALSE)="Sim")),IF(VLOOKUP(TEXT(tblHorasMai[Data],"dddd"),tblDiaUtil[],2,FALSE)="Não",TRUE,FALSE)),
                   tblHorasMai[Saída - 1 (Almoço)]-tblHorasMai[Entrada - 1],
                   IF(OR(HOUR(tblHorasMai[Saída - 1 (Almoço)]-tblHorasMai[Entrada - 1])&gt;0,ROUND(tblHorasMai[Saída - 1 (Almoço)]-tblHorasMai[Entrada - 1],6)&gt;ROUND(CARENCIA,6)),
                          tblHorasMai[Saída - 1 (Almoço)]-tblHorasMai[Entrada - 1],
                          0)),
                    0)),0)</f>
        <v>0</v>
      </c>
      <c r="K21" s="4">
        <f>IF($B$6&lt;&gt;"",
IF(AND(tblHorasMai[Evento 
(2º Período)]&lt;&gt;"",IF(ISERROR(VLOOKUP(tblHorasMai[Evento 
(2º Período)],tblEvento[],Tabelas!$D$1,FALSE)),FALSE,VLOOKUP(tblHorasMai[Evento 
(2º Período)],tblEvento[],Tabelas!$D$1,FALSE)="Sim")),
        IF(JORNADA_PERIODO_2&lt;&gt;"",
IF(VLOOKUP(tblHorasMai[Dia],tblDiaUtil[[Abreviatura]:[2º Período]],4,FALSE)&gt;0,VLOOKUP(tblHorasMai[Dia],tblDiaUtil[[Abreviatura]:[2º Período]],4,FALSE),JORNADA_PERIODO_2),
IF(VLOOKUP(tblHorasMai[Dia],tblDiaUtil[[Abreviatura]:[2º Período]],4,FALSE)&gt;0,VLOOKUP(tblHorasMai[Dia],tblDiaUtil[[Abreviatura]:[2º Período]],4,FALSE),JORNADA/2)),
        IF(AND(ISNUMBER(tblHorasMai[Saída - 2]),ISNUMBER(tblHorasMai[Entrada - 2 (Almoço)])),
              IF(OR(AND(tblHorasMai[Evento 
(2º Período)]&lt;&gt;"",IF(ISERROR(VLOOKUP(tblHorasMai[Evento 
(2º Período)],tblEvento[],Tabelas!$E$1,FALSE)),FALSE,VLOOKUP(tblHorasMai[Evento 
(2º Período)],tblEvento[],Tabelas!$E$1,FALSE)="Sim")),IF(VLOOKUP(TEXT(tblHorasMai[Data],"dddd"),tblDiaUtil[],2,FALSE)="Não",TRUE,FALSE)),
                   tblHorasMai[Saída - 2]-tblHorasMai[Entrada - 2 (Almoço)],
                   IF(OR(HOUR(tblHorasMai[Saída - 2]-tblHorasMai[Entrada - 2 (Almoço)])&gt;0,MINUTE(tblHorasMai[Saída - 2]-tblHorasMai[Entrada - 2 (Almoço)])&gt;CARENCIA),
                         tblHorasMai[Saída - 2]-tblHorasMai[Entrada - 2 (Almoço)],
                         0)),
       0)),0)</f>
        <v>0</v>
      </c>
      <c r="L21" s="4">
        <f>tblHorasMai[Horas Trabalhadas (1º Período)]+tblHorasMai[Horas Trabalhadas (2º Período)]</f>
        <v>0</v>
      </c>
      <c r="M21" s="4" t="str">
        <f>IF(tblHorasMai[Data]&lt;&gt;"",
        IF(
AND(VLOOKUP(TEXT(tblHorasMai[Data],"dddd"),tblDiaUtil[],3,FALSE)="Sim",IF(tblHorasMai[Evento 
(1º Período)]&lt;&gt;"",IF(VLOOKUP(tblHorasMai[Evento 
(1º Período)],tblEvento[],Tabelas!$E$1,FALSE)="Sim",FALSE,TRUE),TRUE),IF(tblHorasMai[Evento 
(2º Período)]&lt;&gt;"",IF(VLOOKUP(tblHorasMai[Evento 
(2º Período)],tblEvento[],Tabelas!$E$1,FALSE)="Sim",FALSE,TRUE),TRUE)),
              IF(VLOOKUP(tblHorasMai[Dia],tblDiaUtil[[Abreviatura]:[1º Período]],3,FALSE)&gt;0,VLOOKUP(tblHorasMai[Dia],tblDiaUtil[[Abreviatura]:[1º Período]],3,FALSE),JORNADA),
              ""),
         "")</f>
        <v/>
      </c>
      <c r="N21" s="14">
        <f>IF(OR(tblHorasMai[Horas Trabalhadas (1º Período)]&lt;&gt;0,tblHorasMai[Horas Trabalhadas (2º Período)]&lt;&gt;0),
        IF(ISNUMBER(tblHorasMai[Jornada Diária]),
              IF(tblHorasMai[Jornada Diária]&gt;(tblHorasMai[Horas Trabalhadas (2º Período)]+tblHorasMai[Horas Trabalhadas (1º Período)]),
                     IF(ROUND((tblHorasMai[Jornada Diária]-(tblHorasMai[Horas Trabalhadas (2º Período)]+tblHorasMai[Horas Trabalhadas (1º Período)])),6)&gt;ROUND(CARENCIA,6),
                           -tblHorasMai[Jornada Diária]+(tblHorasMai[Horas Trabalhadas (2º Período)]+tblHorasMai[Horas Trabalhadas (1º Período)]),
                           0),
                      IF(ROUND((tblHorasMai[Jornada Diária]-(tblHorasMai[Horas Trabalhadas (2º Período)]+tblHorasMai[Horas Trabalhadas (1º Período)])),6)&lt;ROUND(-CARENCIA,6),
                           -tblHorasMai[Jornada Diária]+(tblHorasMai[Horas Trabalhadas (2º Período)]+tblHorasMai[Horas Trabalhadas (1º Período)]),
                           0)),
              tblHorasMai[Horas Trabalhadas (2º Período)]+tblHorasMai[Horas Trabalhadas (1º Período)]),
         IF(AND(IF(ISERROR(VLOOKUP(tblHorasMai[Evento 
(1º Período)],tblEvento[[Evento]:[Libera o Período]],4,FALSE)),FALSE,IF(VLOOKUP(tblHorasMai[Evento 
(1º Período)],tblEvento[[Evento]:[Libera o Período]],4,FALSE)="Não",TRUE,FALSE)),IF(ISERROR(VLOOKUP(tblHorasMai[Evento 
(2º Período)],tblEvento[[Evento]:[Libera o Período]],4,FALSE)),FALSE,IF(VLOOKUP(tblHorasMai[Evento 
(2º Período)],tblEvento[[Evento]:[Libera o Período]],4,FALSE)="Não",TRUE,FALSE))),
-IF(VLOOKUP(tblHorasMai[Dia],tblDiaUtil[[Abreviatura]:[Total Jornada]],5,FALSE)&lt;&gt;"",VLOOKUP(tblHorasMai[Dia],tblDiaUtil[[Abreviatura]:[Total Jornada]],5,FALSE),JORNADA),
IF(IF(ISERROR(VLOOKUP(tblHorasMai[Evento 
(1º Período)],tblEvento[[Evento]:[Libera o Período]],4,FALSE)),FALSE,
IF(VLOOKUP(tblHorasMai[Evento 
(1º Período)],tblEvento[[Evento]:[Libera o Período]],4,FALSE)="Não",TRUE,FALSE)
),
-IF(VLOOKUP(tblHorasMai[Dia],tblDiaUtil[[Abreviatura]:[1º Período]],3,FALSE)&lt;&gt;"",VLOOKUP(tblHorasMai[Dia],tblDiaUtil[[Abreviatura]:[1º Período]],3,FALSE),JORNADA_PERIODO_1),
IF(IF(ISERROR(VLOOKUP(tblHorasMai[Evento 
(2º Período)],tblEvento[[Evento]:[Libera o Período]],4,FALSE)),FALSE,IF(VLOOKUP(tblHorasMai[Evento 
(2º Período)],tblEvento[[Evento]:[Libera o Período]],4,FALSE)="Não",TRUE,FALSE)),
-IF(VLOOKUP(tblHorasMai[Dia],tblDiaUtil[[Abreviatura]:[2º Período]],4,FALSE)&lt;&gt;"",VLOOKUP(tblHorasMai[Dia],tblDiaUtil[[Abreviatura]:[2º Período]],4,FALSE),JORNADA_PERIODO_2),0))))</f>
        <v>0</v>
      </c>
      <c r="O21" s="14">
        <f>IF(tblHorasMai[Horas Trabalhadas Além Jornada]&gt;0,
        IF(ISNUMBER(tblHorasMai[Jornada Diária]),
              IF(HOUR(tblHorasMai[Horas Trabalhadas Além Jornada])&gt;=VLOOKUP(LIMITE,tblLimiteHora[],Tabelas!$I$1,FALSE),
                    VLOOKUP(LIMITE,tblLimiteHora[],Tabelas!$J$1,FALSE),
                    tblHorasMai[Horas Trabalhadas Além Jornada]),
              tblHorasMai[Horas Trabalhadas Além Jornada]),
        tblHorasMai[Horas Trabalhadas Além Jornada])+O20</f>
        <v>0</v>
      </c>
      <c r="P21" s="14" t="str">
        <f>IF(tblHorasMai[Horas Trabalhadas Além Jornada]&lt;0,IF(OR(tblHorasMai[Evento 
(1º Período)]="",tblHorasMai[Evento 
(2º Período)]=""),tblHorasMai[Horas Trabalhadas Além Jornada],""),"")</f>
        <v/>
      </c>
      <c r="Q21" s="14" t="str">
        <f>IF(tblHorasMai[Jornada Diária]&lt;&gt;"",IF((N(tblHorasMai[Jornada Diária])-ABS(N(tblHorasMai[Horas Trabalhadas Além Jornada])))=0,1,""),"")</f>
        <v/>
      </c>
      <c r="R21" s="14" t="str">
        <f>IF(tblHorasMai[Horas Trabalhadas Além Jornada]&gt;0,
IF(AND(VLOOKUP(TEXT(tblHorasMai[Data],"dddd"),tblDiaUtil[],3,FALSE)="Sim",IF(tblHorasMai[Evento 
(1º Período)]&lt;&gt;"",IF(VLOOKUP(tblHorasMai[Evento 
(1º Período)],tblEvento[],Tabelas!$E$1,FALSE)="Sim",FALSE,TRUE),TRUE),IF(tblHorasMai[Evento 
(2º Período)]&lt;&gt;"",IF(VLOOKUP(tblHorasMai[Evento 
(2º Período)],tblEvento[],Tabelas!$E$1,FALSE)="Sim",FALSE,TRUE),TRUE)),
tblHorasMai[Horas Trabalhadas Além Jornada],""),"")</f>
        <v/>
      </c>
      <c r="S21" s="14" t="str">
        <f>IF(tblHorasMai[Horas Trabalhadas Além Jornada]&gt;0,
IF(OR(VLOOKUP(TEXT(tblHorasMai[Data],"dddd"),tblDiaUtil[],3,FALSE)="Não",IF(tblHorasMai[Evento 
(1º Período)]&lt;&gt;"",IF(VLOOKUP(tblHorasMai[Evento 
(1º Período)],tblEvento[],Tabelas!$E$1,FALSE)="Sim",TRUE,FALSE),FALSE),IF(tblHorasMai[Evento 
(2º Período)]&lt;&gt;"",IF(VLOOKUP(tblHorasMai[Evento 
(2º Período)],tblEvento[],Tabelas!$E$1,FALSE)="Sim",TRUE,FALSE),FALSE)),
tblHorasMai[Horas Trabalhadas Além Jornada],""),"")</f>
        <v/>
      </c>
      <c r="T21" s="15" t="str">
        <f>IF(tblHorasMai[Evento 
(1º Período)]&lt;&gt;""," - " &amp;VLOOKUP(tblHorasMai[Evento 
(1º Período)],tblEvento[],Tabelas!$F$1,FALSE),"")&amp;IF(AND(tblHorasMai[Evento 
(2º Período)]&lt;&gt;"",tblHorasMai[Evento 
(2º Período)]&lt;&gt;tblHorasMai[Evento 
(1º Período)])," - " &amp; VLOOKUP(tblHorasMai[Evento 
(2º Período)],tblEvento[],Tabelas!$F$1,FALSE),"")</f>
        <v/>
      </c>
    </row>
    <row r="22" spans="2:20" x14ac:dyDescent="0.25">
      <c r="B22" s="11" t="str">
        <f t="shared" si="0"/>
        <v/>
      </c>
      <c r="C22" s="12" t="str">
        <f>TEXT(tblHorasMai[Data],"ddd")</f>
        <v/>
      </c>
      <c r="D22" s="25"/>
      <c r="E22" s="1"/>
      <c r="F22" s="1"/>
      <c r="G22" s="1"/>
      <c r="H22" s="1"/>
      <c r="I22" s="53"/>
      <c r="J22" s="4">
        <f>IF($B$6&lt;&gt;"",
IF(AND(tblHorasMai[Evento 
(1º Período)]&lt;&gt;"",IF(ISERROR(VLOOKUP(tblHorasMai[Evento 
(1º Período)],tblEvento[],Tabelas!$D$1,FALSE)),FALSE,VLOOKUP(tblHorasMai[Evento 
(1º Período)],tblEvento[],Tabelas!$D$1,FALSE)="Sim")),
        IF(JORNADA_PERIODO_1&lt;&gt;"",
IF(VLOOKUP(tblHorasMai[Dia],tblDiaUtil[[Abreviatura]:[1º Período]],3,FALSE)&gt;0,VLOOKUP(tblHorasMai[Dia],tblDiaUtil[[Abreviatura]:[1º Período]],3,FALSE),JORNADA_PERIODO_1),
IF(VLOOKUP(tblHorasMai[Dia],tblDiaUtil[[Abreviatura]:[1º Período]],3,FALSE)&gt;0,VLOOKUP(tblHorasMai[Dia],tblDiaUtil[[Abreviatura]:[1º Período]],3,FALSE),JORNADA/2)),
        IF(AND(ISNUMBER(tblHorasMai[Saída - 1 (Almoço)]),ISNUMBER(tblHorasMai[Entrada - 1])),
              IF(OR(AND(tblHorasMai[Evento 
(1º Período)]&lt;&gt;"",IF(ISERROR(VLOOKUP(tblHorasMai[Evento 
(1º Período)],tblEvento[],Tabelas!$E$1,FALSE)),FALSE,VLOOKUP(tblHorasMai[Evento 
(1º Período)],tblEvento[],Tabelas!$E$1,FALSE)="Sim")),IF(VLOOKUP(TEXT(tblHorasMai[Data],"dddd"),tblDiaUtil[],2,FALSE)="Não",TRUE,FALSE)),
                   tblHorasMai[Saída - 1 (Almoço)]-tblHorasMai[Entrada - 1],
                   IF(OR(HOUR(tblHorasMai[Saída - 1 (Almoço)]-tblHorasMai[Entrada - 1])&gt;0,ROUND(tblHorasMai[Saída - 1 (Almoço)]-tblHorasMai[Entrada - 1],6)&gt;ROUND(CARENCIA,6)),
                          tblHorasMai[Saída - 1 (Almoço)]-tblHorasMai[Entrada - 1],
                          0)),
                    0)),0)</f>
        <v>0</v>
      </c>
      <c r="K22" s="4">
        <f>IF($B$6&lt;&gt;"",
IF(AND(tblHorasMai[Evento 
(2º Período)]&lt;&gt;"",IF(ISERROR(VLOOKUP(tblHorasMai[Evento 
(2º Período)],tblEvento[],Tabelas!$D$1,FALSE)),FALSE,VLOOKUP(tblHorasMai[Evento 
(2º Período)],tblEvento[],Tabelas!$D$1,FALSE)="Sim")),
        IF(JORNADA_PERIODO_2&lt;&gt;"",
IF(VLOOKUP(tblHorasMai[Dia],tblDiaUtil[[Abreviatura]:[2º Período]],4,FALSE)&gt;0,VLOOKUP(tblHorasMai[Dia],tblDiaUtil[[Abreviatura]:[2º Período]],4,FALSE),JORNADA_PERIODO_2),
IF(VLOOKUP(tblHorasMai[Dia],tblDiaUtil[[Abreviatura]:[2º Período]],4,FALSE)&gt;0,VLOOKUP(tblHorasMai[Dia],tblDiaUtil[[Abreviatura]:[2º Período]],4,FALSE),JORNADA/2)),
        IF(AND(ISNUMBER(tblHorasMai[Saída - 2]),ISNUMBER(tblHorasMai[Entrada - 2 (Almoço)])),
              IF(OR(AND(tblHorasMai[Evento 
(2º Período)]&lt;&gt;"",IF(ISERROR(VLOOKUP(tblHorasMai[Evento 
(2º Período)],tblEvento[],Tabelas!$E$1,FALSE)),FALSE,VLOOKUP(tblHorasMai[Evento 
(2º Período)],tblEvento[],Tabelas!$E$1,FALSE)="Sim")),IF(VLOOKUP(TEXT(tblHorasMai[Data],"dddd"),tblDiaUtil[],2,FALSE)="Não",TRUE,FALSE)),
                   tblHorasMai[Saída - 2]-tblHorasMai[Entrada - 2 (Almoço)],
                   IF(OR(HOUR(tblHorasMai[Saída - 2]-tblHorasMai[Entrada - 2 (Almoço)])&gt;0,MINUTE(tblHorasMai[Saída - 2]-tblHorasMai[Entrada - 2 (Almoço)])&gt;CARENCIA),
                         tblHorasMai[Saída - 2]-tblHorasMai[Entrada - 2 (Almoço)],
                         0)),
       0)),0)</f>
        <v>0</v>
      </c>
      <c r="L22" s="4">
        <f>tblHorasMai[Horas Trabalhadas (1º Período)]+tblHorasMai[Horas Trabalhadas (2º Período)]</f>
        <v>0</v>
      </c>
      <c r="M22" s="4" t="str">
        <f>IF(tblHorasMai[Data]&lt;&gt;"",
        IF(
AND(VLOOKUP(TEXT(tblHorasMai[Data],"dddd"),tblDiaUtil[],3,FALSE)="Sim",IF(tblHorasMai[Evento 
(1º Período)]&lt;&gt;"",IF(VLOOKUP(tblHorasMai[Evento 
(1º Período)],tblEvento[],Tabelas!$E$1,FALSE)="Sim",FALSE,TRUE),TRUE),IF(tblHorasMai[Evento 
(2º Período)]&lt;&gt;"",IF(VLOOKUP(tblHorasMai[Evento 
(2º Período)],tblEvento[],Tabelas!$E$1,FALSE)="Sim",FALSE,TRUE),TRUE)),
              IF(VLOOKUP(tblHorasMai[Dia],tblDiaUtil[[Abreviatura]:[1º Período]],3,FALSE)&gt;0,VLOOKUP(tblHorasMai[Dia],tblDiaUtil[[Abreviatura]:[1º Período]],3,FALSE),JORNADA),
              ""),
         "")</f>
        <v/>
      </c>
      <c r="N22" s="14">
        <f>IF(OR(tblHorasMai[Horas Trabalhadas (1º Período)]&lt;&gt;0,tblHorasMai[Horas Trabalhadas (2º Período)]&lt;&gt;0),
        IF(ISNUMBER(tblHorasMai[Jornada Diária]),
              IF(tblHorasMai[Jornada Diária]&gt;(tblHorasMai[Horas Trabalhadas (2º Período)]+tblHorasMai[Horas Trabalhadas (1º Período)]),
                     IF(ROUND((tblHorasMai[Jornada Diária]-(tblHorasMai[Horas Trabalhadas (2º Período)]+tblHorasMai[Horas Trabalhadas (1º Período)])),6)&gt;ROUND(CARENCIA,6),
                           -tblHorasMai[Jornada Diária]+(tblHorasMai[Horas Trabalhadas (2º Período)]+tblHorasMai[Horas Trabalhadas (1º Período)]),
                           0),
                      IF(ROUND((tblHorasMai[Jornada Diária]-(tblHorasMai[Horas Trabalhadas (2º Período)]+tblHorasMai[Horas Trabalhadas (1º Período)])),6)&lt;ROUND(-CARENCIA,6),
                           -tblHorasMai[Jornada Diária]+(tblHorasMai[Horas Trabalhadas (2º Período)]+tblHorasMai[Horas Trabalhadas (1º Período)]),
                           0)),
              tblHorasMai[Horas Trabalhadas (2º Período)]+tblHorasMai[Horas Trabalhadas (1º Período)]),
         IF(AND(IF(ISERROR(VLOOKUP(tblHorasMai[Evento 
(1º Período)],tblEvento[[Evento]:[Libera o Período]],4,FALSE)),FALSE,IF(VLOOKUP(tblHorasMai[Evento 
(1º Período)],tblEvento[[Evento]:[Libera o Período]],4,FALSE)="Não",TRUE,FALSE)),IF(ISERROR(VLOOKUP(tblHorasMai[Evento 
(2º Período)],tblEvento[[Evento]:[Libera o Período]],4,FALSE)),FALSE,IF(VLOOKUP(tblHorasMai[Evento 
(2º Período)],tblEvento[[Evento]:[Libera o Período]],4,FALSE)="Não",TRUE,FALSE))),
-IF(VLOOKUP(tblHorasMai[Dia],tblDiaUtil[[Abreviatura]:[Total Jornada]],5,FALSE)&lt;&gt;"",VLOOKUP(tblHorasMai[Dia],tblDiaUtil[[Abreviatura]:[Total Jornada]],5,FALSE),JORNADA),
IF(IF(ISERROR(VLOOKUP(tblHorasMai[Evento 
(1º Período)],tblEvento[[Evento]:[Libera o Período]],4,FALSE)),FALSE,
IF(VLOOKUP(tblHorasMai[Evento 
(1º Período)],tblEvento[[Evento]:[Libera o Período]],4,FALSE)="Não",TRUE,FALSE)
),
-IF(VLOOKUP(tblHorasMai[Dia],tblDiaUtil[[Abreviatura]:[1º Período]],3,FALSE)&lt;&gt;"",VLOOKUP(tblHorasMai[Dia],tblDiaUtil[[Abreviatura]:[1º Período]],3,FALSE),JORNADA_PERIODO_1),
IF(IF(ISERROR(VLOOKUP(tblHorasMai[Evento 
(2º Período)],tblEvento[[Evento]:[Libera o Período]],4,FALSE)),FALSE,IF(VLOOKUP(tblHorasMai[Evento 
(2º Período)],tblEvento[[Evento]:[Libera o Período]],4,FALSE)="Não",TRUE,FALSE)),
-IF(VLOOKUP(tblHorasMai[Dia],tblDiaUtil[[Abreviatura]:[2º Período]],4,FALSE)&lt;&gt;"",VLOOKUP(tblHorasMai[Dia],tblDiaUtil[[Abreviatura]:[2º Período]],4,FALSE),JORNADA_PERIODO_2),0))))</f>
        <v>0</v>
      </c>
      <c r="O22" s="14">
        <f>IF(tblHorasMai[Horas Trabalhadas Além Jornada]&gt;0,
        IF(ISNUMBER(tblHorasMai[Jornada Diária]),
              IF(HOUR(tblHorasMai[Horas Trabalhadas Além Jornada])&gt;=VLOOKUP(LIMITE,tblLimiteHora[],Tabelas!$I$1,FALSE),
                    VLOOKUP(LIMITE,tblLimiteHora[],Tabelas!$J$1,FALSE),
                    tblHorasMai[Horas Trabalhadas Além Jornada]),
              tblHorasMai[Horas Trabalhadas Além Jornada]),
        tblHorasMai[Horas Trabalhadas Além Jornada])+O21</f>
        <v>0</v>
      </c>
      <c r="P22" s="14" t="str">
        <f>IF(tblHorasMai[Horas Trabalhadas Além Jornada]&lt;0,IF(OR(tblHorasMai[Evento 
(1º Período)]="",tblHorasMai[Evento 
(2º Período)]=""),tblHorasMai[Horas Trabalhadas Além Jornada],""),"")</f>
        <v/>
      </c>
      <c r="Q22" s="14" t="str">
        <f>IF(tblHorasMai[Jornada Diária]&lt;&gt;"",IF((N(tblHorasMai[Jornada Diária])-ABS(N(tblHorasMai[Horas Trabalhadas Além Jornada])))=0,1,""),"")</f>
        <v/>
      </c>
      <c r="R22" s="14" t="str">
        <f>IF(tblHorasMai[Horas Trabalhadas Além Jornada]&gt;0,
IF(AND(VLOOKUP(TEXT(tblHorasMai[Data],"dddd"),tblDiaUtil[],3,FALSE)="Sim",IF(tblHorasMai[Evento 
(1º Período)]&lt;&gt;"",IF(VLOOKUP(tblHorasMai[Evento 
(1º Período)],tblEvento[],Tabelas!$E$1,FALSE)="Sim",FALSE,TRUE),TRUE),IF(tblHorasMai[Evento 
(2º Período)]&lt;&gt;"",IF(VLOOKUP(tblHorasMai[Evento 
(2º Período)],tblEvento[],Tabelas!$E$1,FALSE)="Sim",FALSE,TRUE),TRUE)),
tblHorasMai[Horas Trabalhadas Além Jornada],""),"")</f>
        <v/>
      </c>
      <c r="S22" s="14" t="str">
        <f>IF(tblHorasMai[Horas Trabalhadas Além Jornada]&gt;0,
IF(OR(VLOOKUP(TEXT(tblHorasMai[Data],"dddd"),tblDiaUtil[],3,FALSE)="Não",IF(tblHorasMai[Evento 
(1º Período)]&lt;&gt;"",IF(VLOOKUP(tblHorasMai[Evento 
(1º Período)],tblEvento[],Tabelas!$E$1,FALSE)="Sim",TRUE,FALSE),FALSE),IF(tblHorasMai[Evento 
(2º Período)]&lt;&gt;"",IF(VLOOKUP(tblHorasMai[Evento 
(2º Período)],tblEvento[],Tabelas!$E$1,FALSE)="Sim",TRUE,FALSE),FALSE)),
tblHorasMai[Horas Trabalhadas Além Jornada],""),"")</f>
        <v/>
      </c>
      <c r="T22" s="15" t="str">
        <f>IF(tblHorasMai[Evento 
(1º Período)]&lt;&gt;""," - " &amp;VLOOKUP(tblHorasMai[Evento 
(1º Período)],tblEvento[],Tabelas!$F$1,FALSE),"")&amp;IF(AND(tblHorasMai[Evento 
(2º Período)]&lt;&gt;"",tblHorasMai[Evento 
(2º Período)]&lt;&gt;tblHorasMai[Evento 
(1º Período)])," - " &amp; VLOOKUP(tblHorasMai[Evento 
(2º Período)],tblEvento[],Tabelas!$F$1,FALSE),"")</f>
        <v/>
      </c>
    </row>
    <row r="23" spans="2:20" x14ac:dyDescent="0.25">
      <c r="B23" s="11" t="str">
        <f t="shared" si="0"/>
        <v/>
      </c>
      <c r="C23" s="12" t="str">
        <f>TEXT(tblHorasMai[Data],"ddd")</f>
        <v/>
      </c>
      <c r="D23" s="25"/>
      <c r="E23" s="1"/>
      <c r="F23" s="1"/>
      <c r="G23" s="1"/>
      <c r="H23" s="1"/>
      <c r="I23" s="53"/>
      <c r="J23" s="4">
        <f>IF($B$6&lt;&gt;"",
IF(AND(tblHorasMai[Evento 
(1º Período)]&lt;&gt;"",IF(ISERROR(VLOOKUP(tblHorasMai[Evento 
(1º Período)],tblEvento[],Tabelas!$D$1,FALSE)),FALSE,VLOOKUP(tblHorasMai[Evento 
(1º Período)],tblEvento[],Tabelas!$D$1,FALSE)="Sim")),
        IF(JORNADA_PERIODO_1&lt;&gt;"",
IF(VLOOKUP(tblHorasMai[Dia],tblDiaUtil[[Abreviatura]:[1º Período]],3,FALSE)&gt;0,VLOOKUP(tblHorasMai[Dia],tblDiaUtil[[Abreviatura]:[1º Período]],3,FALSE),JORNADA_PERIODO_1),
IF(VLOOKUP(tblHorasMai[Dia],tblDiaUtil[[Abreviatura]:[1º Período]],3,FALSE)&gt;0,VLOOKUP(tblHorasMai[Dia],tblDiaUtil[[Abreviatura]:[1º Período]],3,FALSE),JORNADA/2)),
        IF(AND(ISNUMBER(tblHorasMai[Saída - 1 (Almoço)]),ISNUMBER(tblHorasMai[Entrada - 1])),
              IF(OR(AND(tblHorasMai[Evento 
(1º Período)]&lt;&gt;"",IF(ISERROR(VLOOKUP(tblHorasMai[Evento 
(1º Período)],tblEvento[],Tabelas!$E$1,FALSE)),FALSE,VLOOKUP(tblHorasMai[Evento 
(1º Período)],tblEvento[],Tabelas!$E$1,FALSE)="Sim")),IF(VLOOKUP(TEXT(tblHorasMai[Data],"dddd"),tblDiaUtil[],2,FALSE)="Não",TRUE,FALSE)),
                   tblHorasMai[Saída - 1 (Almoço)]-tblHorasMai[Entrada - 1],
                   IF(OR(HOUR(tblHorasMai[Saída - 1 (Almoço)]-tblHorasMai[Entrada - 1])&gt;0,ROUND(tblHorasMai[Saída - 1 (Almoço)]-tblHorasMai[Entrada - 1],6)&gt;ROUND(CARENCIA,6)),
                          tblHorasMai[Saída - 1 (Almoço)]-tblHorasMai[Entrada - 1],
                          0)),
                    0)),0)</f>
        <v>0</v>
      </c>
      <c r="K23" s="4">
        <f>IF($B$6&lt;&gt;"",
IF(AND(tblHorasMai[Evento 
(2º Período)]&lt;&gt;"",IF(ISERROR(VLOOKUP(tblHorasMai[Evento 
(2º Período)],tblEvento[],Tabelas!$D$1,FALSE)),FALSE,VLOOKUP(tblHorasMai[Evento 
(2º Período)],tblEvento[],Tabelas!$D$1,FALSE)="Sim")),
        IF(JORNADA_PERIODO_2&lt;&gt;"",
IF(VLOOKUP(tblHorasMai[Dia],tblDiaUtil[[Abreviatura]:[2º Período]],4,FALSE)&gt;0,VLOOKUP(tblHorasMai[Dia],tblDiaUtil[[Abreviatura]:[2º Período]],4,FALSE),JORNADA_PERIODO_2),
IF(VLOOKUP(tblHorasMai[Dia],tblDiaUtil[[Abreviatura]:[2º Período]],4,FALSE)&gt;0,VLOOKUP(tblHorasMai[Dia],tblDiaUtil[[Abreviatura]:[2º Período]],4,FALSE),JORNADA/2)),
        IF(AND(ISNUMBER(tblHorasMai[Saída - 2]),ISNUMBER(tblHorasMai[Entrada - 2 (Almoço)])),
              IF(OR(AND(tblHorasMai[Evento 
(2º Período)]&lt;&gt;"",IF(ISERROR(VLOOKUP(tblHorasMai[Evento 
(2º Período)],tblEvento[],Tabelas!$E$1,FALSE)),FALSE,VLOOKUP(tblHorasMai[Evento 
(2º Período)],tblEvento[],Tabelas!$E$1,FALSE)="Sim")),IF(VLOOKUP(TEXT(tblHorasMai[Data],"dddd"),tblDiaUtil[],2,FALSE)="Não",TRUE,FALSE)),
                   tblHorasMai[Saída - 2]-tblHorasMai[Entrada - 2 (Almoço)],
                   IF(OR(HOUR(tblHorasMai[Saída - 2]-tblHorasMai[Entrada - 2 (Almoço)])&gt;0,MINUTE(tblHorasMai[Saída - 2]-tblHorasMai[Entrada - 2 (Almoço)])&gt;CARENCIA),
                         tblHorasMai[Saída - 2]-tblHorasMai[Entrada - 2 (Almoço)],
                         0)),
       0)),0)</f>
        <v>0</v>
      </c>
      <c r="L23" s="4">
        <f>tblHorasMai[Horas Trabalhadas (1º Período)]+tblHorasMai[Horas Trabalhadas (2º Período)]</f>
        <v>0</v>
      </c>
      <c r="M23" s="4" t="str">
        <f>IF(tblHorasMai[Data]&lt;&gt;"",
        IF(
AND(VLOOKUP(TEXT(tblHorasMai[Data],"dddd"),tblDiaUtil[],3,FALSE)="Sim",IF(tblHorasMai[Evento 
(1º Período)]&lt;&gt;"",IF(VLOOKUP(tblHorasMai[Evento 
(1º Período)],tblEvento[],Tabelas!$E$1,FALSE)="Sim",FALSE,TRUE),TRUE),IF(tblHorasMai[Evento 
(2º Período)]&lt;&gt;"",IF(VLOOKUP(tblHorasMai[Evento 
(2º Período)],tblEvento[],Tabelas!$E$1,FALSE)="Sim",FALSE,TRUE),TRUE)),
              IF(VLOOKUP(tblHorasMai[Dia],tblDiaUtil[[Abreviatura]:[1º Período]],3,FALSE)&gt;0,VLOOKUP(tblHorasMai[Dia],tblDiaUtil[[Abreviatura]:[1º Período]],3,FALSE),JORNADA),
              ""),
         "")</f>
        <v/>
      </c>
      <c r="N23" s="14">
        <f>IF(OR(tblHorasMai[Horas Trabalhadas (1º Período)]&lt;&gt;0,tblHorasMai[Horas Trabalhadas (2º Período)]&lt;&gt;0),
        IF(ISNUMBER(tblHorasMai[Jornada Diária]),
              IF(tblHorasMai[Jornada Diária]&gt;(tblHorasMai[Horas Trabalhadas (2º Período)]+tblHorasMai[Horas Trabalhadas (1º Período)]),
                     IF(ROUND((tblHorasMai[Jornada Diária]-(tblHorasMai[Horas Trabalhadas (2º Período)]+tblHorasMai[Horas Trabalhadas (1º Período)])),6)&gt;ROUND(CARENCIA,6),
                           -tblHorasMai[Jornada Diária]+(tblHorasMai[Horas Trabalhadas (2º Período)]+tblHorasMai[Horas Trabalhadas (1º Período)]),
                           0),
                      IF(ROUND((tblHorasMai[Jornada Diária]-(tblHorasMai[Horas Trabalhadas (2º Período)]+tblHorasMai[Horas Trabalhadas (1º Período)])),6)&lt;ROUND(-CARENCIA,6),
                           -tblHorasMai[Jornada Diária]+(tblHorasMai[Horas Trabalhadas (2º Período)]+tblHorasMai[Horas Trabalhadas (1º Período)]),
                           0)),
              tblHorasMai[Horas Trabalhadas (2º Período)]+tblHorasMai[Horas Trabalhadas (1º Período)]),
         IF(AND(IF(ISERROR(VLOOKUP(tblHorasMai[Evento 
(1º Período)],tblEvento[[Evento]:[Libera o Período]],4,FALSE)),FALSE,IF(VLOOKUP(tblHorasMai[Evento 
(1º Período)],tblEvento[[Evento]:[Libera o Período]],4,FALSE)="Não",TRUE,FALSE)),IF(ISERROR(VLOOKUP(tblHorasMai[Evento 
(2º Período)],tblEvento[[Evento]:[Libera o Período]],4,FALSE)),FALSE,IF(VLOOKUP(tblHorasMai[Evento 
(2º Período)],tblEvento[[Evento]:[Libera o Período]],4,FALSE)="Não",TRUE,FALSE))),
-IF(VLOOKUP(tblHorasMai[Dia],tblDiaUtil[[Abreviatura]:[Total Jornada]],5,FALSE)&lt;&gt;"",VLOOKUP(tblHorasMai[Dia],tblDiaUtil[[Abreviatura]:[Total Jornada]],5,FALSE),JORNADA),
IF(IF(ISERROR(VLOOKUP(tblHorasMai[Evento 
(1º Período)],tblEvento[[Evento]:[Libera o Período]],4,FALSE)),FALSE,
IF(VLOOKUP(tblHorasMai[Evento 
(1º Período)],tblEvento[[Evento]:[Libera o Período]],4,FALSE)="Não",TRUE,FALSE)
),
-IF(VLOOKUP(tblHorasMai[Dia],tblDiaUtil[[Abreviatura]:[1º Período]],3,FALSE)&lt;&gt;"",VLOOKUP(tblHorasMai[Dia],tblDiaUtil[[Abreviatura]:[1º Período]],3,FALSE),JORNADA_PERIODO_1),
IF(IF(ISERROR(VLOOKUP(tblHorasMai[Evento 
(2º Período)],tblEvento[[Evento]:[Libera o Período]],4,FALSE)),FALSE,IF(VLOOKUP(tblHorasMai[Evento 
(2º Período)],tblEvento[[Evento]:[Libera o Período]],4,FALSE)="Não",TRUE,FALSE)),
-IF(VLOOKUP(tblHorasMai[Dia],tblDiaUtil[[Abreviatura]:[2º Período]],4,FALSE)&lt;&gt;"",VLOOKUP(tblHorasMai[Dia],tblDiaUtil[[Abreviatura]:[2º Período]],4,FALSE),JORNADA_PERIODO_2),0))))</f>
        <v>0</v>
      </c>
      <c r="O23" s="14">
        <f>IF(tblHorasMai[Horas Trabalhadas Além Jornada]&gt;0,
        IF(ISNUMBER(tblHorasMai[Jornada Diária]),
              IF(HOUR(tblHorasMai[Horas Trabalhadas Além Jornada])&gt;=VLOOKUP(LIMITE,tblLimiteHora[],Tabelas!$I$1,FALSE),
                    VLOOKUP(LIMITE,tblLimiteHora[],Tabelas!$J$1,FALSE),
                    tblHorasMai[Horas Trabalhadas Além Jornada]),
              tblHorasMai[Horas Trabalhadas Além Jornada]),
        tblHorasMai[Horas Trabalhadas Além Jornada])+O22</f>
        <v>0</v>
      </c>
      <c r="P23" s="14" t="str">
        <f>IF(tblHorasMai[Horas Trabalhadas Além Jornada]&lt;0,IF(OR(tblHorasMai[Evento 
(1º Período)]="",tblHorasMai[Evento 
(2º Período)]=""),tblHorasMai[Horas Trabalhadas Além Jornada],""),"")</f>
        <v/>
      </c>
      <c r="Q23" s="14" t="str">
        <f>IF(tblHorasMai[Jornada Diária]&lt;&gt;"",IF((N(tblHorasMai[Jornada Diária])-ABS(N(tblHorasMai[Horas Trabalhadas Além Jornada])))=0,1,""),"")</f>
        <v/>
      </c>
      <c r="R23" s="14" t="str">
        <f>IF(tblHorasMai[Horas Trabalhadas Além Jornada]&gt;0,
IF(AND(VLOOKUP(TEXT(tblHorasMai[Data],"dddd"),tblDiaUtil[],3,FALSE)="Sim",IF(tblHorasMai[Evento 
(1º Período)]&lt;&gt;"",IF(VLOOKUP(tblHorasMai[Evento 
(1º Período)],tblEvento[],Tabelas!$E$1,FALSE)="Sim",FALSE,TRUE),TRUE),IF(tblHorasMai[Evento 
(2º Período)]&lt;&gt;"",IF(VLOOKUP(tblHorasMai[Evento 
(2º Período)],tblEvento[],Tabelas!$E$1,FALSE)="Sim",FALSE,TRUE),TRUE)),
tblHorasMai[Horas Trabalhadas Além Jornada],""),"")</f>
        <v/>
      </c>
      <c r="S23" s="14" t="str">
        <f>IF(tblHorasMai[Horas Trabalhadas Além Jornada]&gt;0,
IF(OR(VLOOKUP(TEXT(tblHorasMai[Data],"dddd"),tblDiaUtil[],3,FALSE)="Não",IF(tblHorasMai[Evento 
(1º Período)]&lt;&gt;"",IF(VLOOKUP(tblHorasMai[Evento 
(1º Período)],tblEvento[],Tabelas!$E$1,FALSE)="Sim",TRUE,FALSE),FALSE),IF(tblHorasMai[Evento 
(2º Período)]&lt;&gt;"",IF(VLOOKUP(tblHorasMai[Evento 
(2º Período)],tblEvento[],Tabelas!$E$1,FALSE)="Sim",TRUE,FALSE),FALSE)),
tblHorasMai[Horas Trabalhadas Além Jornada],""),"")</f>
        <v/>
      </c>
      <c r="T23" s="15" t="str">
        <f>IF(tblHorasMai[Evento 
(1º Período)]&lt;&gt;""," - " &amp;VLOOKUP(tblHorasMai[Evento 
(1º Período)],tblEvento[],Tabelas!$F$1,FALSE),"")&amp;IF(AND(tblHorasMai[Evento 
(2º Período)]&lt;&gt;"",tblHorasMai[Evento 
(2º Período)]&lt;&gt;tblHorasMai[Evento 
(1º Período)])," - " &amp; VLOOKUP(tblHorasMai[Evento 
(2º Período)],tblEvento[],Tabelas!$F$1,FALSE),"")</f>
        <v/>
      </c>
    </row>
    <row r="24" spans="2:20" x14ac:dyDescent="0.25">
      <c r="B24" s="11" t="str">
        <f t="shared" si="0"/>
        <v/>
      </c>
      <c r="C24" s="12" t="str">
        <f>TEXT(tblHorasMai[Data],"ddd")</f>
        <v/>
      </c>
      <c r="D24" s="25"/>
      <c r="E24" s="1"/>
      <c r="F24" s="1"/>
      <c r="G24" s="1"/>
      <c r="H24" s="1"/>
      <c r="I24" s="53"/>
      <c r="J24" s="4">
        <f>IF($B$6&lt;&gt;"",
IF(AND(tblHorasMai[Evento 
(1º Período)]&lt;&gt;"",IF(ISERROR(VLOOKUP(tblHorasMai[Evento 
(1º Período)],tblEvento[],Tabelas!$D$1,FALSE)),FALSE,VLOOKUP(tblHorasMai[Evento 
(1º Período)],tblEvento[],Tabelas!$D$1,FALSE)="Sim")),
        IF(JORNADA_PERIODO_1&lt;&gt;"",
IF(VLOOKUP(tblHorasMai[Dia],tblDiaUtil[[Abreviatura]:[1º Período]],3,FALSE)&gt;0,VLOOKUP(tblHorasMai[Dia],tblDiaUtil[[Abreviatura]:[1º Período]],3,FALSE),JORNADA_PERIODO_1),
IF(VLOOKUP(tblHorasMai[Dia],tblDiaUtil[[Abreviatura]:[1º Período]],3,FALSE)&gt;0,VLOOKUP(tblHorasMai[Dia],tblDiaUtil[[Abreviatura]:[1º Período]],3,FALSE),JORNADA/2)),
        IF(AND(ISNUMBER(tblHorasMai[Saída - 1 (Almoço)]),ISNUMBER(tblHorasMai[Entrada - 1])),
              IF(OR(AND(tblHorasMai[Evento 
(1º Período)]&lt;&gt;"",IF(ISERROR(VLOOKUP(tblHorasMai[Evento 
(1º Período)],tblEvento[],Tabelas!$E$1,FALSE)),FALSE,VLOOKUP(tblHorasMai[Evento 
(1º Período)],tblEvento[],Tabelas!$E$1,FALSE)="Sim")),IF(VLOOKUP(TEXT(tblHorasMai[Data],"dddd"),tblDiaUtil[],2,FALSE)="Não",TRUE,FALSE)),
                   tblHorasMai[Saída - 1 (Almoço)]-tblHorasMai[Entrada - 1],
                   IF(OR(HOUR(tblHorasMai[Saída - 1 (Almoço)]-tblHorasMai[Entrada - 1])&gt;0,ROUND(tblHorasMai[Saída - 1 (Almoço)]-tblHorasMai[Entrada - 1],6)&gt;ROUND(CARENCIA,6)),
                          tblHorasMai[Saída - 1 (Almoço)]-tblHorasMai[Entrada - 1],
                          0)),
                    0)),0)</f>
        <v>0</v>
      </c>
      <c r="K24" s="4">
        <f>IF($B$6&lt;&gt;"",
IF(AND(tblHorasMai[Evento 
(2º Período)]&lt;&gt;"",IF(ISERROR(VLOOKUP(tblHorasMai[Evento 
(2º Período)],tblEvento[],Tabelas!$D$1,FALSE)),FALSE,VLOOKUP(tblHorasMai[Evento 
(2º Período)],tblEvento[],Tabelas!$D$1,FALSE)="Sim")),
        IF(JORNADA_PERIODO_2&lt;&gt;"",
IF(VLOOKUP(tblHorasMai[Dia],tblDiaUtil[[Abreviatura]:[2º Período]],4,FALSE)&gt;0,VLOOKUP(tblHorasMai[Dia],tblDiaUtil[[Abreviatura]:[2º Período]],4,FALSE),JORNADA_PERIODO_2),
IF(VLOOKUP(tblHorasMai[Dia],tblDiaUtil[[Abreviatura]:[2º Período]],4,FALSE)&gt;0,VLOOKUP(tblHorasMai[Dia],tblDiaUtil[[Abreviatura]:[2º Período]],4,FALSE),JORNADA/2)),
        IF(AND(ISNUMBER(tblHorasMai[Saída - 2]),ISNUMBER(tblHorasMai[Entrada - 2 (Almoço)])),
              IF(OR(AND(tblHorasMai[Evento 
(2º Período)]&lt;&gt;"",IF(ISERROR(VLOOKUP(tblHorasMai[Evento 
(2º Período)],tblEvento[],Tabelas!$E$1,FALSE)),FALSE,VLOOKUP(tblHorasMai[Evento 
(2º Período)],tblEvento[],Tabelas!$E$1,FALSE)="Sim")),IF(VLOOKUP(TEXT(tblHorasMai[Data],"dddd"),tblDiaUtil[],2,FALSE)="Não",TRUE,FALSE)),
                   tblHorasMai[Saída - 2]-tblHorasMai[Entrada - 2 (Almoço)],
                   IF(OR(HOUR(tblHorasMai[Saída - 2]-tblHorasMai[Entrada - 2 (Almoço)])&gt;0,MINUTE(tblHorasMai[Saída - 2]-tblHorasMai[Entrada - 2 (Almoço)])&gt;CARENCIA),
                         tblHorasMai[Saída - 2]-tblHorasMai[Entrada - 2 (Almoço)],
                         0)),
       0)),0)</f>
        <v>0</v>
      </c>
      <c r="L24" s="4">
        <f>tblHorasMai[Horas Trabalhadas (1º Período)]+tblHorasMai[Horas Trabalhadas (2º Período)]</f>
        <v>0</v>
      </c>
      <c r="M24" s="4" t="str">
        <f>IF(tblHorasMai[Data]&lt;&gt;"",
        IF(
AND(VLOOKUP(TEXT(tblHorasMai[Data],"dddd"),tblDiaUtil[],3,FALSE)="Sim",IF(tblHorasMai[Evento 
(1º Período)]&lt;&gt;"",IF(VLOOKUP(tblHorasMai[Evento 
(1º Período)],tblEvento[],Tabelas!$E$1,FALSE)="Sim",FALSE,TRUE),TRUE),IF(tblHorasMai[Evento 
(2º Período)]&lt;&gt;"",IF(VLOOKUP(tblHorasMai[Evento 
(2º Período)],tblEvento[],Tabelas!$E$1,FALSE)="Sim",FALSE,TRUE),TRUE)),
              IF(VLOOKUP(tblHorasMai[Dia],tblDiaUtil[[Abreviatura]:[1º Período]],3,FALSE)&gt;0,VLOOKUP(tblHorasMai[Dia],tblDiaUtil[[Abreviatura]:[1º Período]],3,FALSE),JORNADA),
              ""),
         "")</f>
        <v/>
      </c>
      <c r="N24" s="14">
        <f>IF(OR(tblHorasMai[Horas Trabalhadas (1º Período)]&lt;&gt;0,tblHorasMai[Horas Trabalhadas (2º Período)]&lt;&gt;0),
        IF(ISNUMBER(tblHorasMai[Jornada Diária]),
              IF(tblHorasMai[Jornada Diária]&gt;(tblHorasMai[Horas Trabalhadas (2º Período)]+tblHorasMai[Horas Trabalhadas (1º Período)]),
                     IF(ROUND((tblHorasMai[Jornada Diária]-(tblHorasMai[Horas Trabalhadas (2º Período)]+tblHorasMai[Horas Trabalhadas (1º Período)])),6)&gt;ROUND(CARENCIA,6),
                           -tblHorasMai[Jornada Diária]+(tblHorasMai[Horas Trabalhadas (2º Período)]+tblHorasMai[Horas Trabalhadas (1º Período)]),
                           0),
                      IF(ROUND((tblHorasMai[Jornada Diária]-(tblHorasMai[Horas Trabalhadas (2º Período)]+tblHorasMai[Horas Trabalhadas (1º Período)])),6)&lt;ROUND(-CARENCIA,6),
                           -tblHorasMai[Jornada Diária]+(tblHorasMai[Horas Trabalhadas (2º Período)]+tblHorasMai[Horas Trabalhadas (1º Período)]),
                           0)),
              tblHorasMai[Horas Trabalhadas (2º Período)]+tblHorasMai[Horas Trabalhadas (1º Período)]),
         IF(AND(IF(ISERROR(VLOOKUP(tblHorasMai[Evento 
(1º Período)],tblEvento[[Evento]:[Libera o Período]],4,FALSE)),FALSE,IF(VLOOKUP(tblHorasMai[Evento 
(1º Período)],tblEvento[[Evento]:[Libera o Período]],4,FALSE)="Não",TRUE,FALSE)),IF(ISERROR(VLOOKUP(tblHorasMai[Evento 
(2º Período)],tblEvento[[Evento]:[Libera o Período]],4,FALSE)),FALSE,IF(VLOOKUP(tblHorasMai[Evento 
(2º Período)],tblEvento[[Evento]:[Libera o Período]],4,FALSE)="Não",TRUE,FALSE))),
-IF(VLOOKUP(tblHorasMai[Dia],tblDiaUtil[[Abreviatura]:[Total Jornada]],5,FALSE)&lt;&gt;"",VLOOKUP(tblHorasMai[Dia],tblDiaUtil[[Abreviatura]:[Total Jornada]],5,FALSE),JORNADA),
IF(IF(ISERROR(VLOOKUP(tblHorasMai[Evento 
(1º Período)],tblEvento[[Evento]:[Libera o Período]],4,FALSE)),FALSE,
IF(VLOOKUP(tblHorasMai[Evento 
(1º Período)],tblEvento[[Evento]:[Libera o Período]],4,FALSE)="Não",TRUE,FALSE)
),
-IF(VLOOKUP(tblHorasMai[Dia],tblDiaUtil[[Abreviatura]:[1º Período]],3,FALSE)&lt;&gt;"",VLOOKUP(tblHorasMai[Dia],tblDiaUtil[[Abreviatura]:[1º Período]],3,FALSE),JORNADA_PERIODO_1),
IF(IF(ISERROR(VLOOKUP(tblHorasMai[Evento 
(2º Período)],tblEvento[[Evento]:[Libera o Período]],4,FALSE)),FALSE,IF(VLOOKUP(tblHorasMai[Evento 
(2º Período)],tblEvento[[Evento]:[Libera o Período]],4,FALSE)="Não",TRUE,FALSE)),
-IF(VLOOKUP(tblHorasMai[Dia],tblDiaUtil[[Abreviatura]:[2º Período]],4,FALSE)&lt;&gt;"",VLOOKUP(tblHorasMai[Dia],tblDiaUtil[[Abreviatura]:[2º Período]],4,FALSE),JORNADA_PERIODO_2),0))))</f>
        <v>0</v>
      </c>
      <c r="O24" s="14">
        <f>IF(tblHorasMai[Horas Trabalhadas Além Jornada]&gt;0,
        IF(ISNUMBER(tblHorasMai[Jornada Diária]),
              IF(HOUR(tblHorasMai[Horas Trabalhadas Além Jornada])&gt;=VLOOKUP(LIMITE,tblLimiteHora[],Tabelas!$I$1,FALSE),
                    VLOOKUP(LIMITE,tblLimiteHora[],Tabelas!$J$1,FALSE),
                    tblHorasMai[Horas Trabalhadas Além Jornada]),
              tblHorasMai[Horas Trabalhadas Além Jornada]),
        tblHorasMai[Horas Trabalhadas Além Jornada])+O23</f>
        <v>0</v>
      </c>
      <c r="P24" s="14" t="str">
        <f>IF(tblHorasMai[Horas Trabalhadas Além Jornada]&lt;0,IF(OR(tblHorasMai[Evento 
(1º Período)]="",tblHorasMai[Evento 
(2º Período)]=""),tblHorasMai[Horas Trabalhadas Além Jornada],""),"")</f>
        <v/>
      </c>
      <c r="Q24" s="14" t="str">
        <f>IF(tblHorasMai[Jornada Diária]&lt;&gt;"",IF((N(tblHorasMai[Jornada Diária])-ABS(N(tblHorasMai[Horas Trabalhadas Além Jornada])))=0,1,""),"")</f>
        <v/>
      </c>
      <c r="R24" s="14" t="str">
        <f>IF(tblHorasMai[Horas Trabalhadas Além Jornada]&gt;0,
IF(AND(VLOOKUP(TEXT(tblHorasMai[Data],"dddd"),tblDiaUtil[],3,FALSE)="Sim",IF(tblHorasMai[Evento 
(1º Período)]&lt;&gt;"",IF(VLOOKUP(tblHorasMai[Evento 
(1º Período)],tblEvento[],Tabelas!$E$1,FALSE)="Sim",FALSE,TRUE),TRUE),IF(tblHorasMai[Evento 
(2º Período)]&lt;&gt;"",IF(VLOOKUP(tblHorasMai[Evento 
(2º Período)],tblEvento[],Tabelas!$E$1,FALSE)="Sim",FALSE,TRUE),TRUE)),
tblHorasMai[Horas Trabalhadas Além Jornada],""),"")</f>
        <v/>
      </c>
      <c r="S24" s="14" t="str">
        <f>IF(tblHorasMai[Horas Trabalhadas Além Jornada]&gt;0,
IF(OR(VLOOKUP(TEXT(tblHorasMai[Data],"dddd"),tblDiaUtil[],3,FALSE)="Não",IF(tblHorasMai[Evento 
(1º Período)]&lt;&gt;"",IF(VLOOKUP(tblHorasMai[Evento 
(1º Período)],tblEvento[],Tabelas!$E$1,FALSE)="Sim",TRUE,FALSE),FALSE),IF(tblHorasMai[Evento 
(2º Período)]&lt;&gt;"",IF(VLOOKUP(tblHorasMai[Evento 
(2º Período)],tblEvento[],Tabelas!$E$1,FALSE)="Sim",TRUE,FALSE),FALSE)),
tblHorasMai[Horas Trabalhadas Além Jornada],""),"")</f>
        <v/>
      </c>
      <c r="T24" s="15" t="str">
        <f>IF(tblHorasMai[Evento 
(1º Período)]&lt;&gt;""," - " &amp;VLOOKUP(tblHorasMai[Evento 
(1º Período)],tblEvento[],Tabelas!$F$1,FALSE),"")&amp;IF(AND(tblHorasMai[Evento 
(2º Período)]&lt;&gt;"",tblHorasMai[Evento 
(2º Período)]&lt;&gt;tblHorasMai[Evento 
(1º Período)])," - " &amp; VLOOKUP(tblHorasMai[Evento 
(2º Período)],tblEvento[],Tabelas!$F$1,FALSE),"")</f>
        <v/>
      </c>
    </row>
    <row r="25" spans="2:20" x14ac:dyDescent="0.25">
      <c r="B25" s="11" t="str">
        <f t="shared" si="0"/>
        <v/>
      </c>
      <c r="C25" s="12" t="str">
        <f>TEXT(tblHorasMai[Data],"ddd")</f>
        <v/>
      </c>
      <c r="D25" s="25"/>
      <c r="E25" s="1"/>
      <c r="F25" s="1"/>
      <c r="G25" s="1"/>
      <c r="H25" s="1"/>
      <c r="I25" s="53"/>
      <c r="J25" s="4">
        <f>IF($B$6&lt;&gt;"",
IF(AND(tblHorasMai[Evento 
(1º Período)]&lt;&gt;"",IF(ISERROR(VLOOKUP(tblHorasMai[Evento 
(1º Período)],tblEvento[],Tabelas!$D$1,FALSE)),FALSE,VLOOKUP(tblHorasMai[Evento 
(1º Período)],tblEvento[],Tabelas!$D$1,FALSE)="Sim")),
        IF(JORNADA_PERIODO_1&lt;&gt;"",
IF(VLOOKUP(tblHorasMai[Dia],tblDiaUtil[[Abreviatura]:[1º Período]],3,FALSE)&gt;0,VLOOKUP(tblHorasMai[Dia],tblDiaUtil[[Abreviatura]:[1º Período]],3,FALSE),JORNADA_PERIODO_1),
IF(VLOOKUP(tblHorasMai[Dia],tblDiaUtil[[Abreviatura]:[1º Período]],3,FALSE)&gt;0,VLOOKUP(tblHorasMai[Dia],tblDiaUtil[[Abreviatura]:[1º Período]],3,FALSE),JORNADA/2)),
        IF(AND(ISNUMBER(tblHorasMai[Saída - 1 (Almoço)]),ISNUMBER(tblHorasMai[Entrada - 1])),
              IF(OR(AND(tblHorasMai[Evento 
(1º Período)]&lt;&gt;"",IF(ISERROR(VLOOKUP(tblHorasMai[Evento 
(1º Período)],tblEvento[],Tabelas!$E$1,FALSE)),FALSE,VLOOKUP(tblHorasMai[Evento 
(1º Período)],tblEvento[],Tabelas!$E$1,FALSE)="Sim")),IF(VLOOKUP(TEXT(tblHorasMai[Data],"dddd"),tblDiaUtil[],2,FALSE)="Não",TRUE,FALSE)),
                   tblHorasMai[Saída - 1 (Almoço)]-tblHorasMai[Entrada - 1],
                   IF(OR(HOUR(tblHorasMai[Saída - 1 (Almoço)]-tblHorasMai[Entrada - 1])&gt;0,ROUND(tblHorasMai[Saída - 1 (Almoço)]-tblHorasMai[Entrada - 1],6)&gt;ROUND(CARENCIA,6)),
                          tblHorasMai[Saída - 1 (Almoço)]-tblHorasMai[Entrada - 1],
                          0)),
                    0)),0)</f>
        <v>0</v>
      </c>
      <c r="K25" s="4">
        <f>IF($B$6&lt;&gt;"",
IF(AND(tblHorasMai[Evento 
(2º Período)]&lt;&gt;"",IF(ISERROR(VLOOKUP(tblHorasMai[Evento 
(2º Período)],tblEvento[],Tabelas!$D$1,FALSE)),FALSE,VLOOKUP(tblHorasMai[Evento 
(2º Período)],tblEvento[],Tabelas!$D$1,FALSE)="Sim")),
        IF(JORNADA_PERIODO_2&lt;&gt;"",
IF(VLOOKUP(tblHorasMai[Dia],tblDiaUtil[[Abreviatura]:[2º Período]],4,FALSE)&gt;0,VLOOKUP(tblHorasMai[Dia],tblDiaUtil[[Abreviatura]:[2º Período]],4,FALSE),JORNADA_PERIODO_2),
IF(VLOOKUP(tblHorasMai[Dia],tblDiaUtil[[Abreviatura]:[2º Período]],4,FALSE)&gt;0,VLOOKUP(tblHorasMai[Dia],tblDiaUtil[[Abreviatura]:[2º Período]],4,FALSE),JORNADA/2)),
        IF(AND(ISNUMBER(tblHorasMai[Saída - 2]),ISNUMBER(tblHorasMai[Entrada - 2 (Almoço)])),
              IF(OR(AND(tblHorasMai[Evento 
(2º Período)]&lt;&gt;"",IF(ISERROR(VLOOKUP(tblHorasMai[Evento 
(2º Período)],tblEvento[],Tabelas!$E$1,FALSE)),FALSE,VLOOKUP(tblHorasMai[Evento 
(2º Período)],tblEvento[],Tabelas!$E$1,FALSE)="Sim")),IF(VLOOKUP(TEXT(tblHorasMai[Data],"dddd"),tblDiaUtil[],2,FALSE)="Não",TRUE,FALSE)),
                   tblHorasMai[Saída - 2]-tblHorasMai[Entrada - 2 (Almoço)],
                   IF(OR(HOUR(tblHorasMai[Saída - 2]-tblHorasMai[Entrada - 2 (Almoço)])&gt;0,MINUTE(tblHorasMai[Saída - 2]-tblHorasMai[Entrada - 2 (Almoço)])&gt;CARENCIA),
                         tblHorasMai[Saída - 2]-tblHorasMai[Entrada - 2 (Almoço)],
                         0)),
       0)),0)</f>
        <v>0</v>
      </c>
      <c r="L25" s="4">
        <f>tblHorasMai[Horas Trabalhadas (1º Período)]+tblHorasMai[Horas Trabalhadas (2º Período)]</f>
        <v>0</v>
      </c>
      <c r="M25" s="4" t="str">
        <f>IF(tblHorasMai[Data]&lt;&gt;"",
        IF(
AND(VLOOKUP(TEXT(tblHorasMai[Data],"dddd"),tblDiaUtil[],3,FALSE)="Sim",IF(tblHorasMai[Evento 
(1º Período)]&lt;&gt;"",IF(VLOOKUP(tblHorasMai[Evento 
(1º Período)],tblEvento[],Tabelas!$E$1,FALSE)="Sim",FALSE,TRUE),TRUE),IF(tblHorasMai[Evento 
(2º Período)]&lt;&gt;"",IF(VLOOKUP(tblHorasMai[Evento 
(2º Período)],tblEvento[],Tabelas!$E$1,FALSE)="Sim",FALSE,TRUE),TRUE)),
              IF(VLOOKUP(tblHorasMai[Dia],tblDiaUtil[[Abreviatura]:[1º Período]],3,FALSE)&gt;0,VLOOKUP(tblHorasMai[Dia],tblDiaUtil[[Abreviatura]:[1º Período]],3,FALSE),JORNADA),
              ""),
         "")</f>
        <v/>
      </c>
      <c r="N25" s="14">
        <f>IF(OR(tblHorasMai[Horas Trabalhadas (1º Período)]&lt;&gt;0,tblHorasMai[Horas Trabalhadas (2º Período)]&lt;&gt;0),
        IF(ISNUMBER(tblHorasMai[Jornada Diária]),
              IF(tblHorasMai[Jornada Diária]&gt;(tblHorasMai[Horas Trabalhadas (2º Período)]+tblHorasMai[Horas Trabalhadas (1º Período)]),
                     IF(ROUND((tblHorasMai[Jornada Diária]-(tblHorasMai[Horas Trabalhadas (2º Período)]+tblHorasMai[Horas Trabalhadas (1º Período)])),6)&gt;ROUND(CARENCIA,6),
                           -tblHorasMai[Jornada Diária]+(tblHorasMai[Horas Trabalhadas (2º Período)]+tblHorasMai[Horas Trabalhadas (1º Período)]),
                           0),
                      IF(ROUND((tblHorasMai[Jornada Diária]-(tblHorasMai[Horas Trabalhadas (2º Período)]+tblHorasMai[Horas Trabalhadas (1º Período)])),6)&lt;ROUND(-CARENCIA,6),
                           -tblHorasMai[Jornada Diária]+(tblHorasMai[Horas Trabalhadas (2º Período)]+tblHorasMai[Horas Trabalhadas (1º Período)]),
                           0)),
              tblHorasMai[Horas Trabalhadas (2º Período)]+tblHorasMai[Horas Trabalhadas (1º Período)]),
         IF(AND(IF(ISERROR(VLOOKUP(tblHorasMai[Evento 
(1º Período)],tblEvento[[Evento]:[Libera o Período]],4,FALSE)),FALSE,IF(VLOOKUP(tblHorasMai[Evento 
(1º Período)],tblEvento[[Evento]:[Libera o Período]],4,FALSE)="Não",TRUE,FALSE)),IF(ISERROR(VLOOKUP(tblHorasMai[Evento 
(2º Período)],tblEvento[[Evento]:[Libera o Período]],4,FALSE)),FALSE,IF(VLOOKUP(tblHorasMai[Evento 
(2º Período)],tblEvento[[Evento]:[Libera o Período]],4,FALSE)="Não",TRUE,FALSE))),
-IF(VLOOKUP(tblHorasMai[Dia],tblDiaUtil[[Abreviatura]:[Total Jornada]],5,FALSE)&lt;&gt;"",VLOOKUP(tblHorasMai[Dia],tblDiaUtil[[Abreviatura]:[Total Jornada]],5,FALSE),JORNADA),
IF(IF(ISERROR(VLOOKUP(tblHorasMai[Evento 
(1º Período)],tblEvento[[Evento]:[Libera o Período]],4,FALSE)),FALSE,
IF(VLOOKUP(tblHorasMai[Evento 
(1º Período)],tblEvento[[Evento]:[Libera o Período]],4,FALSE)="Não",TRUE,FALSE)
),
-IF(VLOOKUP(tblHorasMai[Dia],tblDiaUtil[[Abreviatura]:[1º Período]],3,FALSE)&lt;&gt;"",VLOOKUP(tblHorasMai[Dia],tblDiaUtil[[Abreviatura]:[1º Período]],3,FALSE),JORNADA_PERIODO_1),
IF(IF(ISERROR(VLOOKUP(tblHorasMai[Evento 
(2º Período)],tblEvento[[Evento]:[Libera o Período]],4,FALSE)),FALSE,IF(VLOOKUP(tblHorasMai[Evento 
(2º Período)],tblEvento[[Evento]:[Libera o Período]],4,FALSE)="Não",TRUE,FALSE)),
-IF(VLOOKUP(tblHorasMai[Dia],tblDiaUtil[[Abreviatura]:[2º Período]],4,FALSE)&lt;&gt;"",VLOOKUP(tblHorasMai[Dia],tblDiaUtil[[Abreviatura]:[2º Período]],4,FALSE),JORNADA_PERIODO_2),0))))</f>
        <v>0</v>
      </c>
      <c r="O25" s="14">
        <f>IF(tblHorasMai[Horas Trabalhadas Além Jornada]&gt;0,
        IF(ISNUMBER(tblHorasMai[Jornada Diária]),
              IF(HOUR(tblHorasMai[Horas Trabalhadas Além Jornada])&gt;=VLOOKUP(LIMITE,tblLimiteHora[],Tabelas!$I$1,FALSE),
                    VLOOKUP(LIMITE,tblLimiteHora[],Tabelas!$J$1,FALSE),
                    tblHorasMai[Horas Trabalhadas Além Jornada]),
              tblHorasMai[Horas Trabalhadas Além Jornada]),
        tblHorasMai[Horas Trabalhadas Além Jornada])+O24</f>
        <v>0</v>
      </c>
      <c r="P25" s="14" t="str">
        <f>IF(tblHorasMai[Horas Trabalhadas Além Jornada]&lt;0,IF(OR(tblHorasMai[Evento 
(1º Período)]="",tblHorasMai[Evento 
(2º Período)]=""),tblHorasMai[Horas Trabalhadas Além Jornada],""),"")</f>
        <v/>
      </c>
      <c r="Q25" s="14" t="str">
        <f>IF(tblHorasMai[Jornada Diária]&lt;&gt;"",IF((N(tblHorasMai[Jornada Diária])-ABS(N(tblHorasMai[Horas Trabalhadas Além Jornada])))=0,1,""),"")</f>
        <v/>
      </c>
      <c r="R25" s="14" t="str">
        <f>IF(tblHorasMai[Horas Trabalhadas Além Jornada]&gt;0,
IF(AND(VLOOKUP(TEXT(tblHorasMai[Data],"dddd"),tblDiaUtil[],3,FALSE)="Sim",IF(tblHorasMai[Evento 
(1º Período)]&lt;&gt;"",IF(VLOOKUP(tblHorasMai[Evento 
(1º Período)],tblEvento[],Tabelas!$E$1,FALSE)="Sim",FALSE,TRUE),TRUE),IF(tblHorasMai[Evento 
(2º Período)]&lt;&gt;"",IF(VLOOKUP(tblHorasMai[Evento 
(2º Período)],tblEvento[],Tabelas!$E$1,FALSE)="Sim",FALSE,TRUE),TRUE)),
tblHorasMai[Horas Trabalhadas Além Jornada],""),"")</f>
        <v/>
      </c>
      <c r="S25" s="14" t="str">
        <f>IF(tblHorasMai[Horas Trabalhadas Além Jornada]&gt;0,
IF(OR(VLOOKUP(TEXT(tblHorasMai[Data],"dddd"),tblDiaUtil[],3,FALSE)="Não",IF(tblHorasMai[Evento 
(1º Período)]&lt;&gt;"",IF(VLOOKUP(tblHorasMai[Evento 
(1º Período)],tblEvento[],Tabelas!$E$1,FALSE)="Sim",TRUE,FALSE),FALSE),IF(tblHorasMai[Evento 
(2º Período)]&lt;&gt;"",IF(VLOOKUP(tblHorasMai[Evento 
(2º Período)],tblEvento[],Tabelas!$E$1,FALSE)="Sim",TRUE,FALSE),FALSE)),
tblHorasMai[Horas Trabalhadas Além Jornada],""),"")</f>
        <v/>
      </c>
      <c r="T25" s="15" t="str">
        <f>IF(tblHorasMai[Evento 
(1º Período)]&lt;&gt;""," - " &amp;VLOOKUP(tblHorasMai[Evento 
(1º Período)],tblEvento[],Tabelas!$F$1,FALSE),"")&amp;IF(AND(tblHorasMai[Evento 
(2º Período)]&lt;&gt;"",tblHorasMai[Evento 
(2º Período)]&lt;&gt;tblHorasMai[Evento 
(1º Período)])," - " &amp; VLOOKUP(tblHorasMai[Evento 
(2º Período)],tblEvento[],Tabelas!$F$1,FALSE),"")</f>
        <v/>
      </c>
    </row>
    <row r="26" spans="2:20" x14ac:dyDescent="0.25">
      <c r="B26" s="11" t="str">
        <f t="shared" si="0"/>
        <v/>
      </c>
      <c r="C26" s="12" t="str">
        <f>TEXT(tblHorasMai[Data],"ddd")</f>
        <v/>
      </c>
      <c r="D26" s="25"/>
      <c r="E26" s="1"/>
      <c r="F26" s="1"/>
      <c r="G26" s="1"/>
      <c r="H26" s="1"/>
      <c r="I26" s="53"/>
      <c r="J26" s="4">
        <f>IF($B$6&lt;&gt;"",
IF(AND(tblHorasMai[Evento 
(1º Período)]&lt;&gt;"",IF(ISERROR(VLOOKUP(tblHorasMai[Evento 
(1º Período)],tblEvento[],Tabelas!$D$1,FALSE)),FALSE,VLOOKUP(tblHorasMai[Evento 
(1º Período)],tblEvento[],Tabelas!$D$1,FALSE)="Sim")),
        IF(JORNADA_PERIODO_1&lt;&gt;"",
IF(VLOOKUP(tblHorasMai[Dia],tblDiaUtil[[Abreviatura]:[1º Período]],3,FALSE)&gt;0,VLOOKUP(tblHorasMai[Dia],tblDiaUtil[[Abreviatura]:[1º Período]],3,FALSE),JORNADA_PERIODO_1),
IF(VLOOKUP(tblHorasMai[Dia],tblDiaUtil[[Abreviatura]:[1º Período]],3,FALSE)&gt;0,VLOOKUP(tblHorasMai[Dia],tblDiaUtil[[Abreviatura]:[1º Período]],3,FALSE),JORNADA/2)),
        IF(AND(ISNUMBER(tblHorasMai[Saída - 1 (Almoço)]),ISNUMBER(tblHorasMai[Entrada - 1])),
              IF(OR(AND(tblHorasMai[Evento 
(1º Período)]&lt;&gt;"",IF(ISERROR(VLOOKUP(tblHorasMai[Evento 
(1º Período)],tblEvento[],Tabelas!$E$1,FALSE)),FALSE,VLOOKUP(tblHorasMai[Evento 
(1º Período)],tblEvento[],Tabelas!$E$1,FALSE)="Sim")),IF(VLOOKUP(TEXT(tblHorasMai[Data],"dddd"),tblDiaUtil[],2,FALSE)="Não",TRUE,FALSE)),
                   tblHorasMai[Saída - 1 (Almoço)]-tblHorasMai[Entrada - 1],
                   IF(OR(HOUR(tblHorasMai[Saída - 1 (Almoço)]-tblHorasMai[Entrada - 1])&gt;0,ROUND(tblHorasMai[Saída - 1 (Almoço)]-tblHorasMai[Entrada - 1],6)&gt;ROUND(CARENCIA,6)),
                          tblHorasMai[Saída - 1 (Almoço)]-tblHorasMai[Entrada - 1],
                          0)),
                    0)),0)</f>
        <v>0</v>
      </c>
      <c r="K26" s="4">
        <f>IF($B$6&lt;&gt;"",
IF(AND(tblHorasMai[Evento 
(2º Período)]&lt;&gt;"",IF(ISERROR(VLOOKUP(tblHorasMai[Evento 
(2º Período)],tblEvento[],Tabelas!$D$1,FALSE)),FALSE,VLOOKUP(tblHorasMai[Evento 
(2º Período)],tblEvento[],Tabelas!$D$1,FALSE)="Sim")),
        IF(JORNADA_PERIODO_2&lt;&gt;"",
IF(VLOOKUP(tblHorasMai[Dia],tblDiaUtil[[Abreviatura]:[2º Período]],4,FALSE)&gt;0,VLOOKUP(tblHorasMai[Dia],tblDiaUtil[[Abreviatura]:[2º Período]],4,FALSE),JORNADA_PERIODO_2),
IF(VLOOKUP(tblHorasMai[Dia],tblDiaUtil[[Abreviatura]:[2º Período]],4,FALSE)&gt;0,VLOOKUP(tblHorasMai[Dia],tblDiaUtil[[Abreviatura]:[2º Período]],4,FALSE),JORNADA/2)),
        IF(AND(ISNUMBER(tblHorasMai[Saída - 2]),ISNUMBER(tblHorasMai[Entrada - 2 (Almoço)])),
              IF(OR(AND(tblHorasMai[Evento 
(2º Período)]&lt;&gt;"",IF(ISERROR(VLOOKUP(tblHorasMai[Evento 
(2º Período)],tblEvento[],Tabelas!$E$1,FALSE)),FALSE,VLOOKUP(tblHorasMai[Evento 
(2º Período)],tblEvento[],Tabelas!$E$1,FALSE)="Sim")),IF(VLOOKUP(TEXT(tblHorasMai[Data],"dddd"),tblDiaUtil[],2,FALSE)="Não",TRUE,FALSE)),
                   tblHorasMai[Saída - 2]-tblHorasMai[Entrada - 2 (Almoço)],
                   IF(OR(HOUR(tblHorasMai[Saída - 2]-tblHorasMai[Entrada - 2 (Almoço)])&gt;0,MINUTE(tblHorasMai[Saída - 2]-tblHorasMai[Entrada - 2 (Almoço)])&gt;CARENCIA),
                         tblHorasMai[Saída - 2]-tblHorasMai[Entrada - 2 (Almoço)],
                         0)),
       0)),0)</f>
        <v>0</v>
      </c>
      <c r="L26" s="4">
        <f>tblHorasMai[Horas Trabalhadas (1º Período)]+tblHorasMai[Horas Trabalhadas (2º Período)]</f>
        <v>0</v>
      </c>
      <c r="M26" s="4" t="str">
        <f>IF(tblHorasMai[Data]&lt;&gt;"",
        IF(
AND(VLOOKUP(TEXT(tblHorasMai[Data],"dddd"),tblDiaUtil[],3,FALSE)="Sim",IF(tblHorasMai[Evento 
(1º Período)]&lt;&gt;"",IF(VLOOKUP(tblHorasMai[Evento 
(1º Período)],tblEvento[],Tabelas!$E$1,FALSE)="Sim",FALSE,TRUE),TRUE),IF(tblHorasMai[Evento 
(2º Período)]&lt;&gt;"",IF(VLOOKUP(tblHorasMai[Evento 
(2º Período)],tblEvento[],Tabelas!$E$1,FALSE)="Sim",FALSE,TRUE),TRUE)),
              IF(VLOOKUP(tblHorasMai[Dia],tblDiaUtil[[Abreviatura]:[1º Período]],3,FALSE)&gt;0,VLOOKUP(tblHorasMai[Dia],tblDiaUtil[[Abreviatura]:[1º Período]],3,FALSE),JORNADA),
              ""),
         "")</f>
        <v/>
      </c>
      <c r="N26" s="14">
        <f>IF(OR(tblHorasMai[Horas Trabalhadas (1º Período)]&lt;&gt;0,tblHorasMai[Horas Trabalhadas (2º Período)]&lt;&gt;0),
        IF(ISNUMBER(tblHorasMai[Jornada Diária]),
              IF(tblHorasMai[Jornada Diária]&gt;(tblHorasMai[Horas Trabalhadas (2º Período)]+tblHorasMai[Horas Trabalhadas (1º Período)]),
                     IF(ROUND((tblHorasMai[Jornada Diária]-(tblHorasMai[Horas Trabalhadas (2º Período)]+tblHorasMai[Horas Trabalhadas (1º Período)])),6)&gt;ROUND(CARENCIA,6),
                           -tblHorasMai[Jornada Diária]+(tblHorasMai[Horas Trabalhadas (2º Período)]+tblHorasMai[Horas Trabalhadas (1º Período)]),
                           0),
                      IF(ROUND((tblHorasMai[Jornada Diária]-(tblHorasMai[Horas Trabalhadas (2º Período)]+tblHorasMai[Horas Trabalhadas (1º Período)])),6)&lt;ROUND(-CARENCIA,6),
                           -tblHorasMai[Jornada Diária]+(tblHorasMai[Horas Trabalhadas (2º Período)]+tblHorasMai[Horas Trabalhadas (1º Período)]),
                           0)),
              tblHorasMai[Horas Trabalhadas (2º Período)]+tblHorasMai[Horas Trabalhadas (1º Período)]),
         IF(AND(IF(ISERROR(VLOOKUP(tblHorasMai[Evento 
(1º Período)],tblEvento[[Evento]:[Libera o Período]],4,FALSE)),FALSE,IF(VLOOKUP(tblHorasMai[Evento 
(1º Período)],tblEvento[[Evento]:[Libera o Período]],4,FALSE)="Não",TRUE,FALSE)),IF(ISERROR(VLOOKUP(tblHorasMai[Evento 
(2º Período)],tblEvento[[Evento]:[Libera o Período]],4,FALSE)),FALSE,IF(VLOOKUP(tblHorasMai[Evento 
(2º Período)],tblEvento[[Evento]:[Libera o Período]],4,FALSE)="Não",TRUE,FALSE))),
-IF(VLOOKUP(tblHorasMai[Dia],tblDiaUtil[[Abreviatura]:[Total Jornada]],5,FALSE)&lt;&gt;"",VLOOKUP(tblHorasMai[Dia],tblDiaUtil[[Abreviatura]:[Total Jornada]],5,FALSE),JORNADA),
IF(IF(ISERROR(VLOOKUP(tblHorasMai[Evento 
(1º Período)],tblEvento[[Evento]:[Libera o Período]],4,FALSE)),FALSE,
IF(VLOOKUP(tblHorasMai[Evento 
(1º Período)],tblEvento[[Evento]:[Libera o Período]],4,FALSE)="Não",TRUE,FALSE)
),
-IF(VLOOKUP(tblHorasMai[Dia],tblDiaUtil[[Abreviatura]:[1º Período]],3,FALSE)&lt;&gt;"",VLOOKUP(tblHorasMai[Dia],tblDiaUtil[[Abreviatura]:[1º Período]],3,FALSE),JORNADA_PERIODO_1),
IF(IF(ISERROR(VLOOKUP(tblHorasMai[Evento 
(2º Período)],tblEvento[[Evento]:[Libera o Período]],4,FALSE)),FALSE,IF(VLOOKUP(tblHorasMai[Evento 
(2º Período)],tblEvento[[Evento]:[Libera o Período]],4,FALSE)="Não",TRUE,FALSE)),
-IF(VLOOKUP(tblHorasMai[Dia],tblDiaUtil[[Abreviatura]:[2º Período]],4,FALSE)&lt;&gt;"",VLOOKUP(tblHorasMai[Dia],tblDiaUtil[[Abreviatura]:[2º Período]],4,FALSE),JORNADA_PERIODO_2),0))))</f>
        <v>0</v>
      </c>
      <c r="O26" s="14">
        <f>IF(tblHorasMai[Horas Trabalhadas Além Jornada]&gt;0,
        IF(ISNUMBER(tblHorasMai[Jornada Diária]),
              IF(HOUR(tblHorasMai[Horas Trabalhadas Além Jornada])&gt;=VLOOKUP(LIMITE,tblLimiteHora[],Tabelas!$I$1,FALSE),
                    VLOOKUP(LIMITE,tblLimiteHora[],Tabelas!$J$1,FALSE),
                    tblHorasMai[Horas Trabalhadas Além Jornada]),
              tblHorasMai[Horas Trabalhadas Além Jornada]),
        tblHorasMai[Horas Trabalhadas Além Jornada])+O25</f>
        <v>0</v>
      </c>
      <c r="P26" s="14" t="str">
        <f>IF(tblHorasMai[Horas Trabalhadas Além Jornada]&lt;0,IF(OR(tblHorasMai[Evento 
(1º Período)]="",tblHorasMai[Evento 
(2º Período)]=""),tblHorasMai[Horas Trabalhadas Além Jornada],""),"")</f>
        <v/>
      </c>
      <c r="Q26" s="14" t="str">
        <f>IF(tblHorasMai[Jornada Diária]&lt;&gt;"",IF((N(tblHorasMai[Jornada Diária])-ABS(N(tblHorasMai[Horas Trabalhadas Além Jornada])))=0,1,""),"")</f>
        <v/>
      </c>
      <c r="R26" s="14" t="str">
        <f>IF(tblHorasMai[Horas Trabalhadas Além Jornada]&gt;0,
IF(AND(VLOOKUP(TEXT(tblHorasMai[Data],"dddd"),tblDiaUtil[],3,FALSE)="Sim",IF(tblHorasMai[Evento 
(1º Período)]&lt;&gt;"",IF(VLOOKUP(tblHorasMai[Evento 
(1º Período)],tblEvento[],Tabelas!$E$1,FALSE)="Sim",FALSE,TRUE),TRUE),IF(tblHorasMai[Evento 
(2º Período)]&lt;&gt;"",IF(VLOOKUP(tblHorasMai[Evento 
(2º Período)],tblEvento[],Tabelas!$E$1,FALSE)="Sim",FALSE,TRUE),TRUE)),
tblHorasMai[Horas Trabalhadas Além Jornada],""),"")</f>
        <v/>
      </c>
      <c r="S26" s="14" t="str">
        <f>IF(tblHorasMai[Horas Trabalhadas Além Jornada]&gt;0,
IF(OR(VLOOKUP(TEXT(tblHorasMai[Data],"dddd"),tblDiaUtil[],3,FALSE)="Não",IF(tblHorasMai[Evento 
(1º Período)]&lt;&gt;"",IF(VLOOKUP(tblHorasMai[Evento 
(1º Período)],tblEvento[],Tabelas!$E$1,FALSE)="Sim",TRUE,FALSE),FALSE),IF(tblHorasMai[Evento 
(2º Período)]&lt;&gt;"",IF(VLOOKUP(tblHorasMai[Evento 
(2º Período)],tblEvento[],Tabelas!$E$1,FALSE)="Sim",TRUE,FALSE),FALSE)),
tblHorasMai[Horas Trabalhadas Além Jornada],""),"")</f>
        <v/>
      </c>
      <c r="T26" s="15" t="str">
        <f>IF(tblHorasMai[Evento 
(1º Período)]&lt;&gt;""," - " &amp;VLOOKUP(tblHorasMai[Evento 
(1º Período)],tblEvento[],Tabelas!$F$1,FALSE),"")&amp;IF(AND(tblHorasMai[Evento 
(2º Período)]&lt;&gt;"",tblHorasMai[Evento 
(2º Período)]&lt;&gt;tblHorasMai[Evento 
(1º Período)])," - " &amp; VLOOKUP(tblHorasMai[Evento 
(2º Período)],tblEvento[],Tabelas!$F$1,FALSE),"")</f>
        <v/>
      </c>
    </row>
    <row r="27" spans="2:20" x14ac:dyDescent="0.25">
      <c r="B27" s="11" t="str">
        <f t="shared" si="0"/>
        <v/>
      </c>
      <c r="C27" s="12" t="str">
        <f>TEXT(tblHorasMai[Data],"ddd")</f>
        <v/>
      </c>
      <c r="D27" s="25"/>
      <c r="E27" s="1"/>
      <c r="F27" s="1"/>
      <c r="G27" s="1"/>
      <c r="H27" s="1"/>
      <c r="I27" s="53"/>
      <c r="J27" s="4">
        <f>IF($B$6&lt;&gt;"",
IF(AND(tblHorasMai[Evento 
(1º Período)]&lt;&gt;"",IF(ISERROR(VLOOKUP(tblHorasMai[Evento 
(1º Período)],tblEvento[],Tabelas!$D$1,FALSE)),FALSE,VLOOKUP(tblHorasMai[Evento 
(1º Período)],tblEvento[],Tabelas!$D$1,FALSE)="Sim")),
        IF(JORNADA_PERIODO_1&lt;&gt;"",
IF(VLOOKUP(tblHorasMai[Dia],tblDiaUtil[[Abreviatura]:[1º Período]],3,FALSE)&gt;0,VLOOKUP(tblHorasMai[Dia],tblDiaUtil[[Abreviatura]:[1º Período]],3,FALSE),JORNADA_PERIODO_1),
IF(VLOOKUP(tblHorasMai[Dia],tblDiaUtil[[Abreviatura]:[1º Período]],3,FALSE)&gt;0,VLOOKUP(tblHorasMai[Dia],tblDiaUtil[[Abreviatura]:[1º Período]],3,FALSE),JORNADA/2)),
        IF(AND(ISNUMBER(tblHorasMai[Saída - 1 (Almoço)]),ISNUMBER(tblHorasMai[Entrada - 1])),
              IF(OR(AND(tblHorasMai[Evento 
(1º Período)]&lt;&gt;"",IF(ISERROR(VLOOKUP(tblHorasMai[Evento 
(1º Período)],tblEvento[],Tabelas!$E$1,FALSE)),FALSE,VLOOKUP(tblHorasMai[Evento 
(1º Período)],tblEvento[],Tabelas!$E$1,FALSE)="Sim")),IF(VLOOKUP(TEXT(tblHorasMai[Data],"dddd"),tblDiaUtil[],2,FALSE)="Não",TRUE,FALSE)),
                   tblHorasMai[Saída - 1 (Almoço)]-tblHorasMai[Entrada - 1],
                   IF(OR(HOUR(tblHorasMai[Saída - 1 (Almoço)]-tblHorasMai[Entrada - 1])&gt;0,ROUND(tblHorasMai[Saída - 1 (Almoço)]-tblHorasMai[Entrada - 1],6)&gt;ROUND(CARENCIA,6)),
                          tblHorasMai[Saída - 1 (Almoço)]-tblHorasMai[Entrada - 1],
                          0)),
                    0)),0)</f>
        <v>0</v>
      </c>
      <c r="K27" s="4">
        <f>IF($B$6&lt;&gt;"",
IF(AND(tblHorasMai[Evento 
(2º Período)]&lt;&gt;"",IF(ISERROR(VLOOKUP(tblHorasMai[Evento 
(2º Período)],tblEvento[],Tabelas!$D$1,FALSE)),FALSE,VLOOKUP(tblHorasMai[Evento 
(2º Período)],tblEvento[],Tabelas!$D$1,FALSE)="Sim")),
        IF(JORNADA_PERIODO_2&lt;&gt;"",
IF(VLOOKUP(tblHorasMai[Dia],tblDiaUtil[[Abreviatura]:[2º Período]],4,FALSE)&gt;0,VLOOKUP(tblHorasMai[Dia],tblDiaUtil[[Abreviatura]:[2º Período]],4,FALSE),JORNADA_PERIODO_2),
IF(VLOOKUP(tblHorasMai[Dia],tblDiaUtil[[Abreviatura]:[2º Período]],4,FALSE)&gt;0,VLOOKUP(tblHorasMai[Dia],tblDiaUtil[[Abreviatura]:[2º Período]],4,FALSE),JORNADA/2)),
        IF(AND(ISNUMBER(tblHorasMai[Saída - 2]),ISNUMBER(tblHorasMai[Entrada - 2 (Almoço)])),
              IF(OR(AND(tblHorasMai[Evento 
(2º Período)]&lt;&gt;"",IF(ISERROR(VLOOKUP(tblHorasMai[Evento 
(2º Período)],tblEvento[],Tabelas!$E$1,FALSE)),FALSE,VLOOKUP(tblHorasMai[Evento 
(2º Período)],tblEvento[],Tabelas!$E$1,FALSE)="Sim")),IF(VLOOKUP(TEXT(tblHorasMai[Data],"dddd"),tblDiaUtil[],2,FALSE)="Não",TRUE,FALSE)),
                   tblHorasMai[Saída - 2]-tblHorasMai[Entrada - 2 (Almoço)],
                   IF(OR(HOUR(tblHorasMai[Saída - 2]-tblHorasMai[Entrada - 2 (Almoço)])&gt;0,MINUTE(tblHorasMai[Saída - 2]-tblHorasMai[Entrada - 2 (Almoço)])&gt;CARENCIA),
                         tblHorasMai[Saída - 2]-tblHorasMai[Entrada - 2 (Almoço)],
                         0)),
       0)),0)</f>
        <v>0</v>
      </c>
      <c r="L27" s="4">
        <f>tblHorasMai[Horas Trabalhadas (1º Período)]+tblHorasMai[Horas Trabalhadas (2º Período)]</f>
        <v>0</v>
      </c>
      <c r="M27" s="4" t="str">
        <f>IF(tblHorasMai[Data]&lt;&gt;"",
        IF(
AND(VLOOKUP(TEXT(tblHorasMai[Data],"dddd"),tblDiaUtil[],3,FALSE)="Sim",IF(tblHorasMai[Evento 
(1º Período)]&lt;&gt;"",IF(VLOOKUP(tblHorasMai[Evento 
(1º Período)],tblEvento[],Tabelas!$E$1,FALSE)="Sim",FALSE,TRUE),TRUE),IF(tblHorasMai[Evento 
(2º Período)]&lt;&gt;"",IF(VLOOKUP(tblHorasMai[Evento 
(2º Período)],tblEvento[],Tabelas!$E$1,FALSE)="Sim",FALSE,TRUE),TRUE)),
              IF(VLOOKUP(tblHorasMai[Dia],tblDiaUtil[[Abreviatura]:[1º Período]],3,FALSE)&gt;0,VLOOKUP(tblHorasMai[Dia],tblDiaUtil[[Abreviatura]:[1º Período]],3,FALSE),JORNADA),
              ""),
         "")</f>
        <v/>
      </c>
      <c r="N27" s="14">
        <f>IF(OR(tblHorasMai[Horas Trabalhadas (1º Período)]&lt;&gt;0,tblHorasMai[Horas Trabalhadas (2º Período)]&lt;&gt;0),
        IF(ISNUMBER(tblHorasMai[Jornada Diária]),
              IF(tblHorasMai[Jornada Diária]&gt;(tblHorasMai[Horas Trabalhadas (2º Período)]+tblHorasMai[Horas Trabalhadas (1º Período)]),
                     IF(ROUND((tblHorasMai[Jornada Diária]-(tblHorasMai[Horas Trabalhadas (2º Período)]+tblHorasMai[Horas Trabalhadas (1º Período)])),6)&gt;ROUND(CARENCIA,6),
                           -tblHorasMai[Jornada Diária]+(tblHorasMai[Horas Trabalhadas (2º Período)]+tblHorasMai[Horas Trabalhadas (1º Período)]),
                           0),
                      IF(ROUND((tblHorasMai[Jornada Diária]-(tblHorasMai[Horas Trabalhadas (2º Período)]+tblHorasMai[Horas Trabalhadas (1º Período)])),6)&lt;ROUND(-CARENCIA,6),
                           -tblHorasMai[Jornada Diária]+(tblHorasMai[Horas Trabalhadas (2º Período)]+tblHorasMai[Horas Trabalhadas (1º Período)]),
                           0)),
              tblHorasMai[Horas Trabalhadas (2º Período)]+tblHorasMai[Horas Trabalhadas (1º Período)]),
         IF(AND(IF(ISERROR(VLOOKUP(tblHorasMai[Evento 
(1º Período)],tblEvento[[Evento]:[Libera o Período]],4,FALSE)),FALSE,IF(VLOOKUP(tblHorasMai[Evento 
(1º Período)],tblEvento[[Evento]:[Libera o Período]],4,FALSE)="Não",TRUE,FALSE)),IF(ISERROR(VLOOKUP(tblHorasMai[Evento 
(2º Período)],tblEvento[[Evento]:[Libera o Período]],4,FALSE)),FALSE,IF(VLOOKUP(tblHorasMai[Evento 
(2º Período)],tblEvento[[Evento]:[Libera o Período]],4,FALSE)="Não",TRUE,FALSE))),
-IF(VLOOKUP(tblHorasMai[Dia],tblDiaUtil[[Abreviatura]:[Total Jornada]],5,FALSE)&lt;&gt;"",VLOOKUP(tblHorasMai[Dia],tblDiaUtil[[Abreviatura]:[Total Jornada]],5,FALSE),JORNADA),
IF(IF(ISERROR(VLOOKUP(tblHorasMai[Evento 
(1º Período)],tblEvento[[Evento]:[Libera o Período]],4,FALSE)),FALSE,
IF(VLOOKUP(tblHorasMai[Evento 
(1º Período)],tblEvento[[Evento]:[Libera o Período]],4,FALSE)="Não",TRUE,FALSE)
),
-IF(VLOOKUP(tblHorasMai[Dia],tblDiaUtil[[Abreviatura]:[1º Período]],3,FALSE)&lt;&gt;"",VLOOKUP(tblHorasMai[Dia],tblDiaUtil[[Abreviatura]:[1º Período]],3,FALSE),JORNADA_PERIODO_1),
IF(IF(ISERROR(VLOOKUP(tblHorasMai[Evento 
(2º Período)],tblEvento[[Evento]:[Libera o Período]],4,FALSE)),FALSE,IF(VLOOKUP(tblHorasMai[Evento 
(2º Período)],tblEvento[[Evento]:[Libera o Período]],4,FALSE)="Não",TRUE,FALSE)),
-IF(VLOOKUP(tblHorasMai[Dia],tblDiaUtil[[Abreviatura]:[2º Período]],4,FALSE)&lt;&gt;"",VLOOKUP(tblHorasMai[Dia],tblDiaUtil[[Abreviatura]:[2º Período]],4,FALSE),JORNADA_PERIODO_2),0))))</f>
        <v>0</v>
      </c>
      <c r="O27" s="14">
        <f>IF(tblHorasMai[Horas Trabalhadas Além Jornada]&gt;0,
        IF(ISNUMBER(tblHorasMai[Jornada Diária]),
              IF(HOUR(tblHorasMai[Horas Trabalhadas Além Jornada])&gt;=VLOOKUP(LIMITE,tblLimiteHora[],Tabelas!$I$1,FALSE),
                    VLOOKUP(LIMITE,tblLimiteHora[],Tabelas!$J$1,FALSE),
                    tblHorasMai[Horas Trabalhadas Além Jornada]),
              tblHorasMai[Horas Trabalhadas Além Jornada]),
        tblHorasMai[Horas Trabalhadas Além Jornada])+O26</f>
        <v>0</v>
      </c>
      <c r="P27" s="14" t="str">
        <f>IF(tblHorasMai[Horas Trabalhadas Além Jornada]&lt;0,IF(OR(tblHorasMai[Evento 
(1º Período)]="",tblHorasMai[Evento 
(2º Período)]=""),tblHorasMai[Horas Trabalhadas Além Jornada],""),"")</f>
        <v/>
      </c>
      <c r="Q27" s="14" t="str">
        <f>IF(tblHorasMai[Jornada Diária]&lt;&gt;"",IF((N(tblHorasMai[Jornada Diária])-ABS(N(tblHorasMai[Horas Trabalhadas Além Jornada])))=0,1,""),"")</f>
        <v/>
      </c>
      <c r="R27" s="14" t="str">
        <f>IF(tblHorasMai[Horas Trabalhadas Além Jornada]&gt;0,
IF(AND(VLOOKUP(TEXT(tblHorasMai[Data],"dddd"),tblDiaUtil[],3,FALSE)="Sim",IF(tblHorasMai[Evento 
(1º Período)]&lt;&gt;"",IF(VLOOKUP(tblHorasMai[Evento 
(1º Período)],tblEvento[],Tabelas!$E$1,FALSE)="Sim",FALSE,TRUE),TRUE),IF(tblHorasMai[Evento 
(2º Período)]&lt;&gt;"",IF(VLOOKUP(tblHorasMai[Evento 
(2º Período)],tblEvento[],Tabelas!$E$1,FALSE)="Sim",FALSE,TRUE),TRUE)),
tblHorasMai[Horas Trabalhadas Além Jornada],""),"")</f>
        <v/>
      </c>
      <c r="S27" s="14" t="str">
        <f>IF(tblHorasMai[Horas Trabalhadas Além Jornada]&gt;0,
IF(OR(VLOOKUP(TEXT(tblHorasMai[Data],"dddd"),tblDiaUtil[],3,FALSE)="Não",IF(tblHorasMai[Evento 
(1º Período)]&lt;&gt;"",IF(VLOOKUP(tblHorasMai[Evento 
(1º Período)],tblEvento[],Tabelas!$E$1,FALSE)="Sim",TRUE,FALSE),FALSE),IF(tblHorasMai[Evento 
(2º Período)]&lt;&gt;"",IF(VLOOKUP(tblHorasMai[Evento 
(2º Período)],tblEvento[],Tabelas!$E$1,FALSE)="Sim",TRUE,FALSE),FALSE)),
tblHorasMai[Horas Trabalhadas Além Jornada],""),"")</f>
        <v/>
      </c>
      <c r="T27" s="15" t="str">
        <f>IF(tblHorasMai[Evento 
(1º Período)]&lt;&gt;""," - " &amp;VLOOKUP(tblHorasMai[Evento 
(1º Período)],tblEvento[],Tabelas!$F$1,FALSE),"")&amp;IF(AND(tblHorasMai[Evento 
(2º Período)]&lt;&gt;"",tblHorasMai[Evento 
(2º Período)]&lt;&gt;tblHorasMai[Evento 
(1º Período)])," - " &amp; VLOOKUP(tblHorasMai[Evento 
(2º Período)],tblEvento[],Tabelas!$F$1,FALSE),"")</f>
        <v/>
      </c>
    </row>
    <row r="28" spans="2:20" x14ac:dyDescent="0.25">
      <c r="B28" s="11" t="str">
        <f t="shared" si="0"/>
        <v/>
      </c>
      <c r="C28" s="12" t="str">
        <f>TEXT(tblHorasMai[Data],"ddd")</f>
        <v/>
      </c>
      <c r="D28" s="25"/>
      <c r="E28" s="1"/>
      <c r="F28" s="1"/>
      <c r="G28" s="1"/>
      <c r="H28" s="1"/>
      <c r="I28" s="53"/>
      <c r="J28" s="4">
        <f>IF($B$6&lt;&gt;"",
IF(AND(tblHorasMai[Evento 
(1º Período)]&lt;&gt;"",IF(ISERROR(VLOOKUP(tblHorasMai[Evento 
(1º Período)],tblEvento[],Tabelas!$D$1,FALSE)),FALSE,VLOOKUP(tblHorasMai[Evento 
(1º Período)],tblEvento[],Tabelas!$D$1,FALSE)="Sim")),
        IF(JORNADA_PERIODO_1&lt;&gt;"",
IF(VLOOKUP(tblHorasMai[Dia],tblDiaUtil[[Abreviatura]:[1º Período]],3,FALSE)&gt;0,VLOOKUP(tblHorasMai[Dia],tblDiaUtil[[Abreviatura]:[1º Período]],3,FALSE),JORNADA_PERIODO_1),
IF(VLOOKUP(tblHorasMai[Dia],tblDiaUtil[[Abreviatura]:[1º Período]],3,FALSE)&gt;0,VLOOKUP(tblHorasMai[Dia],tblDiaUtil[[Abreviatura]:[1º Período]],3,FALSE),JORNADA/2)),
        IF(AND(ISNUMBER(tblHorasMai[Saída - 1 (Almoço)]),ISNUMBER(tblHorasMai[Entrada - 1])),
              IF(OR(AND(tblHorasMai[Evento 
(1º Período)]&lt;&gt;"",IF(ISERROR(VLOOKUP(tblHorasMai[Evento 
(1º Período)],tblEvento[],Tabelas!$E$1,FALSE)),FALSE,VLOOKUP(tblHorasMai[Evento 
(1º Período)],tblEvento[],Tabelas!$E$1,FALSE)="Sim")),IF(VLOOKUP(TEXT(tblHorasMai[Data],"dddd"),tblDiaUtil[],2,FALSE)="Não",TRUE,FALSE)),
                   tblHorasMai[Saída - 1 (Almoço)]-tblHorasMai[Entrada - 1],
                   IF(OR(HOUR(tblHorasMai[Saída - 1 (Almoço)]-tblHorasMai[Entrada - 1])&gt;0,ROUND(tblHorasMai[Saída - 1 (Almoço)]-tblHorasMai[Entrada - 1],6)&gt;ROUND(CARENCIA,6)),
                          tblHorasMai[Saída - 1 (Almoço)]-tblHorasMai[Entrada - 1],
                          0)),
                    0)),0)</f>
        <v>0</v>
      </c>
      <c r="K28" s="4">
        <f>IF($B$6&lt;&gt;"",
IF(AND(tblHorasMai[Evento 
(2º Período)]&lt;&gt;"",IF(ISERROR(VLOOKUP(tblHorasMai[Evento 
(2º Período)],tblEvento[],Tabelas!$D$1,FALSE)),FALSE,VLOOKUP(tblHorasMai[Evento 
(2º Período)],tblEvento[],Tabelas!$D$1,FALSE)="Sim")),
        IF(JORNADA_PERIODO_2&lt;&gt;"",
IF(VLOOKUP(tblHorasMai[Dia],tblDiaUtil[[Abreviatura]:[2º Período]],4,FALSE)&gt;0,VLOOKUP(tblHorasMai[Dia],tblDiaUtil[[Abreviatura]:[2º Período]],4,FALSE),JORNADA_PERIODO_2),
IF(VLOOKUP(tblHorasMai[Dia],tblDiaUtil[[Abreviatura]:[2º Período]],4,FALSE)&gt;0,VLOOKUP(tblHorasMai[Dia],tblDiaUtil[[Abreviatura]:[2º Período]],4,FALSE),JORNADA/2)),
        IF(AND(ISNUMBER(tblHorasMai[Saída - 2]),ISNUMBER(tblHorasMai[Entrada - 2 (Almoço)])),
              IF(OR(AND(tblHorasMai[Evento 
(2º Período)]&lt;&gt;"",IF(ISERROR(VLOOKUP(tblHorasMai[Evento 
(2º Período)],tblEvento[],Tabelas!$E$1,FALSE)),FALSE,VLOOKUP(tblHorasMai[Evento 
(2º Período)],tblEvento[],Tabelas!$E$1,FALSE)="Sim")),IF(VLOOKUP(TEXT(tblHorasMai[Data],"dddd"),tblDiaUtil[],2,FALSE)="Não",TRUE,FALSE)),
                   tblHorasMai[Saída - 2]-tblHorasMai[Entrada - 2 (Almoço)],
                   IF(OR(HOUR(tblHorasMai[Saída - 2]-tblHorasMai[Entrada - 2 (Almoço)])&gt;0,MINUTE(tblHorasMai[Saída - 2]-tblHorasMai[Entrada - 2 (Almoço)])&gt;CARENCIA),
                         tblHorasMai[Saída - 2]-tblHorasMai[Entrada - 2 (Almoço)],
                         0)),
       0)),0)</f>
        <v>0</v>
      </c>
      <c r="L28" s="4">
        <f>tblHorasMai[Horas Trabalhadas (1º Período)]+tblHorasMai[Horas Trabalhadas (2º Período)]</f>
        <v>0</v>
      </c>
      <c r="M28" s="4" t="str">
        <f>IF(tblHorasMai[Data]&lt;&gt;"",
        IF(
AND(VLOOKUP(TEXT(tblHorasMai[Data],"dddd"),tblDiaUtil[],3,FALSE)="Sim",IF(tblHorasMai[Evento 
(1º Período)]&lt;&gt;"",IF(VLOOKUP(tblHorasMai[Evento 
(1º Período)],tblEvento[],Tabelas!$E$1,FALSE)="Sim",FALSE,TRUE),TRUE),IF(tblHorasMai[Evento 
(2º Período)]&lt;&gt;"",IF(VLOOKUP(tblHorasMai[Evento 
(2º Período)],tblEvento[],Tabelas!$E$1,FALSE)="Sim",FALSE,TRUE),TRUE)),
              IF(VLOOKUP(tblHorasMai[Dia],tblDiaUtil[[Abreviatura]:[1º Período]],3,FALSE)&gt;0,VLOOKUP(tblHorasMai[Dia],tblDiaUtil[[Abreviatura]:[1º Período]],3,FALSE),JORNADA),
              ""),
         "")</f>
        <v/>
      </c>
      <c r="N28" s="14">
        <f>IF(OR(tblHorasMai[Horas Trabalhadas (1º Período)]&lt;&gt;0,tblHorasMai[Horas Trabalhadas (2º Período)]&lt;&gt;0),
        IF(ISNUMBER(tblHorasMai[Jornada Diária]),
              IF(tblHorasMai[Jornada Diária]&gt;(tblHorasMai[Horas Trabalhadas (2º Período)]+tblHorasMai[Horas Trabalhadas (1º Período)]),
                     IF(ROUND((tblHorasMai[Jornada Diária]-(tblHorasMai[Horas Trabalhadas (2º Período)]+tblHorasMai[Horas Trabalhadas (1º Período)])),6)&gt;ROUND(CARENCIA,6),
                           -tblHorasMai[Jornada Diária]+(tblHorasMai[Horas Trabalhadas (2º Período)]+tblHorasMai[Horas Trabalhadas (1º Período)]),
                           0),
                      IF(ROUND((tblHorasMai[Jornada Diária]-(tblHorasMai[Horas Trabalhadas (2º Período)]+tblHorasMai[Horas Trabalhadas (1º Período)])),6)&lt;ROUND(-CARENCIA,6),
                           -tblHorasMai[Jornada Diária]+(tblHorasMai[Horas Trabalhadas (2º Período)]+tblHorasMai[Horas Trabalhadas (1º Período)]),
                           0)),
              tblHorasMai[Horas Trabalhadas (2º Período)]+tblHorasMai[Horas Trabalhadas (1º Período)]),
         IF(AND(IF(ISERROR(VLOOKUP(tblHorasMai[Evento 
(1º Período)],tblEvento[[Evento]:[Libera o Período]],4,FALSE)),FALSE,IF(VLOOKUP(tblHorasMai[Evento 
(1º Período)],tblEvento[[Evento]:[Libera o Período]],4,FALSE)="Não",TRUE,FALSE)),IF(ISERROR(VLOOKUP(tblHorasMai[Evento 
(2º Período)],tblEvento[[Evento]:[Libera o Período]],4,FALSE)),FALSE,IF(VLOOKUP(tblHorasMai[Evento 
(2º Período)],tblEvento[[Evento]:[Libera o Período]],4,FALSE)="Não",TRUE,FALSE))),
-IF(VLOOKUP(tblHorasMai[Dia],tblDiaUtil[[Abreviatura]:[Total Jornada]],5,FALSE)&lt;&gt;"",VLOOKUP(tblHorasMai[Dia],tblDiaUtil[[Abreviatura]:[Total Jornada]],5,FALSE),JORNADA),
IF(IF(ISERROR(VLOOKUP(tblHorasMai[Evento 
(1º Período)],tblEvento[[Evento]:[Libera o Período]],4,FALSE)),FALSE,
IF(VLOOKUP(tblHorasMai[Evento 
(1º Período)],tblEvento[[Evento]:[Libera o Período]],4,FALSE)="Não",TRUE,FALSE)
),
-IF(VLOOKUP(tblHorasMai[Dia],tblDiaUtil[[Abreviatura]:[1º Período]],3,FALSE)&lt;&gt;"",VLOOKUP(tblHorasMai[Dia],tblDiaUtil[[Abreviatura]:[1º Período]],3,FALSE),JORNADA_PERIODO_1),
IF(IF(ISERROR(VLOOKUP(tblHorasMai[Evento 
(2º Período)],tblEvento[[Evento]:[Libera o Período]],4,FALSE)),FALSE,IF(VLOOKUP(tblHorasMai[Evento 
(2º Período)],tblEvento[[Evento]:[Libera o Período]],4,FALSE)="Não",TRUE,FALSE)),
-IF(VLOOKUP(tblHorasMai[Dia],tblDiaUtil[[Abreviatura]:[2º Período]],4,FALSE)&lt;&gt;"",VLOOKUP(tblHorasMai[Dia],tblDiaUtil[[Abreviatura]:[2º Período]],4,FALSE),JORNADA_PERIODO_2),0))))</f>
        <v>0</v>
      </c>
      <c r="O28" s="14">
        <f>IF(tblHorasMai[Horas Trabalhadas Além Jornada]&gt;0,
        IF(ISNUMBER(tblHorasMai[Jornada Diária]),
              IF(HOUR(tblHorasMai[Horas Trabalhadas Além Jornada])&gt;=VLOOKUP(LIMITE,tblLimiteHora[],Tabelas!$I$1,FALSE),
                    VLOOKUP(LIMITE,tblLimiteHora[],Tabelas!$J$1,FALSE),
                    tblHorasMai[Horas Trabalhadas Além Jornada]),
              tblHorasMai[Horas Trabalhadas Além Jornada]),
        tblHorasMai[Horas Trabalhadas Além Jornada])+O27</f>
        <v>0</v>
      </c>
      <c r="P28" s="14" t="str">
        <f>IF(tblHorasMai[Horas Trabalhadas Além Jornada]&lt;0,IF(OR(tblHorasMai[Evento 
(1º Período)]="",tblHorasMai[Evento 
(2º Período)]=""),tblHorasMai[Horas Trabalhadas Além Jornada],""),"")</f>
        <v/>
      </c>
      <c r="Q28" s="14" t="str">
        <f>IF(tblHorasMai[Jornada Diária]&lt;&gt;"",IF((N(tblHorasMai[Jornada Diária])-ABS(N(tblHorasMai[Horas Trabalhadas Além Jornada])))=0,1,""),"")</f>
        <v/>
      </c>
      <c r="R28" s="14" t="str">
        <f>IF(tblHorasMai[Horas Trabalhadas Além Jornada]&gt;0,
IF(AND(VLOOKUP(TEXT(tblHorasMai[Data],"dddd"),tblDiaUtil[],3,FALSE)="Sim",IF(tblHorasMai[Evento 
(1º Período)]&lt;&gt;"",IF(VLOOKUP(tblHorasMai[Evento 
(1º Período)],tblEvento[],Tabelas!$E$1,FALSE)="Sim",FALSE,TRUE),TRUE),IF(tblHorasMai[Evento 
(2º Período)]&lt;&gt;"",IF(VLOOKUP(tblHorasMai[Evento 
(2º Período)],tblEvento[],Tabelas!$E$1,FALSE)="Sim",FALSE,TRUE),TRUE)),
tblHorasMai[Horas Trabalhadas Além Jornada],""),"")</f>
        <v/>
      </c>
      <c r="S28" s="14" t="str">
        <f>IF(tblHorasMai[Horas Trabalhadas Além Jornada]&gt;0,
IF(OR(VLOOKUP(TEXT(tblHorasMai[Data],"dddd"),tblDiaUtil[],3,FALSE)="Não",IF(tblHorasMai[Evento 
(1º Período)]&lt;&gt;"",IF(VLOOKUP(tblHorasMai[Evento 
(1º Período)],tblEvento[],Tabelas!$E$1,FALSE)="Sim",TRUE,FALSE),FALSE),IF(tblHorasMai[Evento 
(2º Período)]&lt;&gt;"",IF(VLOOKUP(tblHorasMai[Evento 
(2º Período)],tblEvento[],Tabelas!$E$1,FALSE)="Sim",TRUE,FALSE),FALSE)),
tblHorasMai[Horas Trabalhadas Além Jornada],""),"")</f>
        <v/>
      </c>
      <c r="T28" s="15" t="str">
        <f>IF(tblHorasMai[Evento 
(1º Período)]&lt;&gt;""," - " &amp;VLOOKUP(tblHorasMai[Evento 
(1º Período)],tblEvento[],Tabelas!$F$1,FALSE),"")&amp;IF(AND(tblHorasMai[Evento 
(2º Período)]&lt;&gt;"",tblHorasMai[Evento 
(2º Período)]&lt;&gt;tblHorasMai[Evento 
(1º Período)])," - " &amp; VLOOKUP(tblHorasMai[Evento 
(2º Período)],tblEvento[],Tabelas!$F$1,FALSE),"")</f>
        <v/>
      </c>
    </row>
    <row r="29" spans="2:20" x14ac:dyDescent="0.25">
      <c r="B29" s="11" t="str">
        <f t="shared" si="0"/>
        <v/>
      </c>
      <c r="C29" s="12" t="str">
        <f>TEXT(tblHorasMai[Data],"ddd")</f>
        <v/>
      </c>
      <c r="D29" s="25"/>
      <c r="E29" s="1"/>
      <c r="F29" s="1"/>
      <c r="G29" s="1"/>
      <c r="H29" s="1"/>
      <c r="I29" s="53"/>
      <c r="J29" s="4">
        <f>IF($B$6&lt;&gt;"",
IF(AND(tblHorasMai[Evento 
(1º Período)]&lt;&gt;"",IF(ISERROR(VLOOKUP(tblHorasMai[Evento 
(1º Período)],tblEvento[],Tabelas!$D$1,FALSE)),FALSE,VLOOKUP(tblHorasMai[Evento 
(1º Período)],tblEvento[],Tabelas!$D$1,FALSE)="Sim")),
        IF(JORNADA_PERIODO_1&lt;&gt;"",
IF(VLOOKUP(tblHorasMai[Dia],tblDiaUtil[[Abreviatura]:[1º Período]],3,FALSE)&gt;0,VLOOKUP(tblHorasMai[Dia],tblDiaUtil[[Abreviatura]:[1º Período]],3,FALSE),JORNADA_PERIODO_1),
IF(VLOOKUP(tblHorasMai[Dia],tblDiaUtil[[Abreviatura]:[1º Período]],3,FALSE)&gt;0,VLOOKUP(tblHorasMai[Dia],tblDiaUtil[[Abreviatura]:[1º Período]],3,FALSE),JORNADA/2)),
        IF(AND(ISNUMBER(tblHorasMai[Saída - 1 (Almoço)]),ISNUMBER(tblHorasMai[Entrada - 1])),
              IF(OR(AND(tblHorasMai[Evento 
(1º Período)]&lt;&gt;"",IF(ISERROR(VLOOKUP(tblHorasMai[Evento 
(1º Período)],tblEvento[],Tabelas!$E$1,FALSE)),FALSE,VLOOKUP(tblHorasMai[Evento 
(1º Período)],tblEvento[],Tabelas!$E$1,FALSE)="Sim")),IF(VLOOKUP(TEXT(tblHorasMai[Data],"dddd"),tblDiaUtil[],2,FALSE)="Não",TRUE,FALSE)),
                   tblHorasMai[Saída - 1 (Almoço)]-tblHorasMai[Entrada - 1],
                   IF(OR(HOUR(tblHorasMai[Saída - 1 (Almoço)]-tblHorasMai[Entrada - 1])&gt;0,ROUND(tblHorasMai[Saída - 1 (Almoço)]-tblHorasMai[Entrada - 1],6)&gt;ROUND(CARENCIA,6)),
                          tblHorasMai[Saída - 1 (Almoço)]-tblHorasMai[Entrada - 1],
                          0)),
                    0)),0)</f>
        <v>0</v>
      </c>
      <c r="K29" s="4">
        <f>IF($B$6&lt;&gt;"",
IF(AND(tblHorasMai[Evento 
(2º Período)]&lt;&gt;"",IF(ISERROR(VLOOKUP(tblHorasMai[Evento 
(2º Período)],tblEvento[],Tabelas!$D$1,FALSE)),FALSE,VLOOKUP(tblHorasMai[Evento 
(2º Período)],tblEvento[],Tabelas!$D$1,FALSE)="Sim")),
        IF(JORNADA_PERIODO_2&lt;&gt;"",
IF(VLOOKUP(tblHorasMai[Dia],tblDiaUtil[[Abreviatura]:[2º Período]],4,FALSE)&gt;0,VLOOKUP(tblHorasMai[Dia],tblDiaUtil[[Abreviatura]:[2º Período]],4,FALSE),JORNADA_PERIODO_2),
IF(VLOOKUP(tblHorasMai[Dia],tblDiaUtil[[Abreviatura]:[2º Período]],4,FALSE)&gt;0,VLOOKUP(tblHorasMai[Dia],tblDiaUtil[[Abreviatura]:[2º Período]],4,FALSE),JORNADA/2)),
        IF(AND(ISNUMBER(tblHorasMai[Saída - 2]),ISNUMBER(tblHorasMai[Entrada - 2 (Almoço)])),
              IF(OR(AND(tblHorasMai[Evento 
(2º Período)]&lt;&gt;"",IF(ISERROR(VLOOKUP(tblHorasMai[Evento 
(2º Período)],tblEvento[],Tabelas!$E$1,FALSE)),FALSE,VLOOKUP(tblHorasMai[Evento 
(2º Período)],tblEvento[],Tabelas!$E$1,FALSE)="Sim")),IF(VLOOKUP(TEXT(tblHorasMai[Data],"dddd"),tblDiaUtil[],2,FALSE)="Não",TRUE,FALSE)),
                   tblHorasMai[Saída - 2]-tblHorasMai[Entrada - 2 (Almoço)],
                   IF(OR(HOUR(tblHorasMai[Saída - 2]-tblHorasMai[Entrada - 2 (Almoço)])&gt;0,MINUTE(tblHorasMai[Saída - 2]-tblHorasMai[Entrada - 2 (Almoço)])&gt;CARENCIA),
                         tblHorasMai[Saída - 2]-tblHorasMai[Entrada - 2 (Almoço)],
                         0)),
       0)),0)</f>
        <v>0</v>
      </c>
      <c r="L29" s="4">
        <f>tblHorasMai[Horas Trabalhadas (1º Período)]+tblHorasMai[Horas Trabalhadas (2º Período)]</f>
        <v>0</v>
      </c>
      <c r="M29" s="4" t="str">
        <f>IF(tblHorasMai[Data]&lt;&gt;"",
        IF(
AND(VLOOKUP(TEXT(tblHorasMai[Data],"dddd"),tblDiaUtil[],3,FALSE)="Sim",IF(tblHorasMai[Evento 
(1º Período)]&lt;&gt;"",IF(VLOOKUP(tblHorasMai[Evento 
(1º Período)],tblEvento[],Tabelas!$E$1,FALSE)="Sim",FALSE,TRUE),TRUE),IF(tblHorasMai[Evento 
(2º Período)]&lt;&gt;"",IF(VLOOKUP(tblHorasMai[Evento 
(2º Período)],tblEvento[],Tabelas!$E$1,FALSE)="Sim",FALSE,TRUE),TRUE)),
              IF(VLOOKUP(tblHorasMai[Dia],tblDiaUtil[[Abreviatura]:[1º Período]],3,FALSE)&gt;0,VLOOKUP(tblHorasMai[Dia],tblDiaUtil[[Abreviatura]:[1º Período]],3,FALSE),JORNADA),
              ""),
         "")</f>
        <v/>
      </c>
      <c r="N29" s="14">
        <f>IF(OR(tblHorasMai[Horas Trabalhadas (1º Período)]&lt;&gt;0,tblHorasMai[Horas Trabalhadas (2º Período)]&lt;&gt;0),
        IF(ISNUMBER(tblHorasMai[Jornada Diária]),
              IF(tblHorasMai[Jornada Diária]&gt;(tblHorasMai[Horas Trabalhadas (2º Período)]+tblHorasMai[Horas Trabalhadas (1º Período)]),
                     IF(ROUND((tblHorasMai[Jornada Diária]-(tblHorasMai[Horas Trabalhadas (2º Período)]+tblHorasMai[Horas Trabalhadas (1º Período)])),6)&gt;ROUND(CARENCIA,6),
                           -tblHorasMai[Jornada Diária]+(tblHorasMai[Horas Trabalhadas (2º Período)]+tblHorasMai[Horas Trabalhadas (1º Período)]),
                           0),
                      IF(ROUND((tblHorasMai[Jornada Diária]-(tblHorasMai[Horas Trabalhadas (2º Período)]+tblHorasMai[Horas Trabalhadas (1º Período)])),6)&lt;ROUND(-CARENCIA,6),
                           -tblHorasMai[Jornada Diária]+(tblHorasMai[Horas Trabalhadas (2º Período)]+tblHorasMai[Horas Trabalhadas (1º Período)]),
                           0)),
              tblHorasMai[Horas Trabalhadas (2º Período)]+tblHorasMai[Horas Trabalhadas (1º Período)]),
         IF(AND(IF(ISERROR(VLOOKUP(tblHorasMai[Evento 
(1º Período)],tblEvento[[Evento]:[Libera o Período]],4,FALSE)),FALSE,IF(VLOOKUP(tblHorasMai[Evento 
(1º Período)],tblEvento[[Evento]:[Libera o Período]],4,FALSE)="Não",TRUE,FALSE)),IF(ISERROR(VLOOKUP(tblHorasMai[Evento 
(2º Período)],tblEvento[[Evento]:[Libera o Período]],4,FALSE)),FALSE,IF(VLOOKUP(tblHorasMai[Evento 
(2º Período)],tblEvento[[Evento]:[Libera o Período]],4,FALSE)="Não",TRUE,FALSE))),
-IF(VLOOKUP(tblHorasMai[Dia],tblDiaUtil[[Abreviatura]:[Total Jornada]],5,FALSE)&lt;&gt;"",VLOOKUP(tblHorasMai[Dia],tblDiaUtil[[Abreviatura]:[Total Jornada]],5,FALSE),JORNADA),
IF(IF(ISERROR(VLOOKUP(tblHorasMai[Evento 
(1º Período)],tblEvento[[Evento]:[Libera o Período]],4,FALSE)),FALSE,
IF(VLOOKUP(tblHorasMai[Evento 
(1º Período)],tblEvento[[Evento]:[Libera o Período]],4,FALSE)="Não",TRUE,FALSE)
),
-IF(VLOOKUP(tblHorasMai[Dia],tblDiaUtil[[Abreviatura]:[1º Período]],3,FALSE)&lt;&gt;"",VLOOKUP(tblHorasMai[Dia],tblDiaUtil[[Abreviatura]:[1º Período]],3,FALSE),JORNADA_PERIODO_1),
IF(IF(ISERROR(VLOOKUP(tblHorasMai[Evento 
(2º Período)],tblEvento[[Evento]:[Libera o Período]],4,FALSE)),FALSE,IF(VLOOKUP(tblHorasMai[Evento 
(2º Período)],tblEvento[[Evento]:[Libera o Período]],4,FALSE)="Não",TRUE,FALSE)),
-IF(VLOOKUP(tblHorasMai[Dia],tblDiaUtil[[Abreviatura]:[2º Período]],4,FALSE)&lt;&gt;"",VLOOKUP(tblHorasMai[Dia],tblDiaUtil[[Abreviatura]:[2º Período]],4,FALSE),JORNADA_PERIODO_2),0))))</f>
        <v>0</v>
      </c>
      <c r="O29" s="14">
        <f>IF(tblHorasMai[Horas Trabalhadas Além Jornada]&gt;0,
        IF(ISNUMBER(tblHorasMai[Jornada Diária]),
              IF(HOUR(tblHorasMai[Horas Trabalhadas Além Jornada])&gt;=VLOOKUP(LIMITE,tblLimiteHora[],Tabelas!$I$1,FALSE),
                    VLOOKUP(LIMITE,tblLimiteHora[],Tabelas!$J$1,FALSE),
                    tblHorasMai[Horas Trabalhadas Além Jornada]),
              tblHorasMai[Horas Trabalhadas Além Jornada]),
        tblHorasMai[Horas Trabalhadas Além Jornada])+O28</f>
        <v>0</v>
      </c>
      <c r="P29" s="14" t="str">
        <f>IF(tblHorasMai[Horas Trabalhadas Além Jornada]&lt;0,IF(OR(tblHorasMai[Evento 
(1º Período)]="",tblHorasMai[Evento 
(2º Período)]=""),tblHorasMai[Horas Trabalhadas Além Jornada],""),"")</f>
        <v/>
      </c>
      <c r="Q29" s="14" t="str">
        <f>IF(tblHorasMai[Jornada Diária]&lt;&gt;"",IF((N(tblHorasMai[Jornada Diária])-ABS(N(tblHorasMai[Horas Trabalhadas Além Jornada])))=0,1,""),"")</f>
        <v/>
      </c>
      <c r="R29" s="14" t="str">
        <f>IF(tblHorasMai[Horas Trabalhadas Além Jornada]&gt;0,
IF(AND(VLOOKUP(TEXT(tblHorasMai[Data],"dddd"),tblDiaUtil[],3,FALSE)="Sim",IF(tblHorasMai[Evento 
(1º Período)]&lt;&gt;"",IF(VLOOKUP(tblHorasMai[Evento 
(1º Período)],tblEvento[],Tabelas!$E$1,FALSE)="Sim",FALSE,TRUE),TRUE),IF(tblHorasMai[Evento 
(2º Período)]&lt;&gt;"",IF(VLOOKUP(tblHorasMai[Evento 
(2º Período)],tblEvento[],Tabelas!$E$1,FALSE)="Sim",FALSE,TRUE),TRUE)),
tblHorasMai[Horas Trabalhadas Além Jornada],""),"")</f>
        <v/>
      </c>
      <c r="S29" s="14" t="str">
        <f>IF(tblHorasMai[Horas Trabalhadas Além Jornada]&gt;0,
IF(OR(VLOOKUP(TEXT(tblHorasMai[Data],"dddd"),tblDiaUtil[],3,FALSE)="Não",IF(tblHorasMai[Evento 
(1º Período)]&lt;&gt;"",IF(VLOOKUP(tblHorasMai[Evento 
(1º Período)],tblEvento[],Tabelas!$E$1,FALSE)="Sim",TRUE,FALSE),FALSE),IF(tblHorasMai[Evento 
(2º Período)]&lt;&gt;"",IF(VLOOKUP(tblHorasMai[Evento 
(2º Período)],tblEvento[],Tabelas!$E$1,FALSE)="Sim",TRUE,FALSE),FALSE)),
tblHorasMai[Horas Trabalhadas Além Jornada],""),"")</f>
        <v/>
      </c>
      <c r="T29" s="15" t="str">
        <f>IF(tblHorasMai[Evento 
(1º Período)]&lt;&gt;""," - " &amp;VLOOKUP(tblHorasMai[Evento 
(1º Período)],tblEvento[],Tabelas!$F$1,FALSE),"")&amp;IF(AND(tblHorasMai[Evento 
(2º Período)]&lt;&gt;"",tblHorasMai[Evento 
(2º Período)]&lt;&gt;tblHorasMai[Evento 
(1º Período)])," - " &amp; VLOOKUP(tblHorasMai[Evento 
(2º Período)],tblEvento[],Tabelas!$F$1,FALSE),"")</f>
        <v/>
      </c>
    </row>
    <row r="30" spans="2:20" x14ac:dyDescent="0.25">
      <c r="B30" s="11" t="str">
        <f t="shared" si="0"/>
        <v/>
      </c>
      <c r="C30" s="12" t="str">
        <f>TEXT(tblHorasMai[Data],"ddd")</f>
        <v/>
      </c>
      <c r="D30" s="25"/>
      <c r="E30" s="1"/>
      <c r="F30" s="1"/>
      <c r="G30" s="1"/>
      <c r="H30" s="1"/>
      <c r="I30" s="53"/>
      <c r="J30" s="4">
        <f>IF($B$6&lt;&gt;"",
IF(AND(tblHorasMai[Evento 
(1º Período)]&lt;&gt;"",IF(ISERROR(VLOOKUP(tblHorasMai[Evento 
(1º Período)],tblEvento[],Tabelas!$D$1,FALSE)),FALSE,VLOOKUP(tblHorasMai[Evento 
(1º Período)],tblEvento[],Tabelas!$D$1,FALSE)="Sim")),
        IF(JORNADA_PERIODO_1&lt;&gt;"",
IF(VLOOKUP(tblHorasMai[Dia],tblDiaUtil[[Abreviatura]:[1º Período]],3,FALSE)&gt;0,VLOOKUP(tblHorasMai[Dia],tblDiaUtil[[Abreviatura]:[1º Período]],3,FALSE),JORNADA_PERIODO_1),
IF(VLOOKUP(tblHorasMai[Dia],tblDiaUtil[[Abreviatura]:[1º Período]],3,FALSE)&gt;0,VLOOKUP(tblHorasMai[Dia],tblDiaUtil[[Abreviatura]:[1º Período]],3,FALSE),JORNADA/2)),
        IF(AND(ISNUMBER(tblHorasMai[Saída - 1 (Almoço)]),ISNUMBER(tblHorasMai[Entrada - 1])),
              IF(OR(AND(tblHorasMai[Evento 
(1º Período)]&lt;&gt;"",IF(ISERROR(VLOOKUP(tblHorasMai[Evento 
(1º Período)],tblEvento[],Tabelas!$E$1,FALSE)),FALSE,VLOOKUP(tblHorasMai[Evento 
(1º Período)],tblEvento[],Tabelas!$E$1,FALSE)="Sim")),IF(VLOOKUP(TEXT(tblHorasMai[Data],"dddd"),tblDiaUtil[],2,FALSE)="Não",TRUE,FALSE)),
                   tblHorasMai[Saída - 1 (Almoço)]-tblHorasMai[Entrada - 1],
                   IF(OR(HOUR(tblHorasMai[Saída - 1 (Almoço)]-tblHorasMai[Entrada - 1])&gt;0,ROUND(tblHorasMai[Saída - 1 (Almoço)]-tblHorasMai[Entrada - 1],6)&gt;ROUND(CARENCIA,6)),
                          tblHorasMai[Saída - 1 (Almoço)]-tblHorasMai[Entrada - 1],
                          0)),
                    0)),0)</f>
        <v>0</v>
      </c>
      <c r="K30" s="4">
        <f>IF($B$6&lt;&gt;"",
IF(AND(tblHorasMai[Evento 
(2º Período)]&lt;&gt;"",IF(ISERROR(VLOOKUP(tblHorasMai[Evento 
(2º Período)],tblEvento[],Tabelas!$D$1,FALSE)),FALSE,VLOOKUP(tblHorasMai[Evento 
(2º Período)],tblEvento[],Tabelas!$D$1,FALSE)="Sim")),
        IF(JORNADA_PERIODO_2&lt;&gt;"",
IF(VLOOKUP(tblHorasMai[Dia],tblDiaUtil[[Abreviatura]:[2º Período]],4,FALSE)&gt;0,VLOOKUP(tblHorasMai[Dia],tblDiaUtil[[Abreviatura]:[2º Período]],4,FALSE),JORNADA_PERIODO_2),
IF(VLOOKUP(tblHorasMai[Dia],tblDiaUtil[[Abreviatura]:[2º Período]],4,FALSE)&gt;0,VLOOKUP(tblHorasMai[Dia],tblDiaUtil[[Abreviatura]:[2º Período]],4,FALSE),JORNADA/2)),
        IF(AND(ISNUMBER(tblHorasMai[Saída - 2]),ISNUMBER(tblHorasMai[Entrada - 2 (Almoço)])),
              IF(OR(AND(tblHorasMai[Evento 
(2º Período)]&lt;&gt;"",IF(ISERROR(VLOOKUP(tblHorasMai[Evento 
(2º Período)],tblEvento[],Tabelas!$E$1,FALSE)),FALSE,VLOOKUP(tblHorasMai[Evento 
(2º Período)],tblEvento[],Tabelas!$E$1,FALSE)="Sim")),IF(VLOOKUP(TEXT(tblHorasMai[Data],"dddd"),tblDiaUtil[],2,FALSE)="Não",TRUE,FALSE)),
                   tblHorasMai[Saída - 2]-tblHorasMai[Entrada - 2 (Almoço)],
                   IF(OR(HOUR(tblHorasMai[Saída - 2]-tblHorasMai[Entrada - 2 (Almoço)])&gt;0,MINUTE(tblHorasMai[Saída - 2]-tblHorasMai[Entrada - 2 (Almoço)])&gt;CARENCIA),
                         tblHorasMai[Saída - 2]-tblHorasMai[Entrada - 2 (Almoço)],
                         0)),
       0)),0)</f>
        <v>0</v>
      </c>
      <c r="L30" s="4">
        <f>tblHorasMai[Horas Trabalhadas (1º Período)]+tblHorasMai[Horas Trabalhadas (2º Período)]</f>
        <v>0</v>
      </c>
      <c r="M30" s="4" t="str">
        <f>IF(tblHorasMai[Data]&lt;&gt;"",
        IF(
AND(VLOOKUP(TEXT(tblHorasMai[Data],"dddd"),tblDiaUtil[],3,FALSE)="Sim",IF(tblHorasMai[Evento 
(1º Período)]&lt;&gt;"",IF(VLOOKUP(tblHorasMai[Evento 
(1º Período)],tblEvento[],Tabelas!$E$1,FALSE)="Sim",FALSE,TRUE),TRUE),IF(tblHorasMai[Evento 
(2º Período)]&lt;&gt;"",IF(VLOOKUP(tblHorasMai[Evento 
(2º Período)],tblEvento[],Tabelas!$E$1,FALSE)="Sim",FALSE,TRUE),TRUE)),
              IF(VLOOKUP(tblHorasMai[Dia],tblDiaUtil[[Abreviatura]:[1º Período]],3,FALSE)&gt;0,VLOOKUP(tblHorasMai[Dia],tblDiaUtil[[Abreviatura]:[1º Período]],3,FALSE),JORNADA),
              ""),
         "")</f>
        <v/>
      </c>
      <c r="N30" s="14">
        <f>IF(OR(tblHorasMai[Horas Trabalhadas (1º Período)]&lt;&gt;0,tblHorasMai[Horas Trabalhadas (2º Período)]&lt;&gt;0),
        IF(ISNUMBER(tblHorasMai[Jornada Diária]),
              IF(tblHorasMai[Jornada Diária]&gt;(tblHorasMai[Horas Trabalhadas (2º Período)]+tblHorasMai[Horas Trabalhadas (1º Período)]),
                     IF(ROUND((tblHorasMai[Jornada Diária]-(tblHorasMai[Horas Trabalhadas (2º Período)]+tblHorasMai[Horas Trabalhadas (1º Período)])),6)&gt;ROUND(CARENCIA,6),
                           -tblHorasMai[Jornada Diária]+(tblHorasMai[Horas Trabalhadas (2º Período)]+tblHorasMai[Horas Trabalhadas (1º Período)]),
                           0),
                      IF(ROUND((tblHorasMai[Jornada Diária]-(tblHorasMai[Horas Trabalhadas (2º Período)]+tblHorasMai[Horas Trabalhadas (1º Período)])),6)&lt;ROUND(-CARENCIA,6),
                           -tblHorasMai[Jornada Diária]+(tblHorasMai[Horas Trabalhadas (2º Período)]+tblHorasMai[Horas Trabalhadas (1º Período)]),
                           0)),
              tblHorasMai[Horas Trabalhadas (2º Período)]+tblHorasMai[Horas Trabalhadas (1º Período)]),
         IF(AND(IF(ISERROR(VLOOKUP(tblHorasMai[Evento 
(1º Período)],tblEvento[[Evento]:[Libera o Período]],4,FALSE)),FALSE,IF(VLOOKUP(tblHorasMai[Evento 
(1º Período)],tblEvento[[Evento]:[Libera o Período]],4,FALSE)="Não",TRUE,FALSE)),IF(ISERROR(VLOOKUP(tblHorasMai[Evento 
(2º Período)],tblEvento[[Evento]:[Libera o Período]],4,FALSE)),FALSE,IF(VLOOKUP(tblHorasMai[Evento 
(2º Período)],tblEvento[[Evento]:[Libera o Período]],4,FALSE)="Não",TRUE,FALSE))),
-IF(VLOOKUP(tblHorasMai[Dia],tblDiaUtil[[Abreviatura]:[Total Jornada]],5,FALSE)&lt;&gt;"",VLOOKUP(tblHorasMai[Dia],tblDiaUtil[[Abreviatura]:[Total Jornada]],5,FALSE),JORNADA),
IF(IF(ISERROR(VLOOKUP(tblHorasMai[Evento 
(1º Período)],tblEvento[[Evento]:[Libera o Período]],4,FALSE)),FALSE,
IF(VLOOKUP(tblHorasMai[Evento 
(1º Período)],tblEvento[[Evento]:[Libera o Período]],4,FALSE)="Não",TRUE,FALSE)
),
-IF(VLOOKUP(tblHorasMai[Dia],tblDiaUtil[[Abreviatura]:[1º Período]],3,FALSE)&lt;&gt;"",VLOOKUP(tblHorasMai[Dia],tblDiaUtil[[Abreviatura]:[1º Período]],3,FALSE),JORNADA_PERIODO_1),
IF(IF(ISERROR(VLOOKUP(tblHorasMai[Evento 
(2º Período)],tblEvento[[Evento]:[Libera o Período]],4,FALSE)),FALSE,IF(VLOOKUP(tblHorasMai[Evento 
(2º Período)],tblEvento[[Evento]:[Libera o Período]],4,FALSE)="Não",TRUE,FALSE)),
-IF(VLOOKUP(tblHorasMai[Dia],tblDiaUtil[[Abreviatura]:[2º Período]],4,FALSE)&lt;&gt;"",VLOOKUP(tblHorasMai[Dia],tblDiaUtil[[Abreviatura]:[2º Período]],4,FALSE),JORNADA_PERIODO_2),0))))</f>
        <v>0</v>
      </c>
      <c r="O30" s="14">
        <f>IF(tblHorasMai[Horas Trabalhadas Além Jornada]&gt;0,
        IF(ISNUMBER(tblHorasMai[Jornada Diária]),
              IF(HOUR(tblHorasMai[Horas Trabalhadas Além Jornada])&gt;=VLOOKUP(LIMITE,tblLimiteHora[],Tabelas!$I$1,FALSE),
                    VLOOKUP(LIMITE,tblLimiteHora[],Tabelas!$J$1,FALSE),
                    tblHorasMai[Horas Trabalhadas Além Jornada]),
              tblHorasMai[Horas Trabalhadas Além Jornada]),
        tblHorasMai[Horas Trabalhadas Além Jornada])+O29</f>
        <v>0</v>
      </c>
      <c r="P30" s="14" t="str">
        <f>IF(tblHorasMai[Horas Trabalhadas Além Jornada]&lt;0,IF(OR(tblHorasMai[Evento 
(1º Período)]="",tblHorasMai[Evento 
(2º Período)]=""),tblHorasMai[Horas Trabalhadas Além Jornada],""),"")</f>
        <v/>
      </c>
      <c r="Q30" s="14" t="str">
        <f>IF(tblHorasMai[Jornada Diária]&lt;&gt;"",IF((N(tblHorasMai[Jornada Diária])-ABS(N(tblHorasMai[Horas Trabalhadas Além Jornada])))=0,1,""),"")</f>
        <v/>
      </c>
      <c r="R30" s="14" t="str">
        <f>IF(tblHorasMai[Horas Trabalhadas Além Jornada]&gt;0,
IF(AND(VLOOKUP(TEXT(tblHorasMai[Data],"dddd"),tblDiaUtil[],3,FALSE)="Sim",IF(tblHorasMai[Evento 
(1º Período)]&lt;&gt;"",IF(VLOOKUP(tblHorasMai[Evento 
(1º Período)],tblEvento[],Tabelas!$E$1,FALSE)="Sim",FALSE,TRUE),TRUE),IF(tblHorasMai[Evento 
(2º Período)]&lt;&gt;"",IF(VLOOKUP(tblHorasMai[Evento 
(2º Período)],tblEvento[],Tabelas!$E$1,FALSE)="Sim",FALSE,TRUE),TRUE)),
tblHorasMai[Horas Trabalhadas Além Jornada],""),"")</f>
        <v/>
      </c>
      <c r="S30" s="14" t="str">
        <f>IF(tblHorasMai[Horas Trabalhadas Além Jornada]&gt;0,
IF(OR(VLOOKUP(TEXT(tblHorasMai[Data],"dddd"),tblDiaUtil[],3,FALSE)="Não",IF(tblHorasMai[Evento 
(1º Período)]&lt;&gt;"",IF(VLOOKUP(tblHorasMai[Evento 
(1º Período)],tblEvento[],Tabelas!$E$1,FALSE)="Sim",TRUE,FALSE),FALSE),IF(tblHorasMai[Evento 
(2º Período)]&lt;&gt;"",IF(VLOOKUP(tblHorasMai[Evento 
(2º Período)],tblEvento[],Tabelas!$E$1,FALSE)="Sim",TRUE,FALSE),FALSE)),
tblHorasMai[Horas Trabalhadas Além Jornada],""),"")</f>
        <v/>
      </c>
      <c r="T30" s="15" t="str">
        <f>IF(tblHorasMai[Evento 
(1º Período)]&lt;&gt;""," - " &amp;VLOOKUP(tblHorasMai[Evento 
(1º Período)],tblEvento[],Tabelas!$F$1,FALSE),"")&amp;IF(AND(tblHorasMai[Evento 
(2º Período)]&lt;&gt;"",tblHorasMai[Evento 
(2º Período)]&lt;&gt;tblHorasMai[Evento 
(1º Período)])," - " &amp; VLOOKUP(tblHorasMai[Evento 
(2º Período)],tblEvento[],Tabelas!$F$1,FALSE),"")</f>
        <v/>
      </c>
    </row>
    <row r="31" spans="2:20" x14ac:dyDescent="0.25">
      <c r="B31" s="11" t="str">
        <f t="shared" si="0"/>
        <v/>
      </c>
      <c r="C31" s="12" t="str">
        <f>TEXT(tblHorasMai[Data],"ddd")</f>
        <v/>
      </c>
      <c r="D31" s="25"/>
      <c r="E31" s="1"/>
      <c r="F31" s="1"/>
      <c r="G31" s="1"/>
      <c r="H31" s="1"/>
      <c r="I31" s="53"/>
      <c r="J31" s="4">
        <f>IF($B$6&lt;&gt;"",
IF(AND(tblHorasMai[Evento 
(1º Período)]&lt;&gt;"",IF(ISERROR(VLOOKUP(tblHorasMai[Evento 
(1º Período)],tblEvento[],Tabelas!$D$1,FALSE)),FALSE,VLOOKUP(tblHorasMai[Evento 
(1º Período)],tblEvento[],Tabelas!$D$1,FALSE)="Sim")),
        IF(JORNADA_PERIODO_1&lt;&gt;"",
IF(VLOOKUP(tblHorasMai[Dia],tblDiaUtil[[Abreviatura]:[1º Período]],3,FALSE)&gt;0,VLOOKUP(tblHorasMai[Dia],tblDiaUtil[[Abreviatura]:[1º Período]],3,FALSE),JORNADA_PERIODO_1),
IF(VLOOKUP(tblHorasMai[Dia],tblDiaUtil[[Abreviatura]:[1º Período]],3,FALSE)&gt;0,VLOOKUP(tblHorasMai[Dia],tblDiaUtil[[Abreviatura]:[1º Período]],3,FALSE),JORNADA/2)),
        IF(AND(ISNUMBER(tblHorasMai[Saída - 1 (Almoço)]),ISNUMBER(tblHorasMai[Entrada - 1])),
              IF(OR(AND(tblHorasMai[Evento 
(1º Período)]&lt;&gt;"",IF(ISERROR(VLOOKUP(tblHorasMai[Evento 
(1º Período)],tblEvento[],Tabelas!$E$1,FALSE)),FALSE,VLOOKUP(tblHorasMai[Evento 
(1º Período)],tblEvento[],Tabelas!$E$1,FALSE)="Sim")),IF(VLOOKUP(TEXT(tblHorasMai[Data],"dddd"),tblDiaUtil[],2,FALSE)="Não",TRUE,FALSE)),
                   tblHorasMai[Saída - 1 (Almoço)]-tblHorasMai[Entrada - 1],
                   IF(OR(HOUR(tblHorasMai[Saída - 1 (Almoço)]-tblHorasMai[Entrada - 1])&gt;0,ROUND(tblHorasMai[Saída - 1 (Almoço)]-tblHorasMai[Entrada - 1],6)&gt;ROUND(CARENCIA,6)),
                          tblHorasMai[Saída - 1 (Almoço)]-tblHorasMai[Entrada - 1],
                          0)),
                    0)),0)</f>
        <v>0</v>
      </c>
      <c r="K31" s="4">
        <f>IF($B$6&lt;&gt;"",
IF(AND(tblHorasMai[Evento 
(2º Período)]&lt;&gt;"",IF(ISERROR(VLOOKUP(tblHorasMai[Evento 
(2º Período)],tblEvento[],Tabelas!$D$1,FALSE)),FALSE,VLOOKUP(tblHorasMai[Evento 
(2º Período)],tblEvento[],Tabelas!$D$1,FALSE)="Sim")),
        IF(JORNADA_PERIODO_2&lt;&gt;"",
IF(VLOOKUP(tblHorasMai[Dia],tblDiaUtil[[Abreviatura]:[2º Período]],4,FALSE)&gt;0,VLOOKUP(tblHorasMai[Dia],tblDiaUtil[[Abreviatura]:[2º Período]],4,FALSE),JORNADA_PERIODO_2),
IF(VLOOKUP(tblHorasMai[Dia],tblDiaUtil[[Abreviatura]:[2º Período]],4,FALSE)&gt;0,VLOOKUP(tblHorasMai[Dia],tblDiaUtil[[Abreviatura]:[2º Período]],4,FALSE),JORNADA/2)),
        IF(AND(ISNUMBER(tblHorasMai[Saída - 2]),ISNUMBER(tblHorasMai[Entrada - 2 (Almoço)])),
              IF(OR(AND(tblHorasMai[Evento 
(2º Período)]&lt;&gt;"",IF(ISERROR(VLOOKUP(tblHorasMai[Evento 
(2º Período)],tblEvento[],Tabelas!$E$1,FALSE)),FALSE,VLOOKUP(tblHorasMai[Evento 
(2º Período)],tblEvento[],Tabelas!$E$1,FALSE)="Sim")),IF(VLOOKUP(TEXT(tblHorasMai[Data],"dddd"),tblDiaUtil[],2,FALSE)="Não",TRUE,FALSE)),
                   tblHorasMai[Saída - 2]-tblHorasMai[Entrada - 2 (Almoço)],
                   IF(OR(HOUR(tblHorasMai[Saída - 2]-tblHorasMai[Entrada - 2 (Almoço)])&gt;0,MINUTE(tblHorasMai[Saída - 2]-tblHorasMai[Entrada - 2 (Almoço)])&gt;CARENCIA),
                         tblHorasMai[Saída - 2]-tblHorasMai[Entrada - 2 (Almoço)],
                         0)),
       0)),0)</f>
        <v>0</v>
      </c>
      <c r="L31" s="4">
        <f>tblHorasMai[Horas Trabalhadas (1º Período)]+tblHorasMai[Horas Trabalhadas (2º Período)]</f>
        <v>0</v>
      </c>
      <c r="M31" s="4" t="str">
        <f>IF(tblHorasMai[Data]&lt;&gt;"",
        IF(
AND(VLOOKUP(TEXT(tblHorasMai[Data],"dddd"),tblDiaUtil[],3,FALSE)="Sim",IF(tblHorasMai[Evento 
(1º Período)]&lt;&gt;"",IF(VLOOKUP(tblHorasMai[Evento 
(1º Período)],tblEvento[],Tabelas!$E$1,FALSE)="Sim",FALSE,TRUE),TRUE),IF(tblHorasMai[Evento 
(2º Período)]&lt;&gt;"",IF(VLOOKUP(tblHorasMai[Evento 
(2º Período)],tblEvento[],Tabelas!$E$1,FALSE)="Sim",FALSE,TRUE),TRUE)),
              IF(VLOOKUP(tblHorasMai[Dia],tblDiaUtil[[Abreviatura]:[1º Período]],3,FALSE)&gt;0,VLOOKUP(tblHorasMai[Dia],tblDiaUtil[[Abreviatura]:[1º Período]],3,FALSE),JORNADA),
              ""),
         "")</f>
        <v/>
      </c>
      <c r="N31" s="14">
        <f>IF(OR(tblHorasMai[Horas Trabalhadas (1º Período)]&lt;&gt;0,tblHorasMai[Horas Trabalhadas (2º Período)]&lt;&gt;0),
        IF(ISNUMBER(tblHorasMai[Jornada Diária]),
              IF(tblHorasMai[Jornada Diária]&gt;(tblHorasMai[Horas Trabalhadas (2º Período)]+tblHorasMai[Horas Trabalhadas (1º Período)]),
                     IF(ROUND((tblHorasMai[Jornada Diária]-(tblHorasMai[Horas Trabalhadas (2º Período)]+tblHorasMai[Horas Trabalhadas (1º Período)])),6)&gt;ROUND(CARENCIA,6),
                           -tblHorasMai[Jornada Diária]+(tblHorasMai[Horas Trabalhadas (2º Período)]+tblHorasMai[Horas Trabalhadas (1º Período)]),
                           0),
                      IF(ROUND((tblHorasMai[Jornada Diária]-(tblHorasMai[Horas Trabalhadas (2º Período)]+tblHorasMai[Horas Trabalhadas (1º Período)])),6)&lt;ROUND(-CARENCIA,6),
                           -tblHorasMai[Jornada Diária]+(tblHorasMai[Horas Trabalhadas (2º Período)]+tblHorasMai[Horas Trabalhadas (1º Período)]),
                           0)),
              tblHorasMai[Horas Trabalhadas (2º Período)]+tblHorasMai[Horas Trabalhadas (1º Período)]),
         IF(AND(IF(ISERROR(VLOOKUP(tblHorasMai[Evento 
(1º Período)],tblEvento[[Evento]:[Libera o Período]],4,FALSE)),FALSE,IF(VLOOKUP(tblHorasMai[Evento 
(1º Período)],tblEvento[[Evento]:[Libera o Período]],4,FALSE)="Não",TRUE,FALSE)),IF(ISERROR(VLOOKUP(tblHorasMai[Evento 
(2º Período)],tblEvento[[Evento]:[Libera o Período]],4,FALSE)),FALSE,IF(VLOOKUP(tblHorasMai[Evento 
(2º Período)],tblEvento[[Evento]:[Libera o Período]],4,FALSE)="Não",TRUE,FALSE))),
-IF(VLOOKUP(tblHorasMai[Dia],tblDiaUtil[[Abreviatura]:[Total Jornada]],5,FALSE)&lt;&gt;"",VLOOKUP(tblHorasMai[Dia],tblDiaUtil[[Abreviatura]:[Total Jornada]],5,FALSE),JORNADA),
IF(IF(ISERROR(VLOOKUP(tblHorasMai[Evento 
(1º Período)],tblEvento[[Evento]:[Libera o Período]],4,FALSE)),FALSE,
IF(VLOOKUP(tblHorasMai[Evento 
(1º Período)],tblEvento[[Evento]:[Libera o Período]],4,FALSE)="Não",TRUE,FALSE)
),
-IF(VLOOKUP(tblHorasMai[Dia],tblDiaUtil[[Abreviatura]:[1º Período]],3,FALSE)&lt;&gt;"",VLOOKUP(tblHorasMai[Dia],tblDiaUtil[[Abreviatura]:[1º Período]],3,FALSE),JORNADA_PERIODO_1),
IF(IF(ISERROR(VLOOKUP(tblHorasMai[Evento 
(2º Período)],tblEvento[[Evento]:[Libera o Período]],4,FALSE)),FALSE,IF(VLOOKUP(tblHorasMai[Evento 
(2º Período)],tblEvento[[Evento]:[Libera o Período]],4,FALSE)="Não",TRUE,FALSE)),
-IF(VLOOKUP(tblHorasMai[Dia],tblDiaUtil[[Abreviatura]:[2º Período]],4,FALSE)&lt;&gt;"",VLOOKUP(tblHorasMai[Dia],tblDiaUtil[[Abreviatura]:[2º Período]],4,FALSE),JORNADA_PERIODO_2),0))))</f>
        <v>0</v>
      </c>
      <c r="O31" s="14">
        <f>IF(tblHorasMai[Horas Trabalhadas Além Jornada]&gt;0,
        IF(ISNUMBER(tblHorasMai[Jornada Diária]),
              IF(HOUR(tblHorasMai[Horas Trabalhadas Além Jornada])&gt;=VLOOKUP(LIMITE,tblLimiteHora[],Tabelas!$I$1,FALSE),
                    VLOOKUP(LIMITE,tblLimiteHora[],Tabelas!$J$1,FALSE),
                    tblHorasMai[Horas Trabalhadas Além Jornada]),
              tblHorasMai[Horas Trabalhadas Além Jornada]),
        tblHorasMai[Horas Trabalhadas Além Jornada])+O30</f>
        <v>0</v>
      </c>
      <c r="P31" s="14" t="str">
        <f>IF(tblHorasMai[Horas Trabalhadas Além Jornada]&lt;0,IF(OR(tblHorasMai[Evento 
(1º Período)]="",tblHorasMai[Evento 
(2º Período)]=""),tblHorasMai[Horas Trabalhadas Além Jornada],""),"")</f>
        <v/>
      </c>
      <c r="Q31" s="14" t="str">
        <f>IF(tblHorasMai[Jornada Diária]&lt;&gt;"",IF((N(tblHorasMai[Jornada Diária])-ABS(N(tblHorasMai[Horas Trabalhadas Além Jornada])))=0,1,""),"")</f>
        <v/>
      </c>
      <c r="R31" s="14" t="str">
        <f>IF(tblHorasMai[Horas Trabalhadas Além Jornada]&gt;0,
IF(AND(VLOOKUP(TEXT(tblHorasMai[Data],"dddd"),tblDiaUtil[],3,FALSE)="Sim",IF(tblHorasMai[Evento 
(1º Período)]&lt;&gt;"",IF(VLOOKUP(tblHorasMai[Evento 
(1º Período)],tblEvento[],Tabelas!$E$1,FALSE)="Sim",FALSE,TRUE),TRUE),IF(tblHorasMai[Evento 
(2º Período)]&lt;&gt;"",IF(VLOOKUP(tblHorasMai[Evento 
(2º Período)],tblEvento[],Tabelas!$E$1,FALSE)="Sim",FALSE,TRUE),TRUE)),
tblHorasMai[Horas Trabalhadas Além Jornada],""),"")</f>
        <v/>
      </c>
      <c r="S31" s="14" t="str">
        <f>IF(tblHorasMai[Horas Trabalhadas Além Jornada]&gt;0,
IF(OR(VLOOKUP(TEXT(tblHorasMai[Data],"dddd"),tblDiaUtil[],3,FALSE)="Não",IF(tblHorasMai[Evento 
(1º Período)]&lt;&gt;"",IF(VLOOKUP(tblHorasMai[Evento 
(1º Período)],tblEvento[],Tabelas!$E$1,FALSE)="Sim",TRUE,FALSE),FALSE),IF(tblHorasMai[Evento 
(2º Período)]&lt;&gt;"",IF(VLOOKUP(tblHorasMai[Evento 
(2º Período)],tblEvento[],Tabelas!$E$1,FALSE)="Sim",TRUE,FALSE),FALSE)),
tblHorasMai[Horas Trabalhadas Além Jornada],""),"")</f>
        <v/>
      </c>
      <c r="T31" s="15" t="str">
        <f>IF(tblHorasMai[Evento 
(1º Período)]&lt;&gt;""," - " &amp;VLOOKUP(tblHorasMai[Evento 
(1º Período)],tblEvento[],Tabelas!$F$1,FALSE),"")&amp;IF(AND(tblHorasMai[Evento 
(2º Período)]&lt;&gt;"",tblHorasMai[Evento 
(2º Período)]&lt;&gt;tblHorasMai[Evento 
(1º Período)])," - " &amp; VLOOKUP(tblHorasMai[Evento 
(2º Período)],tblEvento[],Tabelas!$F$1,FALSE),"")</f>
        <v/>
      </c>
    </row>
    <row r="32" spans="2:20" x14ac:dyDescent="0.25">
      <c r="B32" s="11" t="str">
        <f t="shared" si="0"/>
        <v/>
      </c>
      <c r="C32" s="12" t="str">
        <f>TEXT(tblHorasMai[Data],"ddd")</f>
        <v/>
      </c>
      <c r="D32" s="25"/>
      <c r="E32" s="1"/>
      <c r="F32" s="1"/>
      <c r="G32" s="1"/>
      <c r="H32" s="1"/>
      <c r="I32" s="53"/>
      <c r="J32" s="4">
        <f>IF($B$6&lt;&gt;"",
IF(AND(tblHorasMai[Evento 
(1º Período)]&lt;&gt;"",IF(ISERROR(VLOOKUP(tblHorasMai[Evento 
(1º Período)],tblEvento[],Tabelas!$D$1,FALSE)),FALSE,VLOOKUP(tblHorasMai[Evento 
(1º Período)],tblEvento[],Tabelas!$D$1,FALSE)="Sim")),
        IF(JORNADA_PERIODO_1&lt;&gt;"",
IF(VLOOKUP(tblHorasMai[Dia],tblDiaUtil[[Abreviatura]:[1º Período]],3,FALSE)&gt;0,VLOOKUP(tblHorasMai[Dia],tblDiaUtil[[Abreviatura]:[1º Período]],3,FALSE),JORNADA_PERIODO_1),
IF(VLOOKUP(tblHorasMai[Dia],tblDiaUtil[[Abreviatura]:[1º Período]],3,FALSE)&gt;0,VLOOKUP(tblHorasMai[Dia],tblDiaUtil[[Abreviatura]:[1º Período]],3,FALSE),JORNADA/2)),
        IF(AND(ISNUMBER(tblHorasMai[Saída - 1 (Almoço)]),ISNUMBER(tblHorasMai[Entrada - 1])),
              IF(OR(AND(tblHorasMai[Evento 
(1º Período)]&lt;&gt;"",IF(ISERROR(VLOOKUP(tblHorasMai[Evento 
(1º Período)],tblEvento[],Tabelas!$E$1,FALSE)),FALSE,VLOOKUP(tblHorasMai[Evento 
(1º Período)],tblEvento[],Tabelas!$E$1,FALSE)="Sim")),IF(VLOOKUP(TEXT(tblHorasMai[Data],"dddd"),tblDiaUtil[],2,FALSE)="Não",TRUE,FALSE)),
                   tblHorasMai[Saída - 1 (Almoço)]-tblHorasMai[Entrada - 1],
                   IF(OR(HOUR(tblHorasMai[Saída - 1 (Almoço)]-tblHorasMai[Entrada - 1])&gt;0,ROUND(tblHorasMai[Saída - 1 (Almoço)]-tblHorasMai[Entrada - 1],6)&gt;ROUND(CARENCIA,6)),
                          tblHorasMai[Saída - 1 (Almoço)]-tblHorasMai[Entrada - 1],
                          0)),
                    0)),0)</f>
        <v>0</v>
      </c>
      <c r="K32" s="4">
        <f>IF($B$6&lt;&gt;"",
IF(AND(tblHorasMai[Evento 
(2º Período)]&lt;&gt;"",IF(ISERROR(VLOOKUP(tblHorasMai[Evento 
(2º Período)],tblEvento[],Tabelas!$D$1,FALSE)),FALSE,VLOOKUP(tblHorasMai[Evento 
(2º Período)],tblEvento[],Tabelas!$D$1,FALSE)="Sim")),
        IF(JORNADA_PERIODO_2&lt;&gt;"",
IF(VLOOKUP(tblHorasMai[Dia],tblDiaUtil[[Abreviatura]:[2º Período]],4,FALSE)&gt;0,VLOOKUP(tblHorasMai[Dia],tblDiaUtil[[Abreviatura]:[2º Período]],4,FALSE),JORNADA_PERIODO_2),
IF(VLOOKUP(tblHorasMai[Dia],tblDiaUtil[[Abreviatura]:[2º Período]],4,FALSE)&gt;0,VLOOKUP(tblHorasMai[Dia],tblDiaUtil[[Abreviatura]:[2º Período]],4,FALSE),JORNADA/2)),
        IF(AND(ISNUMBER(tblHorasMai[Saída - 2]),ISNUMBER(tblHorasMai[Entrada - 2 (Almoço)])),
              IF(OR(AND(tblHorasMai[Evento 
(2º Período)]&lt;&gt;"",IF(ISERROR(VLOOKUP(tblHorasMai[Evento 
(2º Período)],tblEvento[],Tabelas!$E$1,FALSE)),FALSE,VLOOKUP(tblHorasMai[Evento 
(2º Período)],tblEvento[],Tabelas!$E$1,FALSE)="Sim")),IF(VLOOKUP(TEXT(tblHorasMai[Data],"dddd"),tblDiaUtil[],2,FALSE)="Não",TRUE,FALSE)),
                   tblHorasMai[Saída - 2]-tblHorasMai[Entrada - 2 (Almoço)],
                   IF(OR(HOUR(tblHorasMai[Saída - 2]-tblHorasMai[Entrada - 2 (Almoço)])&gt;0,MINUTE(tblHorasMai[Saída - 2]-tblHorasMai[Entrada - 2 (Almoço)])&gt;CARENCIA),
                         tblHorasMai[Saída - 2]-tblHorasMai[Entrada - 2 (Almoço)],
                         0)),
       0)),0)</f>
        <v>0</v>
      </c>
      <c r="L32" s="4">
        <f>tblHorasMai[Horas Trabalhadas (1º Período)]+tblHorasMai[Horas Trabalhadas (2º Período)]</f>
        <v>0</v>
      </c>
      <c r="M32" s="4" t="str">
        <f>IF(tblHorasMai[Data]&lt;&gt;"",
        IF(
AND(VLOOKUP(TEXT(tblHorasMai[Data],"dddd"),tblDiaUtil[],3,FALSE)="Sim",IF(tblHorasMai[Evento 
(1º Período)]&lt;&gt;"",IF(VLOOKUP(tblHorasMai[Evento 
(1º Período)],tblEvento[],Tabelas!$E$1,FALSE)="Sim",FALSE,TRUE),TRUE),IF(tblHorasMai[Evento 
(2º Período)]&lt;&gt;"",IF(VLOOKUP(tblHorasMai[Evento 
(2º Período)],tblEvento[],Tabelas!$E$1,FALSE)="Sim",FALSE,TRUE),TRUE)),
              IF(VLOOKUP(tblHorasMai[Dia],tblDiaUtil[[Abreviatura]:[1º Período]],3,FALSE)&gt;0,VLOOKUP(tblHorasMai[Dia],tblDiaUtil[[Abreviatura]:[1º Período]],3,FALSE),JORNADA),
              ""),
         "")</f>
        <v/>
      </c>
      <c r="N32" s="14">
        <f>IF(OR(tblHorasMai[Horas Trabalhadas (1º Período)]&lt;&gt;0,tblHorasMai[Horas Trabalhadas (2º Período)]&lt;&gt;0),
        IF(ISNUMBER(tblHorasMai[Jornada Diária]),
              IF(tblHorasMai[Jornada Diária]&gt;(tblHorasMai[Horas Trabalhadas (2º Período)]+tblHorasMai[Horas Trabalhadas (1º Período)]),
                     IF(ROUND((tblHorasMai[Jornada Diária]-(tblHorasMai[Horas Trabalhadas (2º Período)]+tblHorasMai[Horas Trabalhadas (1º Período)])),6)&gt;ROUND(CARENCIA,6),
                           -tblHorasMai[Jornada Diária]+(tblHorasMai[Horas Trabalhadas (2º Período)]+tblHorasMai[Horas Trabalhadas (1º Período)]),
                           0),
                      IF(ROUND((tblHorasMai[Jornada Diária]-(tblHorasMai[Horas Trabalhadas (2º Período)]+tblHorasMai[Horas Trabalhadas (1º Período)])),6)&lt;ROUND(-CARENCIA,6),
                           -tblHorasMai[Jornada Diária]+(tblHorasMai[Horas Trabalhadas (2º Período)]+tblHorasMai[Horas Trabalhadas (1º Período)]),
                           0)),
              tblHorasMai[Horas Trabalhadas (2º Período)]+tblHorasMai[Horas Trabalhadas (1º Período)]),
         IF(AND(IF(ISERROR(VLOOKUP(tblHorasMai[Evento 
(1º Período)],tblEvento[[Evento]:[Libera o Período]],4,FALSE)),FALSE,IF(VLOOKUP(tblHorasMai[Evento 
(1º Período)],tblEvento[[Evento]:[Libera o Período]],4,FALSE)="Não",TRUE,FALSE)),IF(ISERROR(VLOOKUP(tblHorasMai[Evento 
(2º Período)],tblEvento[[Evento]:[Libera o Período]],4,FALSE)),FALSE,IF(VLOOKUP(tblHorasMai[Evento 
(2º Período)],tblEvento[[Evento]:[Libera o Período]],4,FALSE)="Não",TRUE,FALSE))),
-IF(VLOOKUP(tblHorasMai[Dia],tblDiaUtil[[Abreviatura]:[Total Jornada]],5,FALSE)&lt;&gt;"",VLOOKUP(tblHorasMai[Dia],tblDiaUtil[[Abreviatura]:[Total Jornada]],5,FALSE),JORNADA),
IF(IF(ISERROR(VLOOKUP(tblHorasMai[Evento 
(1º Período)],tblEvento[[Evento]:[Libera o Período]],4,FALSE)),FALSE,
IF(VLOOKUP(tblHorasMai[Evento 
(1º Período)],tblEvento[[Evento]:[Libera o Período]],4,FALSE)="Não",TRUE,FALSE)
),
-IF(VLOOKUP(tblHorasMai[Dia],tblDiaUtil[[Abreviatura]:[1º Período]],3,FALSE)&lt;&gt;"",VLOOKUP(tblHorasMai[Dia],tblDiaUtil[[Abreviatura]:[1º Período]],3,FALSE),JORNADA_PERIODO_1),
IF(IF(ISERROR(VLOOKUP(tblHorasMai[Evento 
(2º Período)],tblEvento[[Evento]:[Libera o Período]],4,FALSE)),FALSE,IF(VLOOKUP(tblHorasMai[Evento 
(2º Período)],tblEvento[[Evento]:[Libera o Período]],4,FALSE)="Não",TRUE,FALSE)),
-IF(VLOOKUP(tblHorasMai[Dia],tblDiaUtil[[Abreviatura]:[2º Período]],4,FALSE)&lt;&gt;"",VLOOKUP(tblHorasMai[Dia],tblDiaUtil[[Abreviatura]:[2º Período]],4,FALSE),JORNADA_PERIODO_2),0))))</f>
        <v>0</v>
      </c>
      <c r="O32" s="14">
        <f>IF(tblHorasMai[Horas Trabalhadas Além Jornada]&gt;0,
        IF(ISNUMBER(tblHorasMai[Jornada Diária]),
              IF(HOUR(tblHorasMai[Horas Trabalhadas Além Jornada])&gt;=VLOOKUP(LIMITE,tblLimiteHora[],Tabelas!$I$1,FALSE),
                    VLOOKUP(LIMITE,tblLimiteHora[],Tabelas!$J$1,FALSE),
                    tblHorasMai[Horas Trabalhadas Além Jornada]),
              tblHorasMai[Horas Trabalhadas Além Jornada]),
        tblHorasMai[Horas Trabalhadas Além Jornada])+O31</f>
        <v>0</v>
      </c>
      <c r="P32" s="14" t="str">
        <f>IF(tblHorasMai[Horas Trabalhadas Além Jornada]&lt;0,IF(OR(tblHorasMai[Evento 
(1º Período)]="",tblHorasMai[Evento 
(2º Período)]=""),tblHorasMai[Horas Trabalhadas Além Jornada],""),"")</f>
        <v/>
      </c>
      <c r="Q32" s="14" t="str">
        <f>IF(tblHorasMai[Jornada Diária]&lt;&gt;"",IF((N(tblHorasMai[Jornada Diária])-ABS(N(tblHorasMai[Horas Trabalhadas Além Jornada])))=0,1,""),"")</f>
        <v/>
      </c>
      <c r="R32" s="14" t="str">
        <f>IF(tblHorasMai[Horas Trabalhadas Além Jornada]&gt;0,
IF(AND(VLOOKUP(TEXT(tblHorasMai[Data],"dddd"),tblDiaUtil[],3,FALSE)="Sim",IF(tblHorasMai[Evento 
(1º Período)]&lt;&gt;"",IF(VLOOKUP(tblHorasMai[Evento 
(1º Período)],tblEvento[],Tabelas!$E$1,FALSE)="Sim",FALSE,TRUE),TRUE),IF(tblHorasMai[Evento 
(2º Período)]&lt;&gt;"",IF(VLOOKUP(tblHorasMai[Evento 
(2º Período)],tblEvento[],Tabelas!$E$1,FALSE)="Sim",FALSE,TRUE),TRUE)),
tblHorasMai[Horas Trabalhadas Além Jornada],""),"")</f>
        <v/>
      </c>
      <c r="S32" s="14" t="str">
        <f>IF(tblHorasMai[Horas Trabalhadas Além Jornada]&gt;0,
IF(OR(VLOOKUP(TEXT(tblHorasMai[Data],"dddd"),tblDiaUtil[],3,FALSE)="Não",IF(tblHorasMai[Evento 
(1º Período)]&lt;&gt;"",IF(VLOOKUP(tblHorasMai[Evento 
(1º Período)],tblEvento[],Tabelas!$E$1,FALSE)="Sim",TRUE,FALSE),FALSE),IF(tblHorasMai[Evento 
(2º Período)]&lt;&gt;"",IF(VLOOKUP(tblHorasMai[Evento 
(2º Período)],tblEvento[],Tabelas!$E$1,FALSE)="Sim",TRUE,FALSE),FALSE)),
tblHorasMai[Horas Trabalhadas Além Jornada],""),"")</f>
        <v/>
      </c>
      <c r="T32" s="15" t="str">
        <f>IF(tblHorasMai[Evento 
(1º Período)]&lt;&gt;""," - " &amp;VLOOKUP(tblHorasMai[Evento 
(1º Período)],tblEvento[],Tabelas!$F$1,FALSE),"")&amp;IF(AND(tblHorasMai[Evento 
(2º Período)]&lt;&gt;"",tblHorasMai[Evento 
(2º Período)]&lt;&gt;tblHorasMai[Evento 
(1º Período)])," - " &amp; VLOOKUP(tblHorasMai[Evento 
(2º Período)],tblEvento[],Tabelas!$F$1,FALSE),"")</f>
        <v/>
      </c>
    </row>
    <row r="33" spans="2:21" x14ac:dyDescent="0.25">
      <c r="B33" s="11" t="str">
        <f t="shared" si="0"/>
        <v/>
      </c>
      <c r="C33" s="12" t="str">
        <f>TEXT(tblHorasMai[Data],"ddd")</f>
        <v/>
      </c>
      <c r="D33" s="25"/>
      <c r="E33" s="1"/>
      <c r="F33" s="1"/>
      <c r="G33" s="1"/>
      <c r="H33" s="1"/>
      <c r="I33" s="53"/>
      <c r="J33" s="4">
        <f>IF($B$6&lt;&gt;"",
IF(AND(tblHorasMai[Evento 
(1º Período)]&lt;&gt;"",IF(ISERROR(VLOOKUP(tblHorasMai[Evento 
(1º Período)],tblEvento[],Tabelas!$D$1,FALSE)),FALSE,VLOOKUP(tblHorasMai[Evento 
(1º Período)],tblEvento[],Tabelas!$D$1,FALSE)="Sim")),
        IF(JORNADA_PERIODO_1&lt;&gt;"",
IF(VLOOKUP(tblHorasMai[Dia],tblDiaUtil[[Abreviatura]:[1º Período]],3,FALSE)&gt;0,VLOOKUP(tblHorasMai[Dia],tblDiaUtil[[Abreviatura]:[1º Período]],3,FALSE),JORNADA_PERIODO_1),
IF(VLOOKUP(tblHorasMai[Dia],tblDiaUtil[[Abreviatura]:[1º Período]],3,FALSE)&gt;0,VLOOKUP(tblHorasMai[Dia],tblDiaUtil[[Abreviatura]:[1º Período]],3,FALSE),JORNADA/2)),
        IF(AND(ISNUMBER(tblHorasMai[Saída - 1 (Almoço)]),ISNUMBER(tblHorasMai[Entrada - 1])),
              IF(OR(AND(tblHorasMai[Evento 
(1º Período)]&lt;&gt;"",IF(ISERROR(VLOOKUP(tblHorasMai[Evento 
(1º Período)],tblEvento[],Tabelas!$E$1,FALSE)),FALSE,VLOOKUP(tblHorasMai[Evento 
(1º Período)],tblEvento[],Tabelas!$E$1,FALSE)="Sim")),IF(VLOOKUP(TEXT(tblHorasMai[Data],"dddd"),tblDiaUtil[],2,FALSE)="Não",TRUE,FALSE)),
                   tblHorasMai[Saída - 1 (Almoço)]-tblHorasMai[Entrada - 1],
                   IF(OR(HOUR(tblHorasMai[Saída - 1 (Almoço)]-tblHorasMai[Entrada - 1])&gt;0,ROUND(tblHorasMai[Saída - 1 (Almoço)]-tblHorasMai[Entrada - 1],6)&gt;ROUND(CARENCIA,6)),
                          tblHorasMai[Saída - 1 (Almoço)]-tblHorasMai[Entrada - 1],
                          0)),
                    0)),0)</f>
        <v>0</v>
      </c>
      <c r="K33" s="4">
        <f>IF($B$6&lt;&gt;"",
IF(AND(tblHorasMai[Evento 
(2º Período)]&lt;&gt;"",IF(ISERROR(VLOOKUP(tblHorasMai[Evento 
(2º Período)],tblEvento[],Tabelas!$D$1,FALSE)),FALSE,VLOOKUP(tblHorasMai[Evento 
(2º Período)],tblEvento[],Tabelas!$D$1,FALSE)="Sim")),
        IF(JORNADA_PERIODO_2&lt;&gt;"",
IF(VLOOKUP(tblHorasMai[Dia],tblDiaUtil[[Abreviatura]:[2º Período]],4,FALSE)&gt;0,VLOOKUP(tblHorasMai[Dia],tblDiaUtil[[Abreviatura]:[2º Período]],4,FALSE),JORNADA_PERIODO_2),
IF(VLOOKUP(tblHorasMai[Dia],tblDiaUtil[[Abreviatura]:[2º Período]],4,FALSE)&gt;0,VLOOKUP(tblHorasMai[Dia],tblDiaUtil[[Abreviatura]:[2º Período]],4,FALSE),JORNADA/2)),
        IF(AND(ISNUMBER(tblHorasMai[Saída - 2]),ISNUMBER(tblHorasMai[Entrada - 2 (Almoço)])),
              IF(OR(AND(tblHorasMai[Evento 
(2º Período)]&lt;&gt;"",IF(ISERROR(VLOOKUP(tblHorasMai[Evento 
(2º Período)],tblEvento[],Tabelas!$E$1,FALSE)),FALSE,VLOOKUP(tblHorasMai[Evento 
(2º Período)],tblEvento[],Tabelas!$E$1,FALSE)="Sim")),IF(VLOOKUP(TEXT(tblHorasMai[Data],"dddd"),tblDiaUtil[],2,FALSE)="Não",TRUE,FALSE)),
                   tblHorasMai[Saída - 2]-tblHorasMai[Entrada - 2 (Almoço)],
                   IF(OR(HOUR(tblHorasMai[Saída - 2]-tblHorasMai[Entrada - 2 (Almoço)])&gt;0,MINUTE(tblHorasMai[Saída - 2]-tblHorasMai[Entrada - 2 (Almoço)])&gt;CARENCIA),
                         tblHorasMai[Saída - 2]-tblHorasMai[Entrada - 2 (Almoço)],
                         0)),
       0)),0)</f>
        <v>0</v>
      </c>
      <c r="L33" s="4">
        <f>tblHorasMai[Horas Trabalhadas (1º Período)]+tblHorasMai[Horas Trabalhadas (2º Período)]</f>
        <v>0</v>
      </c>
      <c r="M33" s="4" t="str">
        <f>IF(tblHorasMai[Data]&lt;&gt;"",
        IF(
AND(VLOOKUP(TEXT(tblHorasMai[Data],"dddd"),tblDiaUtil[],3,FALSE)="Sim",IF(tblHorasMai[Evento 
(1º Período)]&lt;&gt;"",IF(VLOOKUP(tblHorasMai[Evento 
(1º Período)],tblEvento[],Tabelas!$E$1,FALSE)="Sim",FALSE,TRUE),TRUE),IF(tblHorasMai[Evento 
(2º Período)]&lt;&gt;"",IF(VLOOKUP(tblHorasMai[Evento 
(2º Período)],tblEvento[],Tabelas!$E$1,FALSE)="Sim",FALSE,TRUE),TRUE)),
              IF(VLOOKUP(tblHorasMai[Dia],tblDiaUtil[[Abreviatura]:[1º Período]],3,FALSE)&gt;0,VLOOKUP(tblHorasMai[Dia],tblDiaUtil[[Abreviatura]:[1º Período]],3,FALSE),JORNADA),
              ""),
         "")</f>
        <v/>
      </c>
      <c r="N33" s="14">
        <f>IF(OR(tblHorasMai[Horas Trabalhadas (1º Período)]&lt;&gt;0,tblHorasMai[Horas Trabalhadas (2º Período)]&lt;&gt;0),
        IF(ISNUMBER(tblHorasMai[Jornada Diária]),
              IF(tblHorasMai[Jornada Diária]&gt;(tblHorasMai[Horas Trabalhadas (2º Período)]+tblHorasMai[Horas Trabalhadas (1º Período)]),
                     IF(ROUND((tblHorasMai[Jornada Diária]-(tblHorasMai[Horas Trabalhadas (2º Período)]+tblHorasMai[Horas Trabalhadas (1º Período)])),6)&gt;ROUND(CARENCIA,6),
                           -tblHorasMai[Jornada Diária]+(tblHorasMai[Horas Trabalhadas (2º Período)]+tblHorasMai[Horas Trabalhadas (1º Período)]),
                           0),
                      IF(ROUND((tblHorasMai[Jornada Diária]-(tblHorasMai[Horas Trabalhadas (2º Período)]+tblHorasMai[Horas Trabalhadas (1º Período)])),6)&lt;ROUND(-CARENCIA,6),
                           -tblHorasMai[Jornada Diária]+(tblHorasMai[Horas Trabalhadas (2º Período)]+tblHorasMai[Horas Trabalhadas (1º Período)]),
                           0)),
              tblHorasMai[Horas Trabalhadas (2º Período)]+tblHorasMai[Horas Trabalhadas (1º Período)]),
         IF(AND(IF(ISERROR(VLOOKUP(tblHorasMai[Evento 
(1º Período)],tblEvento[[Evento]:[Libera o Período]],4,FALSE)),FALSE,IF(VLOOKUP(tblHorasMai[Evento 
(1º Período)],tblEvento[[Evento]:[Libera o Período]],4,FALSE)="Não",TRUE,FALSE)),IF(ISERROR(VLOOKUP(tblHorasMai[Evento 
(2º Período)],tblEvento[[Evento]:[Libera o Período]],4,FALSE)),FALSE,IF(VLOOKUP(tblHorasMai[Evento 
(2º Período)],tblEvento[[Evento]:[Libera o Período]],4,FALSE)="Não",TRUE,FALSE))),
-IF(VLOOKUP(tblHorasMai[Dia],tblDiaUtil[[Abreviatura]:[Total Jornada]],5,FALSE)&lt;&gt;"",VLOOKUP(tblHorasMai[Dia],tblDiaUtil[[Abreviatura]:[Total Jornada]],5,FALSE),JORNADA),
IF(IF(ISERROR(VLOOKUP(tblHorasMai[Evento 
(1º Período)],tblEvento[[Evento]:[Libera o Período]],4,FALSE)),FALSE,
IF(VLOOKUP(tblHorasMai[Evento 
(1º Período)],tblEvento[[Evento]:[Libera o Período]],4,FALSE)="Não",TRUE,FALSE)
),
-IF(VLOOKUP(tblHorasMai[Dia],tblDiaUtil[[Abreviatura]:[1º Período]],3,FALSE)&lt;&gt;"",VLOOKUP(tblHorasMai[Dia],tblDiaUtil[[Abreviatura]:[1º Período]],3,FALSE),JORNADA_PERIODO_1),
IF(IF(ISERROR(VLOOKUP(tblHorasMai[Evento 
(2º Período)],tblEvento[[Evento]:[Libera o Período]],4,FALSE)),FALSE,IF(VLOOKUP(tblHorasMai[Evento 
(2º Período)],tblEvento[[Evento]:[Libera o Período]],4,FALSE)="Não",TRUE,FALSE)),
-IF(VLOOKUP(tblHorasMai[Dia],tblDiaUtil[[Abreviatura]:[2º Período]],4,FALSE)&lt;&gt;"",VLOOKUP(tblHorasMai[Dia],tblDiaUtil[[Abreviatura]:[2º Período]],4,FALSE),JORNADA_PERIODO_2),0))))</f>
        <v>0</v>
      </c>
      <c r="O33" s="14">
        <f>IF(tblHorasMai[Horas Trabalhadas Além Jornada]&gt;0,
        IF(ISNUMBER(tblHorasMai[Jornada Diária]),
              IF(HOUR(tblHorasMai[Horas Trabalhadas Além Jornada])&gt;=VLOOKUP(LIMITE,tblLimiteHora[],Tabelas!$I$1,FALSE),
                    VLOOKUP(LIMITE,tblLimiteHora[],Tabelas!$J$1,FALSE),
                    tblHorasMai[Horas Trabalhadas Além Jornada]),
              tblHorasMai[Horas Trabalhadas Além Jornada]),
        tblHorasMai[Horas Trabalhadas Além Jornada])+O32</f>
        <v>0</v>
      </c>
      <c r="P33" s="14" t="str">
        <f>IF(tblHorasMai[Horas Trabalhadas Além Jornada]&lt;0,IF(OR(tblHorasMai[Evento 
(1º Período)]="",tblHorasMai[Evento 
(2º Período)]=""),tblHorasMai[Horas Trabalhadas Além Jornada],""),"")</f>
        <v/>
      </c>
      <c r="Q33" s="14" t="str">
        <f>IF(tblHorasMai[Jornada Diária]&lt;&gt;"",IF((N(tblHorasMai[Jornada Diária])-ABS(N(tblHorasMai[Horas Trabalhadas Além Jornada])))=0,1,""),"")</f>
        <v/>
      </c>
      <c r="R33" s="14" t="str">
        <f>IF(tblHorasMai[Horas Trabalhadas Além Jornada]&gt;0,
IF(AND(VLOOKUP(TEXT(tblHorasMai[Data],"dddd"),tblDiaUtil[],3,FALSE)="Sim",IF(tblHorasMai[Evento 
(1º Período)]&lt;&gt;"",IF(VLOOKUP(tblHorasMai[Evento 
(1º Período)],tblEvento[],Tabelas!$E$1,FALSE)="Sim",FALSE,TRUE),TRUE),IF(tblHorasMai[Evento 
(2º Período)]&lt;&gt;"",IF(VLOOKUP(tblHorasMai[Evento 
(2º Período)],tblEvento[],Tabelas!$E$1,FALSE)="Sim",FALSE,TRUE),TRUE)),
tblHorasMai[Horas Trabalhadas Além Jornada],""),"")</f>
        <v/>
      </c>
      <c r="S33" s="14" t="str">
        <f>IF(tblHorasMai[Horas Trabalhadas Além Jornada]&gt;0,
IF(OR(VLOOKUP(TEXT(tblHorasMai[Data],"dddd"),tblDiaUtil[],3,FALSE)="Não",IF(tblHorasMai[Evento 
(1º Período)]&lt;&gt;"",IF(VLOOKUP(tblHorasMai[Evento 
(1º Período)],tblEvento[],Tabelas!$E$1,FALSE)="Sim",TRUE,FALSE),FALSE),IF(tblHorasMai[Evento 
(2º Período)]&lt;&gt;"",IF(VLOOKUP(tblHorasMai[Evento 
(2º Período)],tblEvento[],Tabelas!$E$1,FALSE)="Sim",TRUE,FALSE),FALSE)),
tblHorasMai[Horas Trabalhadas Além Jornada],""),"")</f>
        <v/>
      </c>
      <c r="T33" s="15" t="str">
        <f>IF(tblHorasMai[Evento 
(1º Período)]&lt;&gt;""," - " &amp;VLOOKUP(tblHorasMai[Evento 
(1º Período)],tblEvento[],Tabelas!$F$1,FALSE),"")&amp;IF(AND(tblHorasMai[Evento 
(2º Período)]&lt;&gt;"",tblHorasMai[Evento 
(2º Período)]&lt;&gt;tblHorasMai[Evento 
(1º Período)])," - " &amp; VLOOKUP(tblHorasMai[Evento 
(2º Período)],tblEvento[],Tabelas!$F$1,FALSE),"")</f>
        <v/>
      </c>
    </row>
    <row r="34" spans="2:21" x14ac:dyDescent="0.25">
      <c r="B34" s="11" t="str">
        <f t="shared" si="0"/>
        <v/>
      </c>
      <c r="C34" s="12" t="str">
        <f>TEXT(tblHorasMai[Data],"ddd")</f>
        <v/>
      </c>
      <c r="D34" s="25"/>
      <c r="E34" s="1"/>
      <c r="F34" s="1"/>
      <c r="G34" s="1"/>
      <c r="H34" s="1"/>
      <c r="I34" s="53"/>
      <c r="J34" s="4">
        <f>IF($B$6&lt;&gt;"",
IF(AND(tblHorasMai[Evento 
(1º Período)]&lt;&gt;"",IF(ISERROR(VLOOKUP(tblHorasMai[Evento 
(1º Período)],tblEvento[],Tabelas!$D$1,FALSE)),FALSE,VLOOKUP(tblHorasMai[Evento 
(1º Período)],tblEvento[],Tabelas!$D$1,FALSE)="Sim")),
        IF(JORNADA_PERIODO_1&lt;&gt;"",
IF(VLOOKUP(tblHorasMai[Dia],tblDiaUtil[[Abreviatura]:[1º Período]],3,FALSE)&gt;0,VLOOKUP(tblHorasMai[Dia],tblDiaUtil[[Abreviatura]:[1º Período]],3,FALSE),JORNADA_PERIODO_1),
IF(VLOOKUP(tblHorasMai[Dia],tblDiaUtil[[Abreviatura]:[1º Período]],3,FALSE)&gt;0,VLOOKUP(tblHorasMai[Dia],tblDiaUtil[[Abreviatura]:[1º Período]],3,FALSE),JORNADA/2)),
        IF(AND(ISNUMBER(tblHorasMai[Saída - 1 (Almoço)]),ISNUMBER(tblHorasMai[Entrada - 1])),
              IF(OR(AND(tblHorasMai[Evento 
(1º Período)]&lt;&gt;"",IF(ISERROR(VLOOKUP(tblHorasMai[Evento 
(1º Período)],tblEvento[],Tabelas!$E$1,FALSE)),FALSE,VLOOKUP(tblHorasMai[Evento 
(1º Período)],tblEvento[],Tabelas!$E$1,FALSE)="Sim")),IF(VLOOKUP(TEXT(tblHorasMai[Data],"dddd"),tblDiaUtil[],2,FALSE)="Não",TRUE,FALSE)),
                   tblHorasMai[Saída - 1 (Almoço)]-tblHorasMai[Entrada - 1],
                   IF(OR(HOUR(tblHorasMai[Saída - 1 (Almoço)]-tblHorasMai[Entrada - 1])&gt;0,ROUND(tblHorasMai[Saída - 1 (Almoço)]-tblHorasMai[Entrada - 1],6)&gt;ROUND(CARENCIA,6)),
                          tblHorasMai[Saída - 1 (Almoço)]-tblHorasMai[Entrada - 1],
                          0)),
                    0)),0)</f>
        <v>0</v>
      </c>
      <c r="K34" s="4">
        <f>IF($B$6&lt;&gt;"",
IF(AND(tblHorasMai[Evento 
(2º Período)]&lt;&gt;"",IF(ISERROR(VLOOKUP(tblHorasMai[Evento 
(2º Período)],tblEvento[],Tabelas!$D$1,FALSE)),FALSE,VLOOKUP(tblHorasMai[Evento 
(2º Período)],tblEvento[],Tabelas!$D$1,FALSE)="Sim")),
        IF(JORNADA_PERIODO_2&lt;&gt;"",
IF(VLOOKUP(tblHorasMai[Dia],tblDiaUtil[[Abreviatura]:[2º Período]],4,FALSE)&gt;0,VLOOKUP(tblHorasMai[Dia],tblDiaUtil[[Abreviatura]:[2º Período]],4,FALSE),JORNADA_PERIODO_2),
IF(VLOOKUP(tblHorasMai[Dia],tblDiaUtil[[Abreviatura]:[2º Período]],4,FALSE)&gt;0,VLOOKUP(tblHorasMai[Dia],tblDiaUtil[[Abreviatura]:[2º Período]],4,FALSE),JORNADA/2)),
        IF(AND(ISNUMBER(tblHorasMai[Saída - 2]),ISNUMBER(tblHorasMai[Entrada - 2 (Almoço)])),
              IF(OR(AND(tblHorasMai[Evento 
(2º Período)]&lt;&gt;"",IF(ISERROR(VLOOKUP(tblHorasMai[Evento 
(2º Período)],tblEvento[],Tabelas!$E$1,FALSE)),FALSE,VLOOKUP(tblHorasMai[Evento 
(2º Período)],tblEvento[],Tabelas!$E$1,FALSE)="Sim")),IF(VLOOKUP(TEXT(tblHorasMai[Data],"dddd"),tblDiaUtil[],2,FALSE)="Não",TRUE,FALSE)),
                   tblHorasMai[Saída - 2]-tblHorasMai[Entrada - 2 (Almoço)],
                   IF(OR(HOUR(tblHorasMai[Saída - 2]-tblHorasMai[Entrada - 2 (Almoço)])&gt;0,MINUTE(tblHorasMai[Saída - 2]-tblHorasMai[Entrada - 2 (Almoço)])&gt;CARENCIA),
                         tblHorasMai[Saída - 2]-tblHorasMai[Entrada - 2 (Almoço)],
                         0)),
       0)),0)</f>
        <v>0</v>
      </c>
      <c r="L34" s="4">
        <f>tblHorasMai[Horas Trabalhadas (1º Período)]+tblHorasMai[Horas Trabalhadas (2º Período)]</f>
        <v>0</v>
      </c>
      <c r="M34" s="4" t="str">
        <f>IF(tblHorasMai[Data]&lt;&gt;"",
        IF(
AND(VLOOKUP(TEXT(tblHorasMai[Data],"dddd"),tblDiaUtil[],3,FALSE)="Sim",IF(tblHorasMai[Evento 
(1º Período)]&lt;&gt;"",IF(VLOOKUP(tblHorasMai[Evento 
(1º Período)],tblEvento[],Tabelas!$E$1,FALSE)="Sim",FALSE,TRUE),TRUE),IF(tblHorasMai[Evento 
(2º Período)]&lt;&gt;"",IF(VLOOKUP(tblHorasMai[Evento 
(2º Período)],tblEvento[],Tabelas!$E$1,FALSE)="Sim",FALSE,TRUE),TRUE)),
              IF(VLOOKUP(tblHorasMai[Dia],tblDiaUtil[[Abreviatura]:[1º Período]],3,FALSE)&gt;0,VLOOKUP(tblHorasMai[Dia],tblDiaUtil[[Abreviatura]:[1º Período]],3,FALSE),JORNADA),
              ""),
         "")</f>
        <v/>
      </c>
      <c r="N34" s="14">
        <f>IF(OR(tblHorasMai[Horas Trabalhadas (1º Período)]&lt;&gt;0,tblHorasMai[Horas Trabalhadas (2º Período)]&lt;&gt;0),
        IF(ISNUMBER(tblHorasMai[Jornada Diária]),
              IF(tblHorasMai[Jornada Diária]&gt;(tblHorasMai[Horas Trabalhadas (2º Período)]+tblHorasMai[Horas Trabalhadas (1º Período)]),
                     IF(ROUND((tblHorasMai[Jornada Diária]-(tblHorasMai[Horas Trabalhadas (2º Período)]+tblHorasMai[Horas Trabalhadas (1º Período)])),6)&gt;ROUND(CARENCIA,6),
                           -tblHorasMai[Jornada Diária]+(tblHorasMai[Horas Trabalhadas (2º Período)]+tblHorasMai[Horas Trabalhadas (1º Período)]),
                           0),
                      IF(ROUND((tblHorasMai[Jornada Diária]-(tblHorasMai[Horas Trabalhadas (2º Período)]+tblHorasMai[Horas Trabalhadas (1º Período)])),6)&lt;ROUND(-CARENCIA,6),
                           -tblHorasMai[Jornada Diária]+(tblHorasMai[Horas Trabalhadas (2º Período)]+tblHorasMai[Horas Trabalhadas (1º Período)]),
                           0)),
              tblHorasMai[Horas Trabalhadas (2º Período)]+tblHorasMai[Horas Trabalhadas (1º Período)]),
         IF(AND(IF(ISERROR(VLOOKUP(tblHorasMai[Evento 
(1º Período)],tblEvento[[Evento]:[Libera o Período]],4,FALSE)),FALSE,IF(VLOOKUP(tblHorasMai[Evento 
(1º Período)],tblEvento[[Evento]:[Libera o Período]],4,FALSE)="Não",TRUE,FALSE)),IF(ISERROR(VLOOKUP(tblHorasMai[Evento 
(2º Período)],tblEvento[[Evento]:[Libera o Período]],4,FALSE)),FALSE,IF(VLOOKUP(tblHorasMai[Evento 
(2º Período)],tblEvento[[Evento]:[Libera o Período]],4,FALSE)="Não",TRUE,FALSE))),
-IF(VLOOKUP(tblHorasMai[Dia],tblDiaUtil[[Abreviatura]:[Total Jornada]],5,FALSE)&lt;&gt;"",VLOOKUP(tblHorasMai[Dia],tblDiaUtil[[Abreviatura]:[Total Jornada]],5,FALSE),JORNADA),
IF(IF(ISERROR(VLOOKUP(tblHorasMai[Evento 
(1º Período)],tblEvento[[Evento]:[Libera o Período]],4,FALSE)),FALSE,
IF(VLOOKUP(tblHorasMai[Evento 
(1º Período)],tblEvento[[Evento]:[Libera o Período]],4,FALSE)="Não",TRUE,FALSE)
),
-IF(VLOOKUP(tblHorasMai[Dia],tblDiaUtil[[Abreviatura]:[1º Período]],3,FALSE)&lt;&gt;"",VLOOKUP(tblHorasMai[Dia],tblDiaUtil[[Abreviatura]:[1º Período]],3,FALSE),JORNADA_PERIODO_1),
IF(IF(ISERROR(VLOOKUP(tblHorasMai[Evento 
(2º Período)],tblEvento[[Evento]:[Libera o Período]],4,FALSE)),FALSE,IF(VLOOKUP(tblHorasMai[Evento 
(2º Período)],tblEvento[[Evento]:[Libera o Período]],4,FALSE)="Não",TRUE,FALSE)),
-IF(VLOOKUP(tblHorasMai[Dia],tblDiaUtil[[Abreviatura]:[2º Período]],4,FALSE)&lt;&gt;"",VLOOKUP(tblHorasMai[Dia],tblDiaUtil[[Abreviatura]:[2º Período]],4,FALSE),JORNADA_PERIODO_2),0))))</f>
        <v>0</v>
      </c>
      <c r="O34" s="14">
        <f>IF(tblHorasMai[Horas Trabalhadas Além Jornada]&gt;0,
        IF(ISNUMBER(tblHorasMai[Jornada Diária]),
              IF(HOUR(tblHorasMai[Horas Trabalhadas Além Jornada])&gt;=VLOOKUP(LIMITE,tblLimiteHora[],Tabelas!$I$1,FALSE),
                    VLOOKUP(LIMITE,tblLimiteHora[],Tabelas!$J$1,FALSE),
                    tblHorasMai[Horas Trabalhadas Além Jornada]),
              tblHorasMai[Horas Trabalhadas Além Jornada]),
        tblHorasMai[Horas Trabalhadas Além Jornada])+O33</f>
        <v>0</v>
      </c>
      <c r="P34" s="14" t="str">
        <f>IF(tblHorasMai[Horas Trabalhadas Além Jornada]&lt;0,IF(OR(tblHorasMai[Evento 
(1º Período)]="",tblHorasMai[Evento 
(2º Período)]=""),tblHorasMai[Horas Trabalhadas Além Jornada],""),"")</f>
        <v/>
      </c>
      <c r="Q34" s="14" t="str">
        <f>IF(tblHorasMai[Jornada Diária]&lt;&gt;"",IF((N(tblHorasMai[Jornada Diária])-ABS(N(tblHorasMai[Horas Trabalhadas Além Jornada])))=0,1,""),"")</f>
        <v/>
      </c>
      <c r="R34" s="14" t="str">
        <f>IF(tblHorasMai[Horas Trabalhadas Além Jornada]&gt;0,
IF(AND(VLOOKUP(TEXT(tblHorasMai[Data],"dddd"),tblDiaUtil[],3,FALSE)="Sim",IF(tblHorasMai[Evento 
(1º Período)]&lt;&gt;"",IF(VLOOKUP(tblHorasMai[Evento 
(1º Período)],tblEvento[],Tabelas!$E$1,FALSE)="Sim",FALSE,TRUE),TRUE),IF(tblHorasMai[Evento 
(2º Período)]&lt;&gt;"",IF(VLOOKUP(tblHorasMai[Evento 
(2º Período)],tblEvento[],Tabelas!$E$1,FALSE)="Sim",FALSE,TRUE),TRUE)),
tblHorasMai[Horas Trabalhadas Além Jornada],""),"")</f>
        <v/>
      </c>
      <c r="S34" s="14" t="str">
        <f>IF(tblHorasMai[Horas Trabalhadas Além Jornada]&gt;0,
IF(OR(VLOOKUP(TEXT(tblHorasMai[Data],"dddd"),tblDiaUtil[],3,FALSE)="Não",IF(tblHorasMai[Evento 
(1º Período)]&lt;&gt;"",IF(VLOOKUP(tblHorasMai[Evento 
(1º Período)],tblEvento[],Tabelas!$E$1,FALSE)="Sim",TRUE,FALSE),FALSE),IF(tblHorasMai[Evento 
(2º Período)]&lt;&gt;"",IF(VLOOKUP(tblHorasMai[Evento 
(2º Período)],tblEvento[],Tabelas!$E$1,FALSE)="Sim",TRUE,FALSE),FALSE)),
tblHorasMai[Horas Trabalhadas Além Jornada],""),"")</f>
        <v/>
      </c>
      <c r="T34" s="15" t="str">
        <f>IF(tblHorasMai[Evento 
(1º Período)]&lt;&gt;""," - " &amp;VLOOKUP(tblHorasMai[Evento 
(1º Período)],tblEvento[],Tabelas!$F$1,FALSE),"")&amp;IF(AND(tblHorasMai[Evento 
(2º Período)]&lt;&gt;"",tblHorasMai[Evento 
(2º Período)]&lt;&gt;tblHorasMai[Evento 
(1º Período)])," - " &amp; VLOOKUP(tblHorasMai[Evento 
(2º Período)],tblEvento[],Tabelas!$F$1,FALSE),"")</f>
        <v/>
      </c>
    </row>
    <row r="35" spans="2:21" x14ac:dyDescent="0.25">
      <c r="B35" s="11" t="str">
        <f t="shared" si="0"/>
        <v/>
      </c>
      <c r="C35" s="12" t="str">
        <f>TEXT(tblHorasMai[Data],"ddd")</f>
        <v/>
      </c>
      <c r="D35" s="25"/>
      <c r="E35" s="1"/>
      <c r="F35" s="1"/>
      <c r="G35" s="1"/>
      <c r="H35" s="1"/>
      <c r="I35" s="53"/>
      <c r="J35" s="4">
        <f>IF($B$6&lt;&gt;"",
IF(AND(tblHorasMai[Evento 
(1º Período)]&lt;&gt;"",IF(ISERROR(VLOOKUP(tblHorasMai[Evento 
(1º Período)],tblEvento[],Tabelas!$D$1,FALSE)),FALSE,VLOOKUP(tblHorasMai[Evento 
(1º Período)],tblEvento[],Tabelas!$D$1,FALSE)="Sim")),
        IF(JORNADA_PERIODO_1&lt;&gt;"",
IF(VLOOKUP(tblHorasMai[Dia],tblDiaUtil[[Abreviatura]:[1º Período]],3,FALSE)&gt;0,VLOOKUP(tblHorasMai[Dia],tblDiaUtil[[Abreviatura]:[1º Período]],3,FALSE),JORNADA_PERIODO_1),
IF(VLOOKUP(tblHorasMai[Dia],tblDiaUtil[[Abreviatura]:[1º Período]],3,FALSE)&gt;0,VLOOKUP(tblHorasMai[Dia],tblDiaUtil[[Abreviatura]:[1º Período]],3,FALSE),JORNADA/2)),
        IF(AND(ISNUMBER(tblHorasMai[Saída - 1 (Almoço)]),ISNUMBER(tblHorasMai[Entrada - 1])),
              IF(OR(AND(tblHorasMai[Evento 
(1º Período)]&lt;&gt;"",IF(ISERROR(VLOOKUP(tblHorasMai[Evento 
(1º Período)],tblEvento[],Tabelas!$E$1,FALSE)),FALSE,VLOOKUP(tblHorasMai[Evento 
(1º Período)],tblEvento[],Tabelas!$E$1,FALSE)="Sim")),IF(VLOOKUP(TEXT(tblHorasMai[Data],"dddd"),tblDiaUtil[],2,FALSE)="Não",TRUE,FALSE)),
                   tblHorasMai[Saída - 1 (Almoço)]-tblHorasMai[Entrada - 1],
                   IF(OR(HOUR(tblHorasMai[Saída - 1 (Almoço)]-tblHorasMai[Entrada - 1])&gt;0,ROUND(tblHorasMai[Saída - 1 (Almoço)]-tblHorasMai[Entrada - 1],6)&gt;ROUND(CARENCIA,6)),
                          tblHorasMai[Saída - 1 (Almoço)]-tblHorasMai[Entrada - 1],
                          0)),
                    0)),0)</f>
        <v>0</v>
      </c>
      <c r="K35" s="4">
        <f>IF($B$6&lt;&gt;"",
IF(AND(tblHorasMai[Evento 
(2º Período)]&lt;&gt;"",IF(ISERROR(VLOOKUP(tblHorasMai[Evento 
(2º Período)],tblEvento[],Tabelas!$D$1,FALSE)),FALSE,VLOOKUP(tblHorasMai[Evento 
(2º Período)],tblEvento[],Tabelas!$D$1,FALSE)="Sim")),
        IF(JORNADA_PERIODO_2&lt;&gt;"",
IF(VLOOKUP(tblHorasMai[Dia],tblDiaUtil[[Abreviatura]:[2º Período]],4,FALSE)&gt;0,VLOOKUP(tblHorasMai[Dia],tblDiaUtil[[Abreviatura]:[2º Período]],4,FALSE),JORNADA_PERIODO_2),
IF(VLOOKUP(tblHorasMai[Dia],tblDiaUtil[[Abreviatura]:[2º Período]],4,FALSE)&gt;0,VLOOKUP(tblHorasMai[Dia],tblDiaUtil[[Abreviatura]:[2º Período]],4,FALSE),JORNADA/2)),
        IF(AND(ISNUMBER(tblHorasMai[Saída - 2]),ISNUMBER(tblHorasMai[Entrada - 2 (Almoço)])),
              IF(OR(AND(tblHorasMai[Evento 
(2º Período)]&lt;&gt;"",IF(ISERROR(VLOOKUP(tblHorasMai[Evento 
(2º Período)],tblEvento[],Tabelas!$E$1,FALSE)),FALSE,VLOOKUP(tblHorasMai[Evento 
(2º Período)],tblEvento[],Tabelas!$E$1,FALSE)="Sim")),IF(VLOOKUP(TEXT(tblHorasMai[Data],"dddd"),tblDiaUtil[],2,FALSE)="Não",TRUE,FALSE)),
                   tblHorasMai[Saída - 2]-tblHorasMai[Entrada - 2 (Almoço)],
                   IF(OR(HOUR(tblHorasMai[Saída - 2]-tblHorasMai[Entrada - 2 (Almoço)])&gt;0,MINUTE(tblHorasMai[Saída - 2]-tblHorasMai[Entrada - 2 (Almoço)])&gt;CARENCIA),
                         tblHorasMai[Saída - 2]-tblHorasMai[Entrada - 2 (Almoço)],
                         0)),
       0)),0)</f>
        <v>0</v>
      </c>
      <c r="L35" s="4">
        <f>tblHorasMai[Horas Trabalhadas (1º Período)]+tblHorasMai[Horas Trabalhadas (2º Período)]</f>
        <v>0</v>
      </c>
      <c r="M35" s="4" t="str">
        <f>IF(tblHorasMai[Data]&lt;&gt;"",
        IF(
AND(VLOOKUP(TEXT(tblHorasMai[Data],"dddd"),tblDiaUtil[],3,FALSE)="Sim",IF(tblHorasMai[Evento 
(1º Período)]&lt;&gt;"",IF(VLOOKUP(tblHorasMai[Evento 
(1º Período)],tblEvento[],Tabelas!$E$1,FALSE)="Sim",FALSE,TRUE),TRUE),IF(tblHorasMai[Evento 
(2º Período)]&lt;&gt;"",IF(VLOOKUP(tblHorasMai[Evento 
(2º Período)],tblEvento[],Tabelas!$E$1,FALSE)="Sim",FALSE,TRUE),TRUE)),
              IF(VLOOKUP(tblHorasMai[Dia],tblDiaUtil[[Abreviatura]:[1º Período]],3,FALSE)&gt;0,VLOOKUP(tblHorasMai[Dia],tblDiaUtil[[Abreviatura]:[1º Período]],3,FALSE),JORNADA),
              ""),
         "")</f>
        <v/>
      </c>
      <c r="N35" s="14">
        <f>IF(OR(tblHorasMai[Horas Trabalhadas (1º Período)]&lt;&gt;0,tblHorasMai[Horas Trabalhadas (2º Período)]&lt;&gt;0),
        IF(ISNUMBER(tblHorasMai[Jornada Diária]),
              IF(tblHorasMai[Jornada Diária]&gt;(tblHorasMai[Horas Trabalhadas (2º Período)]+tblHorasMai[Horas Trabalhadas (1º Período)]),
                     IF(ROUND((tblHorasMai[Jornada Diária]-(tblHorasMai[Horas Trabalhadas (2º Período)]+tblHorasMai[Horas Trabalhadas (1º Período)])),6)&gt;ROUND(CARENCIA,6),
                           -tblHorasMai[Jornada Diária]+(tblHorasMai[Horas Trabalhadas (2º Período)]+tblHorasMai[Horas Trabalhadas (1º Período)]),
                           0),
                      IF(ROUND((tblHorasMai[Jornada Diária]-(tblHorasMai[Horas Trabalhadas (2º Período)]+tblHorasMai[Horas Trabalhadas (1º Período)])),6)&lt;ROUND(-CARENCIA,6),
                           -tblHorasMai[Jornada Diária]+(tblHorasMai[Horas Trabalhadas (2º Período)]+tblHorasMai[Horas Trabalhadas (1º Período)]),
                           0)),
              tblHorasMai[Horas Trabalhadas (2º Período)]+tblHorasMai[Horas Trabalhadas (1º Período)]),
         IF(AND(IF(ISERROR(VLOOKUP(tblHorasMai[Evento 
(1º Período)],tblEvento[[Evento]:[Libera o Período]],4,FALSE)),FALSE,IF(VLOOKUP(tblHorasMai[Evento 
(1º Período)],tblEvento[[Evento]:[Libera o Período]],4,FALSE)="Não",TRUE,FALSE)),IF(ISERROR(VLOOKUP(tblHorasMai[Evento 
(2º Período)],tblEvento[[Evento]:[Libera o Período]],4,FALSE)),FALSE,IF(VLOOKUP(tblHorasMai[Evento 
(2º Período)],tblEvento[[Evento]:[Libera o Período]],4,FALSE)="Não",TRUE,FALSE))),
-IF(VLOOKUP(tblHorasMai[Dia],tblDiaUtil[[Abreviatura]:[Total Jornada]],5,FALSE)&lt;&gt;"",VLOOKUP(tblHorasMai[Dia],tblDiaUtil[[Abreviatura]:[Total Jornada]],5,FALSE),JORNADA),
IF(IF(ISERROR(VLOOKUP(tblHorasMai[Evento 
(1º Período)],tblEvento[[Evento]:[Libera o Período]],4,FALSE)),FALSE,
IF(VLOOKUP(tblHorasMai[Evento 
(1º Período)],tblEvento[[Evento]:[Libera o Período]],4,FALSE)="Não",TRUE,FALSE)
),
-IF(VLOOKUP(tblHorasMai[Dia],tblDiaUtil[[Abreviatura]:[1º Período]],3,FALSE)&lt;&gt;"",VLOOKUP(tblHorasMai[Dia],tblDiaUtil[[Abreviatura]:[1º Período]],3,FALSE),JORNADA_PERIODO_1),
IF(IF(ISERROR(VLOOKUP(tblHorasMai[Evento 
(2º Período)],tblEvento[[Evento]:[Libera o Período]],4,FALSE)),FALSE,IF(VLOOKUP(tblHorasMai[Evento 
(2º Período)],tblEvento[[Evento]:[Libera o Período]],4,FALSE)="Não",TRUE,FALSE)),
-IF(VLOOKUP(tblHorasMai[Dia],tblDiaUtil[[Abreviatura]:[2º Período]],4,FALSE)&lt;&gt;"",VLOOKUP(tblHorasMai[Dia],tblDiaUtil[[Abreviatura]:[2º Período]],4,FALSE),JORNADA_PERIODO_2),0))))</f>
        <v>0</v>
      </c>
      <c r="O35" s="14">
        <f>IF(tblHorasMai[Horas Trabalhadas Além Jornada]&gt;0,
        IF(ISNUMBER(tblHorasMai[Jornada Diária]),
              IF(HOUR(tblHorasMai[Horas Trabalhadas Além Jornada])&gt;=VLOOKUP(LIMITE,tblLimiteHora[],Tabelas!$I$1,FALSE),
                    VLOOKUP(LIMITE,tblLimiteHora[],Tabelas!$J$1,FALSE),
                    tblHorasMai[Horas Trabalhadas Além Jornada]),
              tblHorasMai[Horas Trabalhadas Além Jornada]),
        tblHorasMai[Horas Trabalhadas Além Jornada])+O34</f>
        <v>0</v>
      </c>
      <c r="P35" s="14" t="str">
        <f>IF(tblHorasMai[Horas Trabalhadas Além Jornada]&lt;0,IF(OR(tblHorasMai[Evento 
(1º Período)]="",tblHorasMai[Evento 
(2º Período)]=""),tblHorasMai[Horas Trabalhadas Além Jornada],""),"")</f>
        <v/>
      </c>
      <c r="Q35" s="14" t="str">
        <f>IF(tblHorasMai[Jornada Diária]&lt;&gt;"",IF((N(tblHorasMai[Jornada Diária])-ABS(N(tblHorasMai[Horas Trabalhadas Além Jornada])))=0,1,""),"")</f>
        <v/>
      </c>
      <c r="R35" s="14" t="str">
        <f>IF(tblHorasMai[Horas Trabalhadas Além Jornada]&gt;0,
IF(AND(VLOOKUP(TEXT(tblHorasMai[Data],"dddd"),tblDiaUtil[],3,FALSE)="Sim",IF(tblHorasMai[Evento 
(1º Período)]&lt;&gt;"",IF(VLOOKUP(tblHorasMai[Evento 
(1º Período)],tblEvento[],Tabelas!$E$1,FALSE)="Sim",FALSE,TRUE),TRUE),IF(tblHorasMai[Evento 
(2º Período)]&lt;&gt;"",IF(VLOOKUP(tblHorasMai[Evento 
(2º Período)],tblEvento[],Tabelas!$E$1,FALSE)="Sim",FALSE,TRUE),TRUE)),
tblHorasMai[Horas Trabalhadas Além Jornada],""),"")</f>
        <v/>
      </c>
      <c r="S35" s="14" t="str">
        <f>IF(tblHorasMai[Horas Trabalhadas Além Jornada]&gt;0,
IF(OR(VLOOKUP(TEXT(tblHorasMai[Data],"dddd"),tblDiaUtil[],3,FALSE)="Não",IF(tblHorasMai[Evento 
(1º Período)]&lt;&gt;"",IF(VLOOKUP(tblHorasMai[Evento 
(1º Período)],tblEvento[],Tabelas!$E$1,FALSE)="Sim",TRUE,FALSE),FALSE),IF(tblHorasMai[Evento 
(2º Período)]&lt;&gt;"",IF(VLOOKUP(tblHorasMai[Evento 
(2º Período)],tblEvento[],Tabelas!$E$1,FALSE)="Sim",TRUE,FALSE),FALSE)),
tblHorasMai[Horas Trabalhadas Além Jornada],""),"")</f>
        <v/>
      </c>
      <c r="T35" s="15" t="str">
        <f>IF(tblHorasMai[Evento 
(1º Período)]&lt;&gt;""," - " &amp;VLOOKUP(tblHorasMai[Evento 
(1º Período)],tblEvento[],Tabelas!$F$1,FALSE),"")&amp;IF(AND(tblHorasMai[Evento 
(2º Período)]&lt;&gt;"",tblHorasMai[Evento 
(2º Período)]&lt;&gt;tblHorasMai[Evento 
(1º Período)])," - " &amp; VLOOKUP(tblHorasMai[Evento 
(2º Período)],tblEvento[],Tabelas!$F$1,FALSE),"")</f>
        <v/>
      </c>
    </row>
    <row r="36" spans="2:21" x14ac:dyDescent="0.25">
      <c r="B36" s="11" t="str">
        <f t="shared" si="0"/>
        <v/>
      </c>
      <c r="C36" s="12" t="str">
        <f>TEXT(tblHorasMai[Data],"ddd")</f>
        <v/>
      </c>
      <c r="D36" s="25"/>
      <c r="E36" s="1"/>
      <c r="F36" s="1"/>
      <c r="G36" s="1"/>
      <c r="H36" s="1"/>
      <c r="I36" s="53"/>
      <c r="J36" s="4">
        <f>IF($B$6&lt;&gt;"",
IF(AND(tblHorasMai[Evento 
(1º Período)]&lt;&gt;"",IF(ISERROR(VLOOKUP(tblHorasMai[Evento 
(1º Período)],tblEvento[],Tabelas!$D$1,FALSE)),FALSE,VLOOKUP(tblHorasMai[Evento 
(1º Período)],tblEvento[],Tabelas!$D$1,FALSE)="Sim")),
        IF(JORNADA_PERIODO_1&lt;&gt;"",
IF(VLOOKUP(tblHorasMai[Dia],tblDiaUtil[[Abreviatura]:[1º Período]],3,FALSE)&gt;0,VLOOKUP(tblHorasMai[Dia],tblDiaUtil[[Abreviatura]:[1º Período]],3,FALSE),JORNADA_PERIODO_1),
IF(VLOOKUP(tblHorasMai[Dia],tblDiaUtil[[Abreviatura]:[1º Período]],3,FALSE)&gt;0,VLOOKUP(tblHorasMai[Dia],tblDiaUtil[[Abreviatura]:[1º Período]],3,FALSE),JORNADA/2)),
        IF(AND(ISNUMBER(tblHorasMai[Saída - 1 (Almoço)]),ISNUMBER(tblHorasMai[Entrada - 1])),
              IF(OR(AND(tblHorasMai[Evento 
(1º Período)]&lt;&gt;"",IF(ISERROR(VLOOKUP(tblHorasMai[Evento 
(1º Período)],tblEvento[],Tabelas!$E$1,FALSE)),FALSE,VLOOKUP(tblHorasMai[Evento 
(1º Período)],tblEvento[],Tabelas!$E$1,FALSE)="Sim")),IF(VLOOKUP(TEXT(tblHorasMai[Data],"dddd"),tblDiaUtil[],2,FALSE)="Não",TRUE,FALSE)),
                   tblHorasMai[Saída - 1 (Almoço)]-tblHorasMai[Entrada - 1],
                   IF(OR(HOUR(tblHorasMai[Saída - 1 (Almoço)]-tblHorasMai[Entrada - 1])&gt;0,ROUND(tblHorasMai[Saída - 1 (Almoço)]-tblHorasMai[Entrada - 1],6)&gt;ROUND(CARENCIA,6)),
                          tblHorasMai[Saída - 1 (Almoço)]-tblHorasMai[Entrada - 1],
                          0)),
                    0)),0)</f>
        <v>0</v>
      </c>
      <c r="K36" s="4">
        <f>IF($B$6&lt;&gt;"",
IF(AND(tblHorasMai[Evento 
(2º Período)]&lt;&gt;"",IF(ISERROR(VLOOKUP(tblHorasMai[Evento 
(2º Período)],tblEvento[],Tabelas!$D$1,FALSE)),FALSE,VLOOKUP(tblHorasMai[Evento 
(2º Período)],tblEvento[],Tabelas!$D$1,FALSE)="Sim")),
        IF(JORNADA_PERIODO_2&lt;&gt;"",
IF(VLOOKUP(tblHorasMai[Dia],tblDiaUtil[[Abreviatura]:[2º Período]],4,FALSE)&gt;0,VLOOKUP(tblHorasMai[Dia],tblDiaUtil[[Abreviatura]:[2º Período]],4,FALSE),JORNADA_PERIODO_2),
IF(VLOOKUP(tblHorasMai[Dia],tblDiaUtil[[Abreviatura]:[2º Período]],4,FALSE)&gt;0,VLOOKUP(tblHorasMai[Dia],tblDiaUtil[[Abreviatura]:[2º Período]],4,FALSE),JORNADA/2)),
        IF(AND(ISNUMBER(tblHorasMai[Saída - 2]),ISNUMBER(tblHorasMai[Entrada - 2 (Almoço)])),
              IF(OR(AND(tblHorasMai[Evento 
(2º Período)]&lt;&gt;"",IF(ISERROR(VLOOKUP(tblHorasMai[Evento 
(2º Período)],tblEvento[],Tabelas!$E$1,FALSE)),FALSE,VLOOKUP(tblHorasMai[Evento 
(2º Período)],tblEvento[],Tabelas!$E$1,FALSE)="Sim")),IF(VLOOKUP(TEXT(tblHorasMai[Data],"dddd"),tblDiaUtil[],2,FALSE)="Não",TRUE,FALSE)),
                   tblHorasMai[Saída - 2]-tblHorasMai[Entrada - 2 (Almoço)],
                   IF(OR(HOUR(tblHorasMai[Saída - 2]-tblHorasMai[Entrada - 2 (Almoço)])&gt;0,MINUTE(tblHorasMai[Saída - 2]-tblHorasMai[Entrada - 2 (Almoço)])&gt;CARENCIA),
                         tblHorasMai[Saída - 2]-tblHorasMai[Entrada - 2 (Almoço)],
                         0)),
       0)),0)</f>
        <v>0</v>
      </c>
      <c r="L36" s="4">
        <f>tblHorasMai[Horas Trabalhadas (1º Período)]+tblHorasMai[Horas Trabalhadas (2º Período)]</f>
        <v>0</v>
      </c>
      <c r="M36" s="4" t="str">
        <f>IF(tblHorasMai[Data]&lt;&gt;"",
        IF(
AND(VLOOKUP(TEXT(tblHorasMai[Data],"dddd"),tblDiaUtil[],3,FALSE)="Sim",IF(tblHorasMai[Evento 
(1º Período)]&lt;&gt;"",IF(VLOOKUP(tblHorasMai[Evento 
(1º Período)],tblEvento[],Tabelas!$E$1,FALSE)="Sim",FALSE,TRUE),TRUE),IF(tblHorasMai[Evento 
(2º Período)]&lt;&gt;"",IF(VLOOKUP(tblHorasMai[Evento 
(2º Período)],tblEvento[],Tabelas!$E$1,FALSE)="Sim",FALSE,TRUE),TRUE)),
              IF(VLOOKUP(tblHorasMai[Dia],tblDiaUtil[[Abreviatura]:[1º Período]],3,FALSE)&gt;0,VLOOKUP(tblHorasMai[Dia],tblDiaUtil[[Abreviatura]:[1º Período]],3,FALSE),JORNADA),
              ""),
         "")</f>
        <v/>
      </c>
      <c r="N36" s="14">
        <f>IF(OR(tblHorasMai[Horas Trabalhadas (1º Período)]&lt;&gt;0,tblHorasMai[Horas Trabalhadas (2º Período)]&lt;&gt;0),
        IF(ISNUMBER(tblHorasMai[Jornada Diária]),
              IF(tblHorasMai[Jornada Diária]&gt;(tblHorasMai[Horas Trabalhadas (2º Período)]+tblHorasMai[Horas Trabalhadas (1º Período)]),
                     IF(ROUND((tblHorasMai[Jornada Diária]-(tblHorasMai[Horas Trabalhadas (2º Período)]+tblHorasMai[Horas Trabalhadas (1º Período)])),6)&gt;ROUND(CARENCIA,6),
                           -tblHorasMai[Jornada Diária]+(tblHorasMai[Horas Trabalhadas (2º Período)]+tblHorasMai[Horas Trabalhadas (1º Período)]),
                           0),
                      IF(ROUND((tblHorasMai[Jornada Diária]-(tblHorasMai[Horas Trabalhadas (2º Período)]+tblHorasMai[Horas Trabalhadas (1º Período)])),6)&lt;ROUND(-CARENCIA,6),
                           -tblHorasMai[Jornada Diária]+(tblHorasMai[Horas Trabalhadas (2º Período)]+tblHorasMai[Horas Trabalhadas (1º Período)]),
                           0)),
              tblHorasMai[Horas Trabalhadas (2º Período)]+tblHorasMai[Horas Trabalhadas (1º Período)]),
         IF(AND(IF(ISERROR(VLOOKUP(tblHorasMai[Evento 
(1º Período)],tblEvento[[Evento]:[Libera o Período]],4,FALSE)),FALSE,IF(VLOOKUP(tblHorasMai[Evento 
(1º Período)],tblEvento[[Evento]:[Libera o Período]],4,FALSE)="Não",TRUE,FALSE)),IF(ISERROR(VLOOKUP(tblHorasMai[Evento 
(2º Período)],tblEvento[[Evento]:[Libera o Período]],4,FALSE)),FALSE,IF(VLOOKUP(tblHorasMai[Evento 
(2º Período)],tblEvento[[Evento]:[Libera o Período]],4,FALSE)="Não",TRUE,FALSE))),
-IF(VLOOKUP(tblHorasMai[Dia],tblDiaUtil[[Abreviatura]:[Total Jornada]],5,FALSE)&lt;&gt;"",VLOOKUP(tblHorasMai[Dia],tblDiaUtil[[Abreviatura]:[Total Jornada]],5,FALSE),JORNADA),
IF(IF(ISERROR(VLOOKUP(tblHorasMai[Evento 
(1º Período)],tblEvento[[Evento]:[Libera o Período]],4,FALSE)),FALSE,
IF(VLOOKUP(tblHorasMai[Evento 
(1º Período)],tblEvento[[Evento]:[Libera o Período]],4,FALSE)="Não",TRUE,FALSE)
),
-IF(VLOOKUP(tblHorasMai[Dia],tblDiaUtil[[Abreviatura]:[1º Período]],3,FALSE)&lt;&gt;"",VLOOKUP(tblHorasMai[Dia],tblDiaUtil[[Abreviatura]:[1º Período]],3,FALSE),JORNADA_PERIODO_1),
IF(IF(ISERROR(VLOOKUP(tblHorasMai[Evento 
(2º Período)],tblEvento[[Evento]:[Libera o Período]],4,FALSE)),FALSE,IF(VLOOKUP(tblHorasMai[Evento 
(2º Período)],tblEvento[[Evento]:[Libera o Período]],4,FALSE)="Não",TRUE,FALSE)),
-IF(VLOOKUP(tblHorasMai[Dia],tblDiaUtil[[Abreviatura]:[2º Período]],4,FALSE)&lt;&gt;"",VLOOKUP(tblHorasMai[Dia],tblDiaUtil[[Abreviatura]:[2º Período]],4,FALSE),JORNADA_PERIODO_2),0))))</f>
        <v>0</v>
      </c>
      <c r="O36" s="14">
        <f>IF(tblHorasMai[Horas Trabalhadas Além Jornada]&gt;0,
        IF(ISNUMBER(tblHorasMai[Jornada Diária]),
              IF(HOUR(tblHorasMai[Horas Trabalhadas Além Jornada])&gt;=VLOOKUP(LIMITE,tblLimiteHora[],Tabelas!$I$1,FALSE),
                    VLOOKUP(LIMITE,tblLimiteHora[],Tabelas!$J$1,FALSE),
                    tblHorasMai[Horas Trabalhadas Além Jornada]),
              tblHorasMai[Horas Trabalhadas Além Jornada]),
        tblHorasMai[Horas Trabalhadas Além Jornada])+O35</f>
        <v>0</v>
      </c>
      <c r="P36" s="14" t="str">
        <f>IF(tblHorasMai[Horas Trabalhadas Além Jornada]&lt;0,IF(OR(tblHorasMai[Evento 
(1º Período)]="",tblHorasMai[Evento 
(2º Período)]=""),tblHorasMai[Horas Trabalhadas Além Jornada],""),"")</f>
        <v/>
      </c>
      <c r="Q36" s="14" t="str">
        <f>IF(tblHorasMai[Jornada Diária]&lt;&gt;"",IF((N(tblHorasMai[Jornada Diária])-ABS(N(tblHorasMai[Horas Trabalhadas Além Jornada])))=0,1,""),"")</f>
        <v/>
      </c>
      <c r="R36" s="14" t="str">
        <f>IF(tblHorasMai[Horas Trabalhadas Além Jornada]&gt;0,
IF(AND(VLOOKUP(TEXT(tblHorasMai[Data],"dddd"),tblDiaUtil[],3,FALSE)="Sim",IF(tblHorasMai[Evento 
(1º Período)]&lt;&gt;"",IF(VLOOKUP(tblHorasMai[Evento 
(1º Período)],tblEvento[],Tabelas!$E$1,FALSE)="Sim",FALSE,TRUE),TRUE),IF(tblHorasMai[Evento 
(2º Período)]&lt;&gt;"",IF(VLOOKUP(tblHorasMai[Evento 
(2º Período)],tblEvento[],Tabelas!$E$1,FALSE)="Sim",FALSE,TRUE),TRUE)),
tblHorasMai[Horas Trabalhadas Além Jornada],""),"")</f>
        <v/>
      </c>
      <c r="S36" s="14" t="str">
        <f>IF(tblHorasMai[Horas Trabalhadas Além Jornada]&gt;0,
IF(OR(VLOOKUP(TEXT(tblHorasMai[Data],"dddd"),tblDiaUtil[],3,FALSE)="Não",IF(tblHorasMai[Evento 
(1º Período)]&lt;&gt;"",IF(VLOOKUP(tblHorasMai[Evento 
(1º Período)],tblEvento[],Tabelas!$E$1,FALSE)="Sim",TRUE,FALSE),FALSE),IF(tblHorasMai[Evento 
(2º Período)]&lt;&gt;"",IF(VLOOKUP(tblHorasMai[Evento 
(2º Período)],tblEvento[],Tabelas!$E$1,FALSE)="Sim",TRUE,FALSE),FALSE)),
tblHorasMai[Horas Trabalhadas Além Jornada],""),"")</f>
        <v/>
      </c>
      <c r="T36" s="15" t="str">
        <f>IF(tblHorasMai[Evento 
(1º Período)]&lt;&gt;""," - " &amp;VLOOKUP(tblHorasMai[Evento 
(1º Período)],tblEvento[],Tabelas!$F$1,FALSE),"")&amp;IF(AND(tblHorasMai[Evento 
(2º Período)]&lt;&gt;"",tblHorasMai[Evento 
(2º Período)]&lt;&gt;tblHorasMai[Evento 
(1º Período)])," - " &amp; VLOOKUP(tblHorasMai[Evento 
(2º Período)],tblEvento[],Tabelas!$F$1,FALSE),"")</f>
        <v/>
      </c>
    </row>
    <row r="37" spans="2:21" x14ac:dyDescent="0.25">
      <c r="B37" s="11" t="str">
        <f t="shared" si="0"/>
        <v/>
      </c>
      <c r="C37" s="12" t="str">
        <f>TEXT(tblHorasMai[Data],"ddd")</f>
        <v/>
      </c>
      <c r="D37" s="25"/>
      <c r="E37" s="1"/>
      <c r="F37" s="1"/>
      <c r="G37" s="1"/>
      <c r="H37" s="1"/>
      <c r="I37" s="53"/>
      <c r="J37" s="4">
        <f>IF($B$6&lt;&gt;"",
IF(AND(tblHorasMai[Evento 
(1º Período)]&lt;&gt;"",IF(ISERROR(VLOOKUP(tblHorasMai[Evento 
(1º Período)],tblEvento[],Tabelas!$D$1,FALSE)),FALSE,VLOOKUP(tblHorasMai[Evento 
(1º Período)],tblEvento[],Tabelas!$D$1,FALSE)="Sim")),
        IF(JORNADA_PERIODO_1&lt;&gt;"",
IF(VLOOKUP(tblHorasMai[Dia],tblDiaUtil[[Abreviatura]:[1º Período]],3,FALSE)&gt;0,VLOOKUP(tblHorasMai[Dia],tblDiaUtil[[Abreviatura]:[1º Período]],3,FALSE),JORNADA_PERIODO_1),
IF(VLOOKUP(tblHorasMai[Dia],tblDiaUtil[[Abreviatura]:[1º Período]],3,FALSE)&gt;0,VLOOKUP(tblHorasMai[Dia],tblDiaUtil[[Abreviatura]:[1º Período]],3,FALSE),JORNADA/2)),
        IF(AND(ISNUMBER(tblHorasMai[Saída - 1 (Almoço)]),ISNUMBER(tblHorasMai[Entrada - 1])),
              IF(OR(AND(tblHorasMai[Evento 
(1º Período)]&lt;&gt;"",IF(ISERROR(VLOOKUP(tblHorasMai[Evento 
(1º Período)],tblEvento[],Tabelas!$E$1,FALSE)),FALSE,VLOOKUP(tblHorasMai[Evento 
(1º Período)],tblEvento[],Tabelas!$E$1,FALSE)="Sim")),IF(VLOOKUP(TEXT(tblHorasMai[Data],"dddd"),tblDiaUtil[],2,FALSE)="Não",TRUE,FALSE)),
                   tblHorasMai[Saída - 1 (Almoço)]-tblHorasMai[Entrada - 1],
                   IF(OR(HOUR(tblHorasMai[Saída - 1 (Almoço)]-tblHorasMai[Entrada - 1])&gt;0,ROUND(tblHorasMai[Saída - 1 (Almoço)]-tblHorasMai[Entrada - 1],6)&gt;ROUND(CARENCIA,6)),
                          tblHorasMai[Saída - 1 (Almoço)]-tblHorasMai[Entrada - 1],
                          0)),
                    0)),0)</f>
        <v>0</v>
      </c>
      <c r="K37" s="4">
        <f>IF($B$6&lt;&gt;"",
IF(AND(tblHorasMai[Evento 
(2º Período)]&lt;&gt;"",IF(ISERROR(VLOOKUP(tblHorasMai[Evento 
(2º Período)],tblEvento[],Tabelas!$D$1,FALSE)),FALSE,VLOOKUP(tblHorasMai[Evento 
(2º Período)],tblEvento[],Tabelas!$D$1,FALSE)="Sim")),
        IF(JORNADA_PERIODO_2&lt;&gt;"",
IF(VLOOKUP(tblHorasMai[Dia],tblDiaUtil[[Abreviatura]:[2º Período]],4,FALSE)&gt;0,VLOOKUP(tblHorasMai[Dia],tblDiaUtil[[Abreviatura]:[2º Período]],4,FALSE),JORNADA_PERIODO_2),
IF(VLOOKUP(tblHorasMai[Dia],tblDiaUtil[[Abreviatura]:[2º Período]],4,FALSE)&gt;0,VLOOKUP(tblHorasMai[Dia],tblDiaUtil[[Abreviatura]:[2º Período]],4,FALSE),JORNADA/2)),
        IF(AND(ISNUMBER(tblHorasMai[Saída - 2]),ISNUMBER(tblHorasMai[Entrada - 2 (Almoço)])),
              IF(OR(AND(tblHorasMai[Evento 
(2º Período)]&lt;&gt;"",IF(ISERROR(VLOOKUP(tblHorasMai[Evento 
(2º Período)],tblEvento[],Tabelas!$E$1,FALSE)),FALSE,VLOOKUP(tblHorasMai[Evento 
(2º Período)],tblEvento[],Tabelas!$E$1,FALSE)="Sim")),IF(VLOOKUP(TEXT(tblHorasMai[Data],"dddd"),tblDiaUtil[],2,FALSE)="Não",TRUE,FALSE)),
                   tblHorasMai[Saída - 2]-tblHorasMai[Entrada - 2 (Almoço)],
                   IF(OR(HOUR(tblHorasMai[Saída - 2]-tblHorasMai[Entrada - 2 (Almoço)])&gt;0,MINUTE(tblHorasMai[Saída - 2]-tblHorasMai[Entrada - 2 (Almoço)])&gt;CARENCIA),
                         tblHorasMai[Saída - 2]-tblHorasMai[Entrada - 2 (Almoço)],
                         0)),
       0)),0)</f>
        <v>0</v>
      </c>
      <c r="L37" s="4">
        <f>tblHorasMai[Horas Trabalhadas (1º Período)]+tblHorasMai[Horas Trabalhadas (2º Período)]</f>
        <v>0</v>
      </c>
      <c r="M37" s="4" t="str">
        <f>IF(tblHorasMai[Data]&lt;&gt;"",
        IF(
AND(VLOOKUP(TEXT(tblHorasMai[Data],"dddd"),tblDiaUtil[],3,FALSE)="Sim",IF(tblHorasMai[Evento 
(1º Período)]&lt;&gt;"",IF(VLOOKUP(tblHorasMai[Evento 
(1º Período)],tblEvento[],Tabelas!$E$1,FALSE)="Sim",FALSE,TRUE),TRUE),IF(tblHorasMai[Evento 
(2º Período)]&lt;&gt;"",IF(VLOOKUP(tblHorasMai[Evento 
(2º Período)],tblEvento[],Tabelas!$E$1,FALSE)="Sim",FALSE,TRUE),TRUE)),
              IF(VLOOKUP(tblHorasMai[Dia],tblDiaUtil[[Abreviatura]:[1º Período]],3,FALSE)&gt;0,VLOOKUP(tblHorasMai[Dia],tblDiaUtil[[Abreviatura]:[1º Período]],3,FALSE),JORNADA),
              ""),
         "")</f>
        <v/>
      </c>
      <c r="N37" s="14">
        <f>IF(OR(tblHorasMai[Horas Trabalhadas (1º Período)]&lt;&gt;0,tblHorasMai[Horas Trabalhadas (2º Período)]&lt;&gt;0),
        IF(ISNUMBER(tblHorasMai[Jornada Diária]),
              IF(tblHorasMai[Jornada Diária]&gt;(tblHorasMai[Horas Trabalhadas (2º Período)]+tblHorasMai[Horas Trabalhadas (1º Período)]),
                     IF(ROUND((tblHorasMai[Jornada Diária]-(tblHorasMai[Horas Trabalhadas (2º Período)]+tblHorasMai[Horas Trabalhadas (1º Período)])),6)&gt;ROUND(CARENCIA,6),
                           -tblHorasMai[Jornada Diária]+(tblHorasMai[Horas Trabalhadas (2º Período)]+tblHorasMai[Horas Trabalhadas (1º Período)]),
                           0),
                      IF(ROUND((tblHorasMai[Jornada Diária]-(tblHorasMai[Horas Trabalhadas (2º Período)]+tblHorasMai[Horas Trabalhadas (1º Período)])),6)&lt;ROUND(-CARENCIA,6),
                           -tblHorasMai[Jornada Diária]+(tblHorasMai[Horas Trabalhadas (2º Período)]+tblHorasMai[Horas Trabalhadas (1º Período)]),
                           0)),
              tblHorasMai[Horas Trabalhadas (2º Período)]+tblHorasMai[Horas Trabalhadas (1º Período)]),
         IF(AND(IF(ISERROR(VLOOKUP(tblHorasMai[Evento 
(1º Período)],tblEvento[[Evento]:[Libera o Período]],4,FALSE)),FALSE,IF(VLOOKUP(tblHorasMai[Evento 
(1º Período)],tblEvento[[Evento]:[Libera o Período]],4,FALSE)="Não",TRUE,FALSE)),IF(ISERROR(VLOOKUP(tblHorasMai[Evento 
(2º Período)],tblEvento[[Evento]:[Libera o Período]],4,FALSE)),FALSE,IF(VLOOKUP(tblHorasMai[Evento 
(2º Período)],tblEvento[[Evento]:[Libera o Período]],4,FALSE)="Não",TRUE,FALSE))),
-IF(VLOOKUP(tblHorasMai[Dia],tblDiaUtil[[Abreviatura]:[Total Jornada]],5,FALSE)&lt;&gt;"",VLOOKUP(tblHorasMai[Dia],tblDiaUtil[[Abreviatura]:[Total Jornada]],5,FALSE),JORNADA),
IF(IF(ISERROR(VLOOKUP(tblHorasMai[Evento 
(1º Período)],tblEvento[[Evento]:[Libera o Período]],4,FALSE)),FALSE,
IF(VLOOKUP(tblHorasMai[Evento 
(1º Período)],tblEvento[[Evento]:[Libera o Período]],4,FALSE)="Não",TRUE,FALSE)
),
-IF(VLOOKUP(tblHorasMai[Dia],tblDiaUtil[[Abreviatura]:[1º Período]],3,FALSE)&lt;&gt;"",VLOOKUP(tblHorasMai[Dia],tblDiaUtil[[Abreviatura]:[1º Período]],3,FALSE),JORNADA_PERIODO_1),
IF(IF(ISERROR(VLOOKUP(tblHorasMai[Evento 
(2º Período)],tblEvento[[Evento]:[Libera o Período]],4,FALSE)),FALSE,IF(VLOOKUP(tblHorasMai[Evento 
(2º Período)],tblEvento[[Evento]:[Libera o Período]],4,FALSE)="Não",TRUE,FALSE)),
-IF(VLOOKUP(tblHorasMai[Dia],tblDiaUtil[[Abreviatura]:[2º Período]],4,FALSE)&lt;&gt;"",VLOOKUP(tblHorasMai[Dia],tblDiaUtil[[Abreviatura]:[2º Período]],4,FALSE),JORNADA_PERIODO_2),0))))</f>
        <v>0</v>
      </c>
      <c r="O37" s="14">
        <f>IF(tblHorasMai[Horas Trabalhadas Além Jornada]&gt;0,
        IF(ISNUMBER(tblHorasMai[Jornada Diária]),
              IF(HOUR(tblHorasMai[Horas Trabalhadas Além Jornada])&gt;=VLOOKUP(LIMITE,tblLimiteHora[],Tabelas!$I$1,FALSE),
                    VLOOKUP(LIMITE,tblLimiteHora[],Tabelas!$J$1,FALSE),
                    tblHorasMai[Horas Trabalhadas Além Jornada]),
              tblHorasMai[Horas Trabalhadas Além Jornada]),
        tblHorasMai[Horas Trabalhadas Além Jornada])+O36</f>
        <v>0</v>
      </c>
      <c r="P37" s="14" t="str">
        <f>IF(tblHorasMai[Horas Trabalhadas Além Jornada]&lt;0,IF(OR(tblHorasMai[Evento 
(1º Período)]="",tblHorasMai[Evento 
(2º Período)]=""),tblHorasMai[Horas Trabalhadas Além Jornada],""),"")</f>
        <v/>
      </c>
      <c r="Q37" s="14" t="str">
        <f>IF(tblHorasMai[Jornada Diária]&lt;&gt;"",IF((N(tblHorasMai[Jornada Diária])-ABS(N(tblHorasMai[Horas Trabalhadas Além Jornada])))=0,1,""),"")</f>
        <v/>
      </c>
      <c r="R37" s="14" t="str">
        <f>IF(tblHorasMai[Horas Trabalhadas Além Jornada]&gt;0,
IF(AND(VLOOKUP(TEXT(tblHorasMai[Data],"dddd"),tblDiaUtil[],3,FALSE)="Sim",IF(tblHorasMai[Evento 
(1º Período)]&lt;&gt;"",IF(VLOOKUP(tblHorasMai[Evento 
(1º Período)],tblEvento[],Tabelas!$E$1,FALSE)="Sim",FALSE,TRUE),TRUE),IF(tblHorasMai[Evento 
(2º Período)]&lt;&gt;"",IF(VLOOKUP(tblHorasMai[Evento 
(2º Período)],tblEvento[],Tabelas!$E$1,FALSE)="Sim",FALSE,TRUE),TRUE)),
tblHorasMai[Horas Trabalhadas Além Jornada],""),"")</f>
        <v/>
      </c>
      <c r="S37" s="14" t="str">
        <f>IF(tblHorasMai[Horas Trabalhadas Além Jornada]&gt;0,
IF(OR(VLOOKUP(TEXT(tblHorasMai[Data],"dddd"),tblDiaUtil[],3,FALSE)="Não",IF(tblHorasMai[Evento 
(1º Período)]&lt;&gt;"",IF(VLOOKUP(tblHorasMai[Evento 
(1º Período)],tblEvento[],Tabelas!$E$1,FALSE)="Sim",TRUE,FALSE),FALSE),IF(tblHorasMai[Evento 
(2º Período)]&lt;&gt;"",IF(VLOOKUP(tblHorasMai[Evento 
(2º Período)],tblEvento[],Tabelas!$E$1,FALSE)="Sim",TRUE,FALSE),FALSE)),
tblHorasMai[Horas Trabalhadas Além Jornada],""),"")</f>
        <v/>
      </c>
      <c r="T37" s="15" t="str">
        <f>IF(tblHorasMai[Evento 
(1º Período)]&lt;&gt;""," - " &amp;VLOOKUP(tblHorasMai[Evento 
(1º Período)],tblEvento[],Tabelas!$F$1,FALSE),"")&amp;IF(AND(tblHorasMai[Evento 
(2º Período)]&lt;&gt;"",tblHorasMai[Evento 
(2º Período)]&lt;&gt;tblHorasMai[Evento 
(1º Período)])," - " &amp; VLOOKUP(tblHorasMai[Evento 
(2º Período)],tblEvento[],Tabelas!$F$1,FALSE),"")</f>
        <v/>
      </c>
    </row>
    <row r="38" spans="2:21" x14ac:dyDescent="0.25">
      <c r="B38" s="11" t="str">
        <f t="shared" si="0"/>
        <v/>
      </c>
      <c r="C38" s="12" t="str">
        <f>TEXT(tblHorasMai[Data],"ddd")</f>
        <v/>
      </c>
      <c r="D38" s="25"/>
      <c r="E38" s="1"/>
      <c r="F38" s="1"/>
      <c r="G38" s="1"/>
      <c r="H38" s="1"/>
      <c r="I38" s="53"/>
      <c r="J38" s="4">
        <f>IF($B$6&lt;&gt;"",
IF(AND(tblHorasMai[Evento 
(1º Período)]&lt;&gt;"",IF(ISERROR(VLOOKUP(tblHorasMai[Evento 
(1º Período)],tblEvento[],Tabelas!$D$1,FALSE)),FALSE,VLOOKUP(tblHorasMai[Evento 
(1º Período)],tblEvento[],Tabelas!$D$1,FALSE)="Sim")),
        IF(JORNADA_PERIODO_1&lt;&gt;"",
IF(VLOOKUP(tblHorasMai[Dia],tblDiaUtil[[Abreviatura]:[1º Período]],3,FALSE)&gt;0,VLOOKUP(tblHorasMai[Dia],tblDiaUtil[[Abreviatura]:[1º Período]],3,FALSE),JORNADA_PERIODO_1),
IF(VLOOKUP(tblHorasMai[Dia],tblDiaUtil[[Abreviatura]:[1º Período]],3,FALSE)&gt;0,VLOOKUP(tblHorasMai[Dia],tblDiaUtil[[Abreviatura]:[1º Período]],3,FALSE),JORNADA/2)),
        IF(AND(ISNUMBER(tblHorasMai[Saída - 1 (Almoço)]),ISNUMBER(tblHorasMai[Entrada - 1])),
              IF(OR(AND(tblHorasMai[Evento 
(1º Período)]&lt;&gt;"",IF(ISERROR(VLOOKUP(tblHorasMai[Evento 
(1º Período)],tblEvento[],Tabelas!$E$1,FALSE)),FALSE,VLOOKUP(tblHorasMai[Evento 
(1º Período)],tblEvento[],Tabelas!$E$1,FALSE)="Sim")),IF(VLOOKUP(TEXT(tblHorasMai[Data],"dddd"),tblDiaUtil[],2,FALSE)="Não",TRUE,FALSE)),
                   tblHorasMai[Saída - 1 (Almoço)]-tblHorasMai[Entrada - 1],
                   IF(OR(HOUR(tblHorasMai[Saída - 1 (Almoço)]-tblHorasMai[Entrada - 1])&gt;0,ROUND(tblHorasMai[Saída - 1 (Almoço)]-tblHorasMai[Entrada - 1],6)&gt;ROUND(CARENCIA,6)),
                          tblHorasMai[Saída - 1 (Almoço)]-tblHorasMai[Entrada - 1],
                          0)),
                    0)),0)</f>
        <v>0</v>
      </c>
      <c r="K38" s="4">
        <f>IF($B$6&lt;&gt;"",
IF(AND(tblHorasMai[Evento 
(2º Período)]&lt;&gt;"",IF(ISERROR(VLOOKUP(tblHorasMai[Evento 
(2º Período)],tblEvento[],Tabelas!$D$1,FALSE)),FALSE,VLOOKUP(tblHorasMai[Evento 
(2º Período)],tblEvento[],Tabelas!$D$1,FALSE)="Sim")),
        IF(JORNADA_PERIODO_2&lt;&gt;"",
IF(VLOOKUP(tblHorasMai[Dia],tblDiaUtil[[Abreviatura]:[2º Período]],4,FALSE)&gt;0,VLOOKUP(tblHorasMai[Dia],tblDiaUtil[[Abreviatura]:[2º Período]],4,FALSE),JORNADA_PERIODO_2),
IF(VLOOKUP(tblHorasMai[Dia],tblDiaUtil[[Abreviatura]:[2º Período]],4,FALSE)&gt;0,VLOOKUP(tblHorasMai[Dia],tblDiaUtil[[Abreviatura]:[2º Período]],4,FALSE),JORNADA/2)),
        IF(AND(ISNUMBER(tblHorasMai[Saída - 2]),ISNUMBER(tblHorasMai[Entrada - 2 (Almoço)])),
              IF(OR(AND(tblHorasMai[Evento 
(2º Período)]&lt;&gt;"",IF(ISERROR(VLOOKUP(tblHorasMai[Evento 
(2º Período)],tblEvento[],Tabelas!$E$1,FALSE)),FALSE,VLOOKUP(tblHorasMai[Evento 
(2º Período)],tblEvento[],Tabelas!$E$1,FALSE)="Sim")),IF(VLOOKUP(TEXT(tblHorasMai[Data],"dddd"),tblDiaUtil[],2,FALSE)="Não",TRUE,FALSE)),
                   tblHorasMai[Saída - 2]-tblHorasMai[Entrada - 2 (Almoço)],
                   IF(OR(HOUR(tblHorasMai[Saída - 2]-tblHorasMai[Entrada - 2 (Almoço)])&gt;0,MINUTE(tblHorasMai[Saída - 2]-tblHorasMai[Entrada - 2 (Almoço)])&gt;CARENCIA),
                         tblHorasMai[Saída - 2]-tblHorasMai[Entrada - 2 (Almoço)],
                         0)),
       0)),0)</f>
        <v>0</v>
      </c>
      <c r="L38" s="4">
        <f>tblHorasMai[Horas Trabalhadas (1º Período)]+tblHorasMai[Horas Trabalhadas (2º Período)]</f>
        <v>0</v>
      </c>
      <c r="M38" s="4" t="str">
        <f>IF(tblHorasMai[Data]&lt;&gt;"",
        IF(
AND(VLOOKUP(TEXT(tblHorasMai[Data],"dddd"),tblDiaUtil[],3,FALSE)="Sim",IF(tblHorasMai[Evento 
(1º Período)]&lt;&gt;"",IF(VLOOKUP(tblHorasMai[Evento 
(1º Período)],tblEvento[],Tabelas!$E$1,FALSE)="Sim",FALSE,TRUE),TRUE),IF(tblHorasMai[Evento 
(2º Período)]&lt;&gt;"",IF(VLOOKUP(tblHorasMai[Evento 
(2º Período)],tblEvento[],Tabelas!$E$1,FALSE)="Sim",FALSE,TRUE),TRUE)),
              IF(VLOOKUP(tblHorasMai[Dia],tblDiaUtil[[Abreviatura]:[1º Período]],3,FALSE)&gt;0,VLOOKUP(tblHorasMai[Dia],tblDiaUtil[[Abreviatura]:[1º Período]],3,FALSE),JORNADA),
              ""),
         "")</f>
        <v/>
      </c>
      <c r="N38" s="14">
        <f>IF(OR(tblHorasMai[Horas Trabalhadas (1º Período)]&lt;&gt;0,tblHorasMai[Horas Trabalhadas (2º Período)]&lt;&gt;0),
        IF(ISNUMBER(tblHorasMai[Jornada Diária]),
              IF(tblHorasMai[Jornada Diária]&gt;(tblHorasMai[Horas Trabalhadas (2º Período)]+tblHorasMai[Horas Trabalhadas (1º Período)]),
                     IF(ROUND((tblHorasMai[Jornada Diária]-(tblHorasMai[Horas Trabalhadas (2º Período)]+tblHorasMai[Horas Trabalhadas (1º Período)])),6)&gt;ROUND(CARENCIA,6),
                           -tblHorasMai[Jornada Diária]+(tblHorasMai[Horas Trabalhadas (2º Período)]+tblHorasMai[Horas Trabalhadas (1º Período)]),
                           0),
                      IF(ROUND((tblHorasMai[Jornada Diária]-(tblHorasMai[Horas Trabalhadas (2º Período)]+tblHorasMai[Horas Trabalhadas (1º Período)])),6)&lt;ROUND(-CARENCIA,6),
                           -tblHorasMai[Jornada Diária]+(tblHorasMai[Horas Trabalhadas (2º Período)]+tblHorasMai[Horas Trabalhadas (1º Período)]),
                           0)),
              tblHorasMai[Horas Trabalhadas (2º Período)]+tblHorasMai[Horas Trabalhadas (1º Período)]),
         IF(AND(IF(ISERROR(VLOOKUP(tblHorasMai[Evento 
(1º Período)],tblEvento[[Evento]:[Libera o Período]],4,FALSE)),FALSE,IF(VLOOKUP(tblHorasMai[Evento 
(1º Período)],tblEvento[[Evento]:[Libera o Período]],4,FALSE)="Não",TRUE,FALSE)),IF(ISERROR(VLOOKUP(tblHorasMai[Evento 
(2º Período)],tblEvento[[Evento]:[Libera o Período]],4,FALSE)),FALSE,IF(VLOOKUP(tblHorasMai[Evento 
(2º Período)],tblEvento[[Evento]:[Libera o Período]],4,FALSE)="Não",TRUE,FALSE))),
-IF(VLOOKUP(tblHorasMai[Dia],tblDiaUtil[[Abreviatura]:[Total Jornada]],5,FALSE)&lt;&gt;"",VLOOKUP(tblHorasMai[Dia],tblDiaUtil[[Abreviatura]:[Total Jornada]],5,FALSE),JORNADA),
IF(IF(ISERROR(VLOOKUP(tblHorasMai[Evento 
(1º Período)],tblEvento[[Evento]:[Libera o Período]],4,FALSE)),FALSE,
IF(VLOOKUP(tblHorasMai[Evento 
(1º Período)],tblEvento[[Evento]:[Libera o Período]],4,FALSE)="Não",TRUE,FALSE)
),
-IF(VLOOKUP(tblHorasMai[Dia],tblDiaUtil[[Abreviatura]:[1º Período]],3,FALSE)&lt;&gt;"",VLOOKUP(tblHorasMai[Dia],tblDiaUtil[[Abreviatura]:[1º Período]],3,FALSE),JORNADA_PERIODO_1),
IF(IF(ISERROR(VLOOKUP(tblHorasMai[Evento 
(2º Período)],tblEvento[[Evento]:[Libera o Período]],4,FALSE)),FALSE,IF(VLOOKUP(tblHorasMai[Evento 
(2º Período)],tblEvento[[Evento]:[Libera o Período]],4,FALSE)="Não",TRUE,FALSE)),
-IF(VLOOKUP(tblHorasMai[Dia],tblDiaUtil[[Abreviatura]:[2º Período]],4,FALSE)&lt;&gt;"",VLOOKUP(tblHorasMai[Dia],tblDiaUtil[[Abreviatura]:[2º Período]],4,FALSE),JORNADA_PERIODO_2),0))))</f>
        <v>0</v>
      </c>
      <c r="O38" s="14">
        <f>IF(tblHorasMai[Horas Trabalhadas Além Jornada]&gt;0,
        IF(ISNUMBER(tblHorasMai[Jornada Diária]),
              IF(HOUR(tblHorasMai[Horas Trabalhadas Além Jornada])&gt;=VLOOKUP(LIMITE,tblLimiteHora[],Tabelas!$I$1,FALSE),
                    VLOOKUP(LIMITE,tblLimiteHora[],Tabelas!$J$1,FALSE),
                    tblHorasMai[Horas Trabalhadas Além Jornada]),
              tblHorasMai[Horas Trabalhadas Além Jornada]),
        tblHorasMai[Horas Trabalhadas Além Jornada])+O37</f>
        <v>0</v>
      </c>
      <c r="P38" s="14" t="str">
        <f>IF(tblHorasMai[Horas Trabalhadas Além Jornada]&lt;0,IF(OR(tblHorasMai[Evento 
(1º Período)]="",tblHorasMai[Evento 
(2º Período)]=""),tblHorasMai[Horas Trabalhadas Além Jornada],""),"")</f>
        <v/>
      </c>
      <c r="Q38" s="14" t="str">
        <f>IF(tblHorasMai[Jornada Diária]&lt;&gt;"",IF((N(tblHorasMai[Jornada Diária])-ABS(N(tblHorasMai[Horas Trabalhadas Além Jornada])))=0,1,""),"")</f>
        <v/>
      </c>
      <c r="R38" s="14" t="str">
        <f>IF(tblHorasMai[Horas Trabalhadas Além Jornada]&gt;0,
IF(AND(VLOOKUP(TEXT(tblHorasMai[Data],"dddd"),tblDiaUtil[],3,FALSE)="Sim",IF(tblHorasMai[Evento 
(1º Período)]&lt;&gt;"",IF(VLOOKUP(tblHorasMai[Evento 
(1º Período)],tblEvento[],Tabelas!$E$1,FALSE)="Sim",FALSE,TRUE),TRUE),IF(tblHorasMai[Evento 
(2º Período)]&lt;&gt;"",IF(VLOOKUP(tblHorasMai[Evento 
(2º Período)],tblEvento[],Tabelas!$E$1,FALSE)="Sim",FALSE,TRUE),TRUE)),
tblHorasMai[Horas Trabalhadas Além Jornada],""),"")</f>
        <v/>
      </c>
      <c r="S38" s="14" t="str">
        <f>IF(tblHorasMai[Horas Trabalhadas Além Jornada]&gt;0,
IF(OR(VLOOKUP(TEXT(tblHorasMai[Data],"dddd"),tblDiaUtil[],3,FALSE)="Não",IF(tblHorasMai[Evento 
(1º Período)]&lt;&gt;"",IF(VLOOKUP(tblHorasMai[Evento 
(1º Período)],tblEvento[],Tabelas!$E$1,FALSE)="Sim",TRUE,FALSE),FALSE),IF(tblHorasMai[Evento 
(2º Período)]&lt;&gt;"",IF(VLOOKUP(tblHorasMai[Evento 
(2º Período)],tblEvento[],Tabelas!$E$1,FALSE)="Sim",TRUE,FALSE),FALSE)),
tblHorasMai[Horas Trabalhadas Além Jornada],""),"")</f>
        <v/>
      </c>
      <c r="T38" s="15" t="str">
        <f>IF(tblHorasMai[Evento 
(1º Período)]&lt;&gt;""," - " &amp;VLOOKUP(tblHorasMai[Evento 
(1º Período)],tblEvento[],Tabelas!$F$1,FALSE),"")&amp;IF(AND(tblHorasMai[Evento 
(2º Período)]&lt;&gt;"",tblHorasMai[Evento 
(2º Período)]&lt;&gt;tblHorasMai[Evento 
(1º Período)])," - " &amp; VLOOKUP(tblHorasMai[Evento 
(2º Período)],tblEvento[],Tabelas!$F$1,FALSE),"")</f>
        <v/>
      </c>
    </row>
    <row r="39" spans="2:21" x14ac:dyDescent="0.25">
      <c r="B39" s="11" t="str">
        <f t="shared" si="0"/>
        <v/>
      </c>
      <c r="C39" s="12" t="str">
        <f>TEXT(tblHorasMai[Data],"ddd")</f>
        <v/>
      </c>
      <c r="D39" s="25"/>
      <c r="E39" s="1"/>
      <c r="F39" s="1"/>
      <c r="G39" s="1"/>
      <c r="H39" s="1"/>
      <c r="I39" s="53"/>
      <c r="J39" s="4">
        <f>IF($B$6&lt;&gt;"",
IF(AND(tblHorasMai[Evento 
(1º Período)]&lt;&gt;"",IF(ISERROR(VLOOKUP(tblHorasMai[Evento 
(1º Período)],tblEvento[],Tabelas!$D$1,FALSE)),FALSE,VLOOKUP(tblHorasMai[Evento 
(1º Período)],tblEvento[],Tabelas!$D$1,FALSE)="Sim")),
        IF(JORNADA_PERIODO_1&lt;&gt;"",
IF(VLOOKUP(tblHorasMai[Dia],tblDiaUtil[[Abreviatura]:[1º Período]],3,FALSE)&gt;0,VLOOKUP(tblHorasMai[Dia],tblDiaUtil[[Abreviatura]:[1º Período]],3,FALSE),JORNADA_PERIODO_1),
IF(VLOOKUP(tblHorasMai[Dia],tblDiaUtil[[Abreviatura]:[1º Período]],3,FALSE)&gt;0,VLOOKUP(tblHorasMai[Dia],tblDiaUtil[[Abreviatura]:[1º Período]],3,FALSE),JORNADA/2)),
        IF(AND(ISNUMBER(tblHorasMai[Saída - 1 (Almoço)]),ISNUMBER(tblHorasMai[Entrada - 1])),
              IF(OR(AND(tblHorasMai[Evento 
(1º Período)]&lt;&gt;"",IF(ISERROR(VLOOKUP(tblHorasMai[Evento 
(1º Período)],tblEvento[],Tabelas!$E$1,FALSE)),FALSE,VLOOKUP(tblHorasMai[Evento 
(1º Período)],tblEvento[],Tabelas!$E$1,FALSE)="Sim")),IF(VLOOKUP(TEXT(tblHorasMai[Data],"dddd"),tblDiaUtil[],2,FALSE)="Não",TRUE,FALSE)),
                   tblHorasMai[Saída - 1 (Almoço)]-tblHorasMai[Entrada - 1],
                   IF(OR(HOUR(tblHorasMai[Saída - 1 (Almoço)]-tblHorasMai[Entrada - 1])&gt;0,ROUND(tblHorasMai[Saída - 1 (Almoço)]-tblHorasMai[Entrada - 1],6)&gt;ROUND(CARENCIA,6)),
                          tblHorasMai[Saída - 1 (Almoço)]-tblHorasMai[Entrada - 1],
                          0)),
                    0)),0)</f>
        <v>0</v>
      </c>
      <c r="K39" s="4">
        <f>IF($B$6&lt;&gt;"",
IF(AND(tblHorasMai[Evento 
(2º Período)]&lt;&gt;"",IF(ISERROR(VLOOKUP(tblHorasMai[Evento 
(2º Período)],tblEvento[],Tabelas!$D$1,FALSE)),FALSE,VLOOKUP(tblHorasMai[Evento 
(2º Período)],tblEvento[],Tabelas!$D$1,FALSE)="Sim")),
        IF(JORNADA_PERIODO_2&lt;&gt;"",
IF(VLOOKUP(tblHorasMai[Dia],tblDiaUtil[[Abreviatura]:[2º Período]],4,FALSE)&gt;0,VLOOKUP(tblHorasMai[Dia],tblDiaUtil[[Abreviatura]:[2º Período]],4,FALSE),JORNADA_PERIODO_2),
IF(VLOOKUP(tblHorasMai[Dia],tblDiaUtil[[Abreviatura]:[2º Período]],4,FALSE)&gt;0,VLOOKUP(tblHorasMai[Dia],tblDiaUtil[[Abreviatura]:[2º Período]],4,FALSE),JORNADA/2)),
        IF(AND(ISNUMBER(tblHorasMai[Saída - 2]),ISNUMBER(tblHorasMai[Entrada - 2 (Almoço)])),
              IF(OR(AND(tblHorasMai[Evento 
(2º Período)]&lt;&gt;"",IF(ISERROR(VLOOKUP(tblHorasMai[Evento 
(2º Período)],tblEvento[],Tabelas!$E$1,FALSE)),FALSE,VLOOKUP(tblHorasMai[Evento 
(2º Período)],tblEvento[],Tabelas!$E$1,FALSE)="Sim")),IF(VLOOKUP(TEXT(tblHorasMai[Data],"dddd"),tblDiaUtil[],2,FALSE)="Não",TRUE,FALSE)),
                   tblHorasMai[Saída - 2]-tblHorasMai[Entrada - 2 (Almoço)],
                   IF(OR(HOUR(tblHorasMai[Saída - 2]-tblHorasMai[Entrada - 2 (Almoço)])&gt;0,MINUTE(tblHorasMai[Saída - 2]-tblHorasMai[Entrada - 2 (Almoço)])&gt;CARENCIA),
                         tblHorasMai[Saída - 2]-tblHorasMai[Entrada - 2 (Almoço)],
                         0)),
       0)),0)</f>
        <v>0</v>
      </c>
      <c r="L39" s="4">
        <f>tblHorasMai[Horas Trabalhadas (1º Período)]+tblHorasMai[Horas Trabalhadas (2º Período)]</f>
        <v>0</v>
      </c>
      <c r="M39" s="4" t="str">
        <f>IF(tblHorasMai[Data]&lt;&gt;"",
        IF(
AND(VLOOKUP(TEXT(tblHorasMai[Data],"dddd"),tblDiaUtil[],3,FALSE)="Sim",IF(tblHorasMai[Evento 
(1º Período)]&lt;&gt;"",IF(VLOOKUP(tblHorasMai[Evento 
(1º Período)],tblEvento[],Tabelas!$E$1,FALSE)="Sim",FALSE,TRUE),TRUE),IF(tblHorasMai[Evento 
(2º Período)]&lt;&gt;"",IF(VLOOKUP(tblHorasMai[Evento 
(2º Período)],tblEvento[],Tabelas!$E$1,FALSE)="Sim",FALSE,TRUE),TRUE)),
              IF(VLOOKUP(tblHorasMai[Dia],tblDiaUtil[[Abreviatura]:[1º Período]],3,FALSE)&gt;0,VLOOKUP(tblHorasMai[Dia],tblDiaUtil[[Abreviatura]:[1º Período]],3,FALSE),JORNADA),
              ""),
         "")</f>
        <v/>
      </c>
      <c r="N39" s="14">
        <f>IF(OR(tblHorasMai[Horas Trabalhadas (1º Período)]&lt;&gt;0,tblHorasMai[Horas Trabalhadas (2º Período)]&lt;&gt;0),
        IF(ISNUMBER(tblHorasMai[Jornada Diária]),
              IF(tblHorasMai[Jornada Diária]&gt;(tblHorasMai[Horas Trabalhadas (2º Período)]+tblHorasMai[Horas Trabalhadas (1º Período)]),
                     IF(ROUND((tblHorasMai[Jornada Diária]-(tblHorasMai[Horas Trabalhadas (2º Período)]+tblHorasMai[Horas Trabalhadas (1º Período)])),6)&gt;ROUND(CARENCIA,6),
                           -tblHorasMai[Jornada Diária]+(tblHorasMai[Horas Trabalhadas (2º Período)]+tblHorasMai[Horas Trabalhadas (1º Período)]),
                           0),
                      IF(ROUND((tblHorasMai[Jornada Diária]-(tblHorasMai[Horas Trabalhadas (2º Período)]+tblHorasMai[Horas Trabalhadas (1º Período)])),6)&lt;ROUND(-CARENCIA,6),
                           -tblHorasMai[Jornada Diária]+(tblHorasMai[Horas Trabalhadas (2º Período)]+tblHorasMai[Horas Trabalhadas (1º Período)]),
                           0)),
              tblHorasMai[Horas Trabalhadas (2º Período)]+tblHorasMai[Horas Trabalhadas (1º Período)]),
         IF(AND(IF(ISERROR(VLOOKUP(tblHorasMai[Evento 
(1º Período)],tblEvento[[Evento]:[Libera o Período]],4,FALSE)),FALSE,IF(VLOOKUP(tblHorasMai[Evento 
(1º Período)],tblEvento[[Evento]:[Libera o Período]],4,FALSE)="Não",TRUE,FALSE)),IF(ISERROR(VLOOKUP(tblHorasMai[Evento 
(2º Período)],tblEvento[[Evento]:[Libera o Período]],4,FALSE)),FALSE,IF(VLOOKUP(tblHorasMai[Evento 
(2º Período)],tblEvento[[Evento]:[Libera o Período]],4,FALSE)="Não",TRUE,FALSE))),
-IF(VLOOKUP(tblHorasMai[Dia],tblDiaUtil[[Abreviatura]:[Total Jornada]],5,FALSE)&lt;&gt;"",VLOOKUP(tblHorasMai[Dia],tblDiaUtil[[Abreviatura]:[Total Jornada]],5,FALSE),JORNADA),
IF(IF(ISERROR(VLOOKUP(tblHorasMai[Evento 
(1º Período)],tblEvento[[Evento]:[Libera o Período]],4,FALSE)),FALSE,
IF(VLOOKUP(tblHorasMai[Evento 
(1º Período)],tblEvento[[Evento]:[Libera o Período]],4,FALSE)="Não",TRUE,FALSE)
),
-IF(VLOOKUP(tblHorasMai[Dia],tblDiaUtil[[Abreviatura]:[1º Período]],3,FALSE)&lt;&gt;"",VLOOKUP(tblHorasMai[Dia],tblDiaUtil[[Abreviatura]:[1º Período]],3,FALSE),JORNADA_PERIODO_1),
IF(IF(ISERROR(VLOOKUP(tblHorasMai[Evento 
(2º Período)],tblEvento[[Evento]:[Libera o Período]],4,FALSE)),FALSE,IF(VLOOKUP(tblHorasMai[Evento 
(2º Período)],tblEvento[[Evento]:[Libera o Período]],4,FALSE)="Não",TRUE,FALSE)),
-IF(VLOOKUP(tblHorasMai[Dia],tblDiaUtil[[Abreviatura]:[2º Período]],4,FALSE)&lt;&gt;"",VLOOKUP(tblHorasMai[Dia],tblDiaUtil[[Abreviatura]:[2º Período]],4,FALSE),JORNADA_PERIODO_2),0))))</f>
        <v>0</v>
      </c>
      <c r="O39" s="14">
        <f>IF(tblHorasMai[Horas Trabalhadas Além Jornada]&gt;0,
        IF(ISNUMBER(tblHorasMai[Jornada Diária]),
              IF(HOUR(tblHorasMai[Horas Trabalhadas Além Jornada])&gt;=VLOOKUP(LIMITE,tblLimiteHora[],Tabelas!$I$1,FALSE),
                    VLOOKUP(LIMITE,tblLimiteHora[],Tabelas!$J$1,FALSE),
                    tblHorasMai[Horas Trabalhadas Além Jornada]),
              tblHorasMai[Horas Trabalhadas Além Jornada]),
        tblHorasMai[Horas Trabalhadas Além Jornada])+O38</f>
        <v>0</v>
      </c>
      <c r="P39" s="14" t="str">
        <f>IF(tblHorasMai[Horas Trabalhadas Além Jornada]&lt;0,IF(OR(tblHorasMai[Evento 
(1º Período)]="",tblHorasMai[Evento 
(2º Período)]=""),tblHorasMai[Horas Trabalhadas Além Jornada],""),"")</f>
        <v/>
      </c>
      <c r="Q39" s="14" t="str">
        <f>IF(tblHorasMai[Jornada Diária]&lt;&gt;"",IF((N(tblHorasMai[Jornada Diária])-ABS(N(tblHorasMai[Horas Trabalhadas Além Jornada])))=0,1,""),"")</f>
        <v/>
      </c>
      <c r="R39" s="14" t="str">
        <f>IF(tblHorasMai[Horas Trabalhadas Além Jornada]&gt;0,
IF(AND(VLOOKUP(TEXT(tblHorasMai[Data],"dddd"),tblDiaUtil[],3,FALSE)="Sim",IF(tblHorasMai[Evento 
(1º Período)]&lt;&gt;"",IF(VLOOKUP(tblHorasMai[Evento 
(1º Período)],tblEvento[],Tabelas!$E$1,FALSE)="Sim",FALSE,TRUE),TRUE),IF(tblHorasMai[Evento 
(2º Período)]&lt;&gt;"",IF(VLOOKUP(tblHorasMai[Evento 
(2º Período)],tblEvento[],Tabelas!$E$1,FALSE)="Sim",FALSE,TRUE),TRUE)),
tblHorasMai[Horas Trabalhadas Além Jornada],""),"")</f>
        <v/>
      </c>
      <c r="S39" s="14" t="str">
        <f>IF(tblHorasMai[Horas Trabalhadas Além Jornada]&gt;0,
IF(OR(VLOOKUP(TEXT(tblHorasMai[Data],"dddd"),tblDiaUtil[],3,FALSE)="Não",IF(tblHorasMai[Evento 
(1º Período)]&lt;&gt;"",IF(VLOOKUP(tblHorasMai[Evento 
(1º Período)],tblEvento[],Tabelas!$E$1,FALSE)="Sim",TRUE,FALSE),FALSE),IF(tblHorasMai[Evento 
(2º Período)]&lt;&gt;"",IF(VLOOKUP(tblHorasMai[Evento 
(2º Período)],tblEvento[],Tabelas!$E$1,FALSE)="Sim",TRUE,FALSE),FALSE)),
tblHorasMai[Horas Trabalhadas Além Jornada],""),"")</f>
        <v/>
      </c>
      <c r="T39" s="15" t="str">
        <f>IF(tblHorasMai[Evento 
(1º Período)]&lt;&gt;""," - " &amp;VLOOKUP(tblHorasMai[Evento 
(1º Período)],tblEvento[],Tabelas!$F$1,FALSE),"")&amp;IF(AND(tblHorasMai[Evento 
(2º Período)]&lt;&gt;"",tblHorasMai[Evento 
(2º Período)]&lt;&gt;tblHorasMai[Evento 
(1º Período)])," - " &amp; VLOOKUP(tblHorasMai[Evento 
(2º Período)],tblEvento[],Tabelas!$F$1,FALSE),"")</f>
        <v/>
      </c>
    </row>
    <row r="40" spans="2:21" ht="5.0999999999999996" customHeight="1" x14ac:dyDescent="0.25">
      <c r="T40" s="24"/>
      <c r="U40" s="24"/>
    </row>
    <row r="41" spans="2:21" ht="9.9499999999999993" customHeight="1" x14ac:dyDescent="0.25">
      <c r="T41" s="35" t="s">
        <v>99</v>
      </c>
      <c r="U41" s="24"/>
    </row>
    <row r="42" spans="2:21" hidden="1" x14ac:dyDescent="0.25">
      <c r="T42" s="24"/>
      <c r="U42" s="24"/>
    </row>
    <row r="43" spans="2:21" hidden="1" x14ac:dyDescent="0.25">
      <c r="T43" s="24"/>
      <c r="U43" s="24"/>
    </row>
    <row r="44" spans="2:21" hidden="1" x14ac:dyDescent="0.25">
      <c r="T44" s="24"/>
      <c r="U44" s="24"/>
    </row>
    <row r="45" spans="2:21" hidden="1" x14ac:dyDescent="0.25"/>
    <row r="46" spans="2:21" x14ac:dyDescent="0.25"/>
    <row r="47" spans="2:21" x14ac:dyDescent="0.25"/>
  </sheetData>
  <sheetProtection algorithmName="SHA-512" hashValue="d9Eif0KziRqvjbWhtHESDMZURybpqOoPb8oU9kWwRTmQIwAAceAgU5bt6TN3YHYP5XFvpJL7C0LOAZIZ9yat/w==" saltValue="wbe+RSZ9jTa/foVlukFW4A==" spinCount="100000" sheet="1" formatCells="0" formatColumns="0" formatRows="0" selectLockedCells="1" autoFilter="0" pivotTables="0"/>
  <dataConsolidate/>
  <mergeCells count="8">
    <mergeCell ref="O1:T4"/>
    <mergeCell ref="G2:I2"/>
    <mergeCell ref="H3:I3"/>
    <mergeCell ref="H4:I4"/>
    <mergeCell ref="B5:C5"/>
    <mergeCell ref="O5:O6"/>
    <mergeCell ref="B6:C6"/>
    <mergeCell ref="P6:S6"/>
  </mergeCells>
  <dataValidations count="5">
    <dataValidation type="time" allowBlank="1" showInputMessage="1" showErrorMessage="1" errorTitle="Aviso" error="Erro na inserção de dados:_x000a__x000a_'Hora Inválida'_x000a__x000a_Favor inserir uma hora válida no formato: hh:mm (ex. 12:00)" sqref="E9:H39">
      <formula1>0</formula1>
      <formula2>0.999305555555556</formula2>
    </dataValidation>
    <dataValidation type="whole" errorStyle="warning" allowBlank="1" showInputMessage="1" showErrorMessage="1" errorTitle="Aviso" error="Ano fora do período estipulado" promptTitle="Digite o ano com 4 dígitos" prompt="_x000a_ex. 2016_x000a__x000a_Entre: 1904 a 9999" sqref="D6">
      <formula1>999</formula1>
      <formula2>9999</formula2>
    </dataValidation>
    <dataValidation type="list" allowBlank="1" showErrorMessage="1" errorTitle="Mês Inválido" error="Selecione na lista um mês válido" sqref="B6:C6">
      <formula1>lst_Mes</formula1>
    </dataValidation>
    <dataValidation type="list" allowBlank="1" showInputMessage="1" showErrorMessage="1" errorTitle="Aviso" error="Erro na inserção de dados:_x000a__x000a_'Evento Inválido'_x000a__x000a_Selecione um Evento válido na Lista" promptTitle="Evento" prompt="_x000a_Selecione um Evento na Lista" sqref="D9:D39 I9:I39">
      <formula1>lstEvento</formula1>
    </dataValidation>
    <dataValidation type="whole" allowBlank="1" showInputMessage="1" showErrorMessage="1" errorTitle="Erro" error="Dia inexistente" promptTitle="Digite o primeiro dia do mês" prompt="Somente utilize esse campo caso o dia seja diferente de 1." sqref="E6">
      <formula1>1</formula1>
      <formula2>31</formula2>
    </dataValidation>
  </dataValidations>
  <printOptions verticalCentered="1"/>
  <pageMargins left="0.51181102362204722" right="0.51181102362204722" top="0.78740157480314965" bottom="0.78740157480314965" header="0.31496062992125984" footer="0.31496062992125984"/>
  <pageSetup paperSize="9" scale="82" orientation="landscape" r:id="rId1"/>
  <headerFooter>
    <oddHeader>&amp;R&amp;D</oddHeader>
    <oddFooter>&amp;L.e&amp;RPágina &amp;P de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7" id="{34D004E8-071A-45B7-BB35-38410EF2511F}">
            <xm:f>IF(OR(IF(ISERROR(VLOOKUP($C9,Config!$C$1:$D$18,2,FALSE)),FALSE,IF(VLOOKUP($C9,Config!$C$1:$D$18,2,FALSE)="Não",TRUE,FALSE)),IF(ISERROR(VLOOKUP($D9,Tabelas!$A$3:$B$51,2,FALSE)),FALSE,IF(VLOOKUP($D9,Tabelas!$A$3:$B$51,2,FALSE)="Sim",TRUE,FALSE)),IF(ISERROR(VLOOKUP($I9,Tabelas!$A$3:$B$51,2,FALSE)),FALSE,IF(VLOOKUP($I9,Tabelas!$A$3:$B$51,2,FALSE)="Sim",TRUE,FALSE))),TRUE,FALSE)</xm:f>
            <x14:dxf>
              <fill>
                <patternFill>
                  <bgColor rgb="FFFFFFCC"/>
                </patternFill>
              </fill>
            </x14:dxf>
          </x14:cfRule>
          <xm:sqref>B9:T9</xm:sqref>
        </x14:conditionalFormatting>
        <x14:conditionalFormatting xmlns:xm="http://schemas.microsoft.com/office/excel/2006/main">
          <x14:cfRule type="expression" priority="6" id="{9EC9E051-2114-491D-9E17-23F61AB11020}">
            <xm:f>IF(IF(ISERROR(VLOOKUP($D9,Tabelas!$A$3:$C$51,3,FALSE)),FALSE,VLOOKUP($D9,Tabelas!$A$3:$C$51,3,FALSE)="Sim"),TRUE,FALSE)</xm:f>
            <x14:dxf>
              <fill>
                <patternFill>
                  <bgColor rgb="FFFFD1D2"/>
                </patternFill>
              </fill>
            </x14:dxf>
          </x14:cfRule>
          <xm:sqref>J9 D9:F9</xm:sqref>
        </x14:conditionalFormatting>
        <x14:conditionalFormatting xmlns:xm="http://schemas.microsoft.com/office/excel/2006/main">
          <x14:cfRule type="expression" priority="8" id="{E40D60CB-5763-442B-BDB7-3CB1C327C33E}">
            <xm:f>IF(IF(ISERROR(VLOOKUP($I9,Tabelas!$A$3:$C$51,3,FALSE)),FALSE,VLOOKUP($I9,Tabelas!$A$3:$C$51,3,FALSE)="Sim"),TRUE,FALSE)</xm:f>
            <x14:dxf>
              <fill>
                <patternFill>
                  <bgColor rgb="FFFFD5D6"/>
                </patternFill>
              </fill>
            </x14:dxf>
          </x14:cfRule>
          <xm:sqref>K9:M9 G9:I9</xm:sqref>
        </x14:conditionalFormatting>
        <x14:conditionalFormatting xmlns:xm="http://schemas.microsoft.com/office/excel/2006/main">
          <x14:cfRule type="expression" priority="5" id="{32932BA0-F751-47CF-954D-F96812AD8741}">
            <xm:f>IF(OR(IF(ISERROR(VLOOKUP($C7,Config!$C$1:$D$18,2,FALSE)),FALSE,IF(VLOOKUP($C7,Config!$C$1:$D$18,2,FALSE)="Não",TRUE,FALSE)),IF(ISERROR(VLOOKUP($D7,Tabelas!$A$3:$B$51,2,FALSE)),FALSE,IF(VLOOKUP($D7,Tabelas!$A$3:$B$51,2,FALSE)="Sim",TRUE,FALSE)),IF(ISERROR(VLOOKUP($I7,Tabelas!$A$3:$B$51,2,FALSE)),FALSE,IF(VLOOKUP($I7,Tabelas!$A$3:$B$51,2,FALSE)="Sim",TRUE,FALSE))),TRUE,FALSE)</xm:f>
            <x14:dxf>
              <fill>
                <patternFill>
                  <bgColor rgb="FFFFFFCC"/>
                </patternFill>
              </fill>
            </x14:dxf>
          </x14:cfRule>
          <xm:sqref>P7:S7</xm:sqref>
        </x14:conditionalFormatting>
        <x14:conditionalFormatting xmlns:xm="http://schemas.microsoft.com/office/excel/2006/main">
          <x14:cfRule type="expression" priority="3" id="{81DDAE87-779D-4947-8EE8-175CA190D1AF}">
            <xm:f>IF(OR(IF(ISERROR(VLOOKUP($C10,Config!$C$1:$D$18,2,FALSE)),FALSE,IF(VLOOKUP($C10,Config!$C$1:$D$18,2,FALSE)="Não",TRUE,FALSE)),IF(ISERROR(VLOOKUP($D10,Tabelas!$A$3:$B$51,2,FALSE)),FALSE,IF(VLOOKUP($D10,Tabelas!$A$3:$B$51,2,FALSE)="Sim",TRUE,FALSE)),IF(ISERROR(VLOOKUP($I10,Tabelas!$A$3:$B$51,2,FALSE)),FALSE,IF(VLOOKUP($I10,Tabelas!$A$3:$B$51,2,FALSE)="Sim",TRUE,FALSE))),TRUE,FALSE)</xm:f>
            <x14:dxf>
              <fill>
                <patternFill>
                  <bgColor rgb="FFFFFFCC"/>
                </patternFill>
              </fill>
            </x14:dxf>
          </x14:cfRule>
          <xm:sqref>B10:T39</xm:sqref>
        </x14:conditionalFormatting>
        <x14:conditionalFormatting xmlns:xm="http://schemas.microsoft.com/office/excel/2006/main">
          <x14:cfRule type="expression" priority="2" id="{217FD230-5120-4137-91B3-AE3E7B9E2A9F}">
            <xm:f>IF(IF(ISERROR(VLOOKUP($D10,Tabelas!$A$3:$C$51,3,FALSE)),FALSE,VLOOKUP($D10,Tabelas!$A$3:$C$51,3,FALSE)="Sim"),TRUE,FALSE)</xm:f>
            <x14:dxf>
              <fill>
                <patternFill>
                  <bgColor rgb="FFFFD1D2"/>
                </patternFill>
              </fill>
            </x14:dxf>
          </x14:cfRule>
          <xm:sqref>J10:J39 D10:F39</xm:sqref>
        </x14:conditionalFormatting>
        <x14:conditionalFormatting xmlns:xm="http://schemas.microsoft.com/office/excel/2006/main">
          <x14:cfRule type="expression" priority="4" id="{B29DC63D-2234-4E28-8F4D-431DE898E3EA}">
            <xm:f>IF(IF(ISERROR(VLOOKUP($I10,Tabelas!$A$3:$C$51,3,FALSE)),FALSE,VLOOKUP($I10,Tabelas!$A$3:$C$51,3,FALSE)="Sim"),TRUE,FALSE)</xm:f>
            <x14:dxf>
              <fill>
                <patternFill>
                  <bgColor rgb="FFFFD5D6"/>
                </patternFill>
              </fill>
            </x14:dxf>
          </x14:cfRule>
          <xm:sqref>K10:M39 G10:I39</xm:sqref>
        </x14:conditionalFormatting>
        <x14:conditionalFormatting xmlns:xm="http://schemas.microsoft.com/office/excel/2006/main">
          <x14:cfRule type="expression" priority="1" id="{52365AFC-0359-49F5-A897-6A50D5F33F5C}">
            <xm:f>IF(OR(IF(ISERROR(VLOOKUP($C7,Config!$C$1:$D$18,2,FALSE)),FALSE,IF(VLOOKUP($C7,Config!$C$1:$D$18,2,FALSE)="Não",TRUE,FALSE)),IF(ISERROR(VLOOKUP($D7,Tabelas!$A$3:$B$51,2,FALSE)),FALSE,IF(VLOOKUP($D7,Tabelas!$A$3:$B$51,2,FALSE)="Sim",TRUE,FALSE)),IF(ISERROR(VLOOKUP($I7,Tabelas!$A$3:$B$51,2,FALSE)),FALSE,IF(VLOOKUP($I7,Tabelas!$A$3:$B$51,2,FALSE)="Sim",TRUE,FALSE))),TRUE,FALSE)</xm:f>
            <x14:dxf>
              <fill>
                <patternFill>
                  <bgColor rgb="FFFFFFCC"/>
                </patternFill>
              </fill>
            </x14:dxf>
          </x14:cfRule>
          <xm:sqref>O7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nJunho">
    <tabColor theme="4" tint="0.59999389629810485"/>
    <pageSetUpPr fitToPage="1"/>
  </sheetPr>
  <dimension ref="A1:AC47"/>
  <sheetViews>
    <sheetView showGridLines="0" workbookViewId="0">
      <pane xSplit="1" ySplit="8" topLeftCell="B9" activePane="bottomRight" state="frozen"/>
      <selection activeCell="H10" sqref="H10"/>
      <selection pane="topRight" activeCell="H10" sqref="H10"/>
      <selection pane="bottomLeft" activeCell="H10" sqref="H10"/>
      <selection pane="bottomRight" activeCell="E9" sqref="E9"/>
    </sheetView>
  </sheetViews>
  <sheetFormatPr defaultColWidth="0" defaultRowHeight="15" zeroHeight="1" x14ac:dyDescent="0.25"/>
  <cols>
    <col min="1" max="1" width="6.7109375" style="5" customWidth="1"/>
    <col min="2" max="2" width="10.7109375" style="5" customWidth="1"/>
    <col min="3" max="3" width="10" style="5" customWidth="1"/>
    <col min="4" max="9" width="12.7109375" style="5" customWidth="1"/>
    <col min="10" max="14" width="12.7109375" style="5" hidden="1" customWidth="1"/>
    <col min="15" max="15" width="12.7109375" style="5" customWidth="1"/>
    <col min="16" max="19" width="12.7109375" style="5" hidden="1" customWidth="1"/>
    <col min="20" max="20" width="38.42578125" style="5" customWidth="1"/>
    <col min="21" max="21" width="2.7109375" style="5" customWidth="1"/>
    <col min="22" max="22" width="9.140625" style="5" hidden="1" customWidth="1"/>
    <col min="23" max="23" width="12.42578125" style="5" hidden="1" customWidth="1"/>
    <col min="24" max="25" width="0" style="5" hidden="1" customWidth="1"/>
    <col min="26" max="26" width="9.140625" style="5" hidden="1" customWidth="1"/>
    <col min="27" max="27" width="12.42578125" style="5" hidden="1" customWidth="1"/>
    <col min="28" max="29" width="0" style="5" hidden="1" customWidth="1"/>
    <col min="30" max="16384" width="9.140625" style="5" hidden="1"/>
  </cols>
  <sheetData>
    <row r="1" spans="2:25" ht="15" customHeight="1" x14ac:dyDescent="0.25">
      <c r="G1" s="48" t="s">
        <v>58</v>
      </c>
      <c r="O1" s="83" t="str">
        <f>"*Limite de horas: " &amp; LIMITE &amp; "; e 
*Contabiliza a partir de " &amp; TEXT(CARENCIA, "hh:mm") &amp; " hora(s) (para mais ou para menos);
*Caso tenha Atestado em um dos períodos, o que ultrapassar de 4:00 horas de trabalho contabiliza hora positiva."</f>
        <v>*Limite de horas: 2h diárias; e 
*Contabiliza a partir de 00:00 hora(s) (para mais ou para menos);
*Caso tenha Atestado em um dos períodos, o que ultrapassar de 4:00 horas de trabalho contabiliza hora positiva.</v>
      </c>
      <c r="P1" s="83"/>
      <c r="Q1" s="83"/>
      <c r="R1" s="83"/>
      <c r="S1" s="83"/>
      <c r="T1" s="83"/>
    </row>
    <row r="2" spans="2:25" ht="15" customHeight="1" thickBot="1" x14ac:dyDescent="0.3">
      <c r="B2" s="6"/>
      <c r="G2" s="90"/>
      <c r="H2" s="91"/>
      <c r="I2" s="91"/>
      <c r="N2" s="24"/>
      <c r="O2" s="83"/>
      <c r="P2" s="83"/>
      <c r="Q2" s="83"/>
      <c r="R2" s="83"/>
      <c r="S2" s="83"/>
      <c r="T2" s="83"/>
    </row>
    <row r="3" spans="2:25" ht="15" customHeight="1" x14ac:dyDescent="0.25">
      <c r="B3" s="6"/>
      <c r="G3" s="48" t="s">
        <v>96</v>
      </c>
      <c r="H3" s="92" t="s">
        <v>97</v>
      </c>
      <c r="I3" s="93"/>
      <c r="N3" s="24"/>
      <c r="O3" s="83"/>
      <c r="P3" s="83"/>
      <c r="Q3" s="83"/>
      <c r="R3" s="83"/>
      <c r="S3" s="83"/>
      <c r="T3" s="83"/>
    </row>
    <row r="4" spans="2:25" ht="15" customHeight="1" thickBot="1" x14ac:dyDescent="0.3">
      <c r="B4" s="6"/>
      <c r="G4" s="52"/>
      <c r="H4" s="84"/>
      <c r="I4" s="85"/>
      <c r="N4" s="24"/>
      <c r="O4" s="83"/>
      <c r="P4" s="83"/>
      <c r="Q4" s="83"/>
      <c r="R4" s="83"/>
      <c r="S4" s="83"/>
      <c r="T4" s="83"/>
    </row>
    <row r="5" spans="2:25" ht="15" customHeight="1" x14ac:dyDescent="0.25">
      <c r="B5" s="86" t="s">
        <v>59</v>
      </c>
      <c r="C5" s="87"/>
      <c r="D5" s="48" t="s">
        <v>62</v>
      </c>
      <c r="E5" s="48" t="s">
        <v>88</v>
      </c>
      <c r="G5" s="7"/>
      <c r="N5" s="24"/>
      <c r="O5" s="94" t="s">
        <v>100</v>
      </c>
      <c r="P5" s="34" t="s">
        <v>76</v>
      </c>
      <c r="Q5" s="34" t="s">
        <v>76</v>
      </c>
      <c r="R5" s="34" t="s">
        <v>76</v>
      </c>
      <c r="S5" s="34" t="s">
        <v>76</v>
      </c>
      <c r="T5" s="24"/>
    </row>
    <row r="6" spans="2:25" ht="16.5" customHeight="1" thickBot="1" x14ac:dyDescent="0.3">
      <c r="B6" s="88" t="s">
        <v>68</v>
      </c>
      <c r="C6" s="89"/>
      <c r="D6" s="30" t="str">
        <f>IF(Janeiro!D6&lt;&gt;"",Janeiro!D6,"")</f>
        <v/>
      </c>
      <c r="E6" s="30" t="str">
        <f>IF(Janeiro!E6&lt;&gt;"",Janeiro!E6,"")</f>
        <v/>
      </c>
      <c r="F6" s="32" t="str">
        <f>IF(ISERROR(DATEVALUE(IF(E6&lt;&gt;"",E6,1)&amp;"-"&amp;B6&amp;"-"&amp;D6)),"",DATEVALUE(IF(E6&lt;&gt;"",E6,1)&amp;"-"&amp;B6&amp;"-"&amp;D6))</f>
        <v/>
      </c>
      <c r="N6" s="24"/>
      <c r="O6" s="95"/>
      <c r="P6" s="81" t="s">
        <v>95</v>
      </c>
      <c r="Q6" s="82"/>
      <c r="R6" s="82"/>
      <c r="S6" s="82"/>
      <c r="T6" s="24"/>
    </row>
    <row r="7" spans="2:25" x14ac:dyDescent="0.25">
      <c r="E7" s="8"/>
      <c r="F7" s="8"/>
      <c r="G7" s="8"/>
      <c r="H7" s="8"/>
      <c r="I7" s="8"/>
      <c r="J7" s="34" t="s">
        <v>76</v>
      </c>
      <c r="K7" s="34" t="s">
        <v>76</v>
      </c>
      <c r="L7" s="34" t="s">
        <v>76</v>
      </c>
      <c r="M7" s="34" t="s">
        <v>76</v>
      </c>
      <c r="N7" s="34" t="s">
        <v>76</v>
      </c>
      <c r="O7" s="45">
        <f>Maio!O39</f>
        <v>0</v>
      </c>
      <c r="P7" s="45">
        <f>SUM(tblHorasJun[Atrasos
(horas)])</f>
        <v>0</v>
      </c>
      <c r="Q7" s="46">
        <f>SUM(tblHorasJun[Faltas
(dias)])</f>
        <v>0</v>
      </c>
      <c r="R7" s="45">
        <f>SUM(tblHorasJun[Hora Extra Normal])</f>
        <v>0</v>
      </c>
      <c r="S7" s="45">
        <f>SUM(tblHorasJun[Hora Extra 
Especial])</f>
        <v>0</v>
      </c>
      <c r="T7" s="24"/>
    </row>
    <row r="8" spans="2:25" s="9" customFormat="1" ht="45" customHeight="1" x14ac:dyDescent="0.25">
      <c r="B8" s="9" t="s">
        <v>0</v>
      </c>
      <c r="C8" s="9" t="s">
        <v>1</v>
      </c>
      <c r="D8" s="10" t="s">
        <v>51</v>
      </c>
      <c r="E8" s="9" t="s">
        <v>3</v>
      </c>
      <c r="F8" s="9" t="s">
        <v>4</v>
      </c>
      <c r="G8" s="9" t="s">
        <v>5</v>
      </c>
      <c r="H8" s="9" t="s">
        <v>6</v>
      </c>
      <c r="I8" s="10" t="s">
        <v>52</v>
      </c>
      <c r="J8" s="9" t="s">
        <v>35</v>
      </c>
      <c r="K8" s="9" t="s">
        <v>36</v>
      </c>
      <c r="L8" s="9" t="s">
        <v>55</v>
      </c>
      <c r="M8" s="9" t="s">
        <v>48</v>
      </c>
      <c r="N8" s="9" t="s">
        <v>50</v>
      </c>
      <c r="O8" s="9" t="s">
        <v>49</v>
      </c>
      <c r="P8" s="9" t="s">
        <v>91</v>
      </c>
      <c r="Q8" s="9" t="s">
        <v>92</v>
      </c>
      <c r="R8" s="9" t="s">
        <v>93</v>
      </c>
      <c r="S8" s="9" t="s">
        <v>94</v>
      </c>
      <c r="T8" s="9" t="s">
        <v>46</v>
      </c>
      <c r="W8" s="26"/>
    </row>
    <row r="9" spans="2:25" x14ac:dyDescent="0.25">
      <c r="B9" s="11" t="str">
        <f>IF(ISERROR(F6),"",F6)</f>
        <v/>
      </c>
      <c r="C9" s="12" t="str">
        <f>TEXT(tblHorasJun[Data],"ddd")</f>
        <v/>
      </c>
      <c r="D9" s="25"/>
      <c r="E9" s="1"/>
      <c r="F9" s="1"/>
      <c r="G9" s="1"/>
      <c r="H9" s="1"/>
      <c r="I9" s="53"/>
      <c r="J9" s="4">
        <f>IF($B$6&lt;&gt;"",
IF(AND(tblHorasJun[Evento 
(1º Período)]&lt;&gt;"",IF(ISERROR(VLOOKUP(tblHorasJun[Evento 
(1º Período)],tblEvento[],Tabelas!$D$1,FALSE)),FALSE,VLOOKUP(tblHorasJun[Evento 
(1º Período)],tblEvento[],Tabelas!$D$1,FALSE)="Sim")),
        IF(JORNADA_PERIODO_1&lt;&gt;"",
IF(VLOOKUP(tblHorasJun[Dia],tblDiaUtil[[Abreviatura]:[1º Período]],3,FALSE)&gt;0,VLOOKUP(tblHorasJun[Dia],tblDiaUtil[[Abreviatura]:[1º Período]],3,FALSE),JORNADA_PERIODO_1),
IF(VLOOKUP(tblHorasJun[Dia],tblDiaUtil[[Abreviatura]:[1º Período]],3,FALSE)&gt;0,VLOOKUP(tblHorasJun[Dia],tblDiaUtil[[Abreviatura]:[1º Período]],3,FALSE),JORNADA/2)),
        IF(AND(ISNUMBER(tblHorasJun[Saída - 1 (Almoço)]),ISNUMBER(tblHorasJun[Entrada - 1])),
              IF(OR(AND(tblHorasJun[Evento 
(1º Período)]&lt;&gt;"",IF(ISERROR(VLOOKUP(tblHorasJun[Evento 
(1º Período)],tblEvento[],Tabelas!$E$1,FALSE)),FALSE,VLOOKUP(tblHorasJun[Evento 
(1º Período)],tblEvento[],Tabelas!$E$1,FALSE)="Sim")),IF(VLOOKUP(TEXT(tblHorasJun[Data],"dddd"),tblDiaUtil[],2,FALSE)="Não",TRUE,FALSE)),
                   tblHorasJun[Saída - 1 (Almoço)]-tblHorasJun[Entrada - 1],
                   IF(OR(HOUR(tblHorasJun[Saída - 1 (Almoço)]-tblHorasJun[Entrada - 1])&gt;0,ROUND(tblHorasJun[Saída - 1 (Almoço)]-tblHorasJun[Entrada - 1],6)&gt;ROUND(CARENCIA,6)),
                          tblHorasJun[Saída - 1 (Almoço)]-tblHorasJun[Entrada - 1],
                          0)),
                    0)),0)</f>
        <v>0</v>
      </c>
      <c r="K9" s="4">
        <f>IF($B$6&lt;&gt;"",
IF(AND(tblHorasJun[Evento 
(2º Período)]&lt;&gt;"",IF(ISERROR(VLOOKUP(tblHorasJun[Evento 
(2º Período)],tblEvento[],Tabelas!$D$1,FALSE)),FALSE,VLOOKUP(tblHorasJun[Evento 
(2º Período)],tblEvento[],Tabelas!$D$1,FALSE)="Sim")),
        IF(JORNADA_PERIODO_2&lt;&gt;"",
IF(VLOOKUP(tblHorasJun[Dia],tblDiaUtil[[Abreviatura]:[2º Período]],4,FALSE)&gt;0,VLOOKUP(tblHorasJun[Dia],tblDiaUtil[[Abreviatura]:[2º Período]],4,FALSE),JORNADA_PERIODO_2),
IF(VLOOKUP(tblHorasJun[Dia],tblDiaUtil[[Abreviatura]:[2º Período]],4,FALSE)&gt;0,VLOOKUP(tblHorasJun[Dia],tblDiaUtil[[Abreviatura]:[2º Período]],4,FALSE),JORNADA/2)),
        IF(AND(ISNUMBER(tblHorasJun[Saída - 2]),ISNUMBER(tblHorasJun[Entrada - 2 (Almoço)])),
              IF(OR(AND(tblHorasJun[Evento 
(2º Período)]&lt;&gt;"",IF(ISERROR(VLOOKUP(tblHorasJun[Evento 
(2º Período)],tblEvento[],Tabelas!$E$1,FALSE)),FALSE,VLOOKUP(tblHorasJun[Evento 
(2º Período)],tblEvento[],Tabelas!$E$1,FALSE)="Sim")),IF(VLOOKUP(TEXT(tblHorasJun[Data],"dddd"),tblDiaUtil[],2,FALSE)="Não",TRUE,FALSE)),
                   tblHorasJun[Saída - 2]-tblHorasJun[Entrada - 2 (Almoço)],
                   IF(OR(HOUR(tblHorasJun[Saída - 2]-tblHorasJun[Entrada - 2 (Almoço)])&gt;0,MINUTE(tblHorasJun[Saída - 2]-tblHorasJun[Entrada - 2 (Almoço)])&gt;CARENCIA),
                         tblHorasJun[Saída - 2]-tblHorasJun[Entrada - 2 (Almoço)],
                         0)),
       0)),0)</f>
        <v>0</v>
      </c>
      <c r="L9" s="4">
        <f>tblHorasJun[Horas Trabalhadas (1º Período)]+tblHorasJun[Horas Trabalhadas (2º Período)]</f>
        <v>0</v>
      </c>
      <c r="M9" s="4" t="str">
        <f>IF(tblHorasJun[Data]&lt;&gt;"",
        IF(
AND(VLOOKUP(TEXT(tblHorasJun[Data],"dddd"),tblDiaUtil[],3,FALSE)="Sim",IF(tblHorasJun[Evento 
(1º Período)]&lt;&gt;"",IF(VLOOKUP(tblHorasJun[Evento 
(1º Período)],tblEvento[],Tabelas!$E$1,FALSE)="Sim",FALSE,TRUE),TRUE),IF(tblHorasJun[Evento 
(2º Período)]&lt;&gt;"",IF(VLOOKUP(tblHorasJun[Evento 
(2º Período)],tblEvento[],Tabelas!$E$1,FALSE)="Sim",FALSE,TRUE),TRUE)),
              IF(VLOOKUP(tblHorasJun[Dia],tblDiaUtil[[Abreviatura]:[1º Período]],3,FALSE)&gt;0,VLOOKUP(tblHorasJun[Dia],tblDiaUtil[[Abreviatura]:[1º Período]],3,FALSE),JORNADA),
              ""),
         "")</f>
        <v/>
      </c>
      <c r="N9" s="14">
        <f>IF(OR(tblHorasJun[Horas Trabalhadas (1º Período)]&lt;&gt;0,tblHorasJun[Horas Trabalhadas (2º Período)]&lt;&gt;0),
        IF(ISNUMBER(tblHorasJun[Jornada Diária]),
              IF(tblHorasJun[Jornada Diária]&gt;(tblHorasJun[Horas Trabalhadas (2º Período)]+tblHorasJun[Horas Trabalhadas (1º Período)]),
                     IF(ROUND((tblHorasJun[Jornada Diária]-(tblHorasJun[Horas Trabalhadas (2º Período)]+tblHorasJun[Horas Trabalhadas (1º Período)])),6)&gt;ROUND(CARENCIA,6),
                           -tblHorasJun[Jornada Diária]+(tblHorasJun[Horas Trabalhadas (2º Período)]+tblHorasJun[Horas Trabalhadas (1º Período)]),
                           0),
                      IF(ROUND((tblHorasJun[Jornada Diária]-(tblHorasJun[Horas Trabalhadas (2º Período)]+tblHorasJun[Horas Trabalhadas (1º Período)])),6)&lt;ROUND(-CARENCIA,6),
                           -tblHorasJun[Jornada Diária]+(tblHorasJun[Horas Trabalhadas (2º Período)]+tblHorasJun[Horas Trabalhadas (1º Período)]),
                           0)),
              tblHorasJun[Horas Trabalhadas (2º Período)]+tblHorasJun[Horas Trabalhadas (1º Período)]),
         IF(AND(IF(ISERROR(VLOOKUP(tblHorasJun[Evento 
(1º Período)],tblEvento[[Evento]:[Libera o Período]],4,FALSE)),FALSE,IF(VLOOKUP(tblHorasJun[Evento 
(1º Período)],tblEvento[[Evento]:[Libera o Período]],4,FALSE)="Não",TRUE,FALSE)),IF(ISERROR(VLOOKUP(tblHorasJun[Evento 
(2º Período)],tblEvento[[Evento]:[Libera o Período]],4,FALSE)),FALSE,IF(VLOOKUP(tblHorasJun[Evento 
(2º Período)],tblEvento[[Evento]:[Libera o Período]],4,FALSE)="Não",TRUE,FALSE))),
-IF(VLOOKUP(tblHorasJun[Dia],tblDiaUtil[[Abreviatura]:[Total Jornada]],5,FALSE)&lt;&gt;"",VLOOKUP(tblHorasJun[Dia],tblDiaUtil[[Abreviatura]:[Total Jornada]],5,FALSE),JORNADA),
IF(IF(ISERROR(VLOOKUP(tblHorasJun[Evento 
(1º Período)],tblEvento[[Evento]:[Libera o Período]],4,FALSE)),FALSE,
IF(VLOOKUP(tblHorasJun[Evento 
(1º Período)],tblEvento[[Evento]:[Libera o Período]],4,FALSE)="Não",TRUE,FALSE)
),
-IF(VLOOKUP(tblHorasJun[Dia],tblDiaUtil[[Abreviatura]:[1º Período]],3,FALSE)&lt;&gt;"",VLOOKUP(tblHorasJun[Dia],tblDiaUtil[[Abreviatura]:[1º Período]],3,FALSE),JORNADA_PERIODO_1),
IF(IF(ISERROR(VLOOKUP(tblHorasJun[Evento 
(2º Período)],tblEvento[[Evento]:[Libera o Período]],4,FALSE)),FALSE,IF(VLOOKUP(tblHorasJun[Evento 
(2º Período)],tblEvento[[Evento]:[Libera o Período]],4,FALSE)="Não",TRUE,FALSE)),
-IF(VLOOKUP(tblHorasJun[Dia],tblDiaUtil[[Abreviatura]:[2º Período]],4,FALSE)&lt;&gt;"",VLOOKUP(tblHorasJun[Dia],tblDiaUtil[[Abreviatura]:[2º Período]],4,FALSE),JORNADA_PERIODO_2),0))))</f>
        <v>0</v>
      </c>
      <c r="O9" s="14">
        <f>IF(tblHorasJun[Horas Trabalhadas Além Jornada]&gt;0,
        IF(ISNUMBER(tblHorasJun[Jornada Diária]),
              IF(HOUR(tblHorasJun[Horas Trabalhadas Além Jornada])&gt;=VLOOKUP(LIMITE,tblLimiteHora[],Tabelas!$I$1,FALSE),
                    VLOOKUP(LIMITE,tblLimiteHora[],Tabelas!$J$1,FALSE),
                    tblHorasJun[Horas Trabalhadas Além Jornada]),
              tblHorasJun[Horas Trabalhadas Além Jornada]),
        tblHorasJun[Horas Trabalhadas Além Jornada])+O7</f>
        <v>0</v>
      </c>
      <c r="P9" s="14" t="str">
        <f>IF(tblHorasJun[Horas Trabalhadas Além Jornada]&lt;0,IF(OR(tblHorasJun[Evento 
(1º Período)]="",tblHorasJun[Evento 
(2º Período)]=""),tblHorasJun[Horas Trabalhadas Além Jornada],""),"")</f>
        <v/>
      </c>
      <c r="Q9" s="14" t="str">
        <f>IF(tblHorasJun[Jornada Diária]&lt;&gt;"",IF((N(tblHorasJun[Jornada Diária])-ABS(N(tblHorasJun[Horas Trabalhadas Além Jornada])))=0,1,""),"")</f>
        <v/>
      </c>
      <c r="R9" s="14" t="str">
        <f>IF(tblHorasJun[Horas Trabalhadas Além Jornada]&gt;0,
IF(AND(VLOOKUP(TEXT(tblHorasJun[Data],"dddd"),tblDiaUtil[],3,FALSE)="Sim",IF(tblHorasJun[Evento 
(1º Período)]&lt;&gt;"",IF(VLOOKUP(tblHorasJun[Evento 
(1º Período)],tblEvento[],Tabelas!$E$1,FALSE)="Sim",FALSE,TRUE),TRUE),IF(tblHorasJun[Evento 
(2º Período)]&lt;&gt;"",IF(VLOOKUP(tblHorasJun[Evento 
(2º Período)],tblEvento[],Tabelas!$E$1,FALSE)="Sim",FALSE,TRUE),TRUE)),
tblHorasJun[Horas Trabalhadas Além Jornada],""),"")</f>
        <v/>
      </c>
      <c r="S9" s="14" t="str">
        <f>IF(tblHorasJun[Horas Trabalhadas Além Jornada]&gt;0,
IF(OR(VLOOKUP(TEXT(tblHorasJun[Data],"dddd"),tblDiaUtil[],3,FALSE)="Não",IF(tblHorasJun[Evento 
(1º Período)]&lt;&gt;"",IF(VLOOKUP(tblHorasJun[Evento 
(1º Período)],tblEvento[],Tabelas!$E$1,FALSE)="Sim",TRUE,FALSE),FALSE),IF(tblHorasJun[Evento 
(2º Período)]&lt;&gt;"",IF(VLOOKUP(tblHorasJun[Evento 
(2º Período)],tblEvento[],Tabelas!$E$1,FALSE)="Sim",TRUE,FALSE),FALSE)),
tblHorasJun[Horas Trabalhadas Além Jornada],""),"")</f>
        <v/>
      </c>
      <c r="T9" s="15" t="str">
        <f>IF(tblHorasJun[Evento 
(1º Período)]&lt;&gt;""," - " &amp;VLOOKUP(tblHorasJun[Evento 
(1º Período)],tblEvento[],Tabelas!$F$1,FALSE),"")&amp;IF(AND(tblHorasJun[Evento 
(2º Período)]&lt;&gt;"",tblHorasJun[Evento 
(2º Período)]&lt;&gt;tblHorasJun[Evento 
(1º Período)])," - " &amp; VLOOKUP(tblHorasJun[Evento 
(2º Período)],tblEvento[],Tabelas!$F$1,FALSE),"")</f>
        <v/>
      </c>
      <c r="V9" s="16"/>
      <c r="Y9" s="17"/>
    </row>
    <row r="10" spans="2:25" x14ac:dyDescent="0.25">
      <c r="B10" s="11" t="str">
        <f>IF(B9&lt;&gt;"",IF(DAY(B9+1)=IF($E$6&lt;&gt;"",$E$6,1),"",B9+1),"")</f>
        <v/>
      </c>
      <c r="C10" s="12" t="str">
        <f>TEXT(tblHorasJun[Data],"ddd")</f>
        <v/>
      </c>
      <c r="D10" s="25"/>
      <c r="E10" s="1"/>
      <c r="F10" s="1"/>
      <c r="G10" s="1"/>
      <c r="H10" s="1"/>
      <c r="I10" s="53"/>
      <c r="J10" s="4">
        <f>IF($B$6&lt;&gt;"",
IF(AND(tblHorasJun[Evento 
(1º Período)]&lt;&gt;"",IF(ISERROR(VLOOKUP(tblHorasJun[Evento 
(1º Período)],tblEvento[],Tabelas!$D$1,FALSE)),FALSE,VLOOKUP(tblHorasJun[Evento 
(1º Período)],tblEvento[],Tabelas!$D$1,FALSE)="Sim")),
        IF(JORNADA_PERIODO_1&lt;&gt;"",
IF(VLOOKUP(tblHorasJun[Dia],tblDiaUtil[[Abreviatura]:[1º Período]],3,FALSE)&gt;0,VLOOKUP(tblHorasJun[Dia],tblDiaUtil[[Abreviatura]:[1º Período]],3,FALSE),JORNADA_PERIODO_1),
IF(VLOOKUP(tblHorasJun[Dia],tblDiaUtil[[Abreviatura]:[1º Período]],3,FALSE)&gt;0,VLOOKUP(tblHorasJun[Dia],tblDiaUtil[[Abreviatura]:[1º Período]],3,FALSE),JORNADA/2)),
        IF(AND(ISNUMBER(tblHorasJun[Saída - 1 (Almoço)]),ISNUMBER(tblHorasJun[Entrada - 1])),
              IF(OR(AND(tblHorasJun[Evento 
(1º Período)]&lt;&gt;"",IF(ISERROR(VLOOKUP(tblHorasJun[Evento 
(1º Período)],tblEvento[],Tabelas!$E$1,FALSE)),FALSE,VLOOKUP(tblHorasJun[Evento 
(1º Período)],tblEvento[],Tabelas!$E$1,FALSE)="Sim")),IF(VLOOKUP(TEXT(tblHorasJun[Data],"dddd"),tblDiaUtil[],2,FALSE)="Não",TRUE,FALSE)),
                   tblHorasJun[Saída - 1 (Almoço)]-tblHorasJun[Entrada - 1],
                   IF(OR(HOUR(tblHorasJun[Saída - 1 (Almoço)]-tblHorasJun[Entrada - 1])&gt;0,ROUND(tblHorasJun[Saída - 1 (Almoço)]-tblHorasJun[Entrada - 1],6)&gt;ROUND(CARENCIA,6)),
                          tblHorasJun[Saída - 1 (Almoço)]-tblHorasJun[Entrada - 1],
                          0)),
                    0)),0)</f>
        <v>0</v>
      </c>
      <c r="K10" s="4">
        <f>IF($B$6&lt;&gt;"",
IF(AND(tblHorasJun[Evento 
(2º Período)]&lt;&gt;"",IF(ISERROR(VLOOKUP(tblHorasJun[Evento 
(2º Período)],tblEvento[],Tabelas!$D$1,FALSE)),FALSE,VLOOKUP(tblHorasJun[Evento 
(2º Período)],tblEvento[],Tabelas!$D$1,FALSE)="Sim")),
        IF(JORNADA_PERIODO_2&lt;&gt;"",
IF(VLOOKUP(tblHorasJun[Dia],tblDiaUtil[[Abreviatura]:[2º Período]],4,FALSE)&gt;0,VLOOKUP(tblHorasJun[Dia],tblDiaUtil[[Abreviatura]:[2º Período]],4,FALSE),JORNADA_PERIODO_2),
IF(VLOOKUP(tblHorasJun[Dia],tblDiaUtil[[Abreviatura]:[2º Período]],4,FALSE)&gt;0,VLOOKUP(tblHorasJun[Dia],tblDiaUtil[[Abreviatura]:[2º Período]],4,FALSE),JORNADA/2)),
        IF(AND(ISNUMBER(tblHorasJun[Saída - 2]),ISNUMBER(tblHorasJun[Entrada - 2 (Almoço)])),
              IF(OR(AND(tblHorasJun[Evento 
(2º Período)]&lt;&gt;"",IF(ISERROR(VLOOKUP(tblHorasJun[Evento 
(2º Período)],tblEvento[],Tabelas!$E$1,FALSE)),FALSE,VLOOKUP(tblHorasJun[Evento 
(2º Período)],tblEvento[],Tabelas!$E$1,FALSE)="Sim")),IF(VLOOKUP(TEXT(tblHorasJun[Data],"dddd"),tblDiaUtil[],2,FALSE)="Não",TRUE,FALSE)),
                   tblHorasJun[Saída - 2]-tblHorasJun[Entrada - 2 (Almoço)],
                   IF(OR(HOUR(tblHorasJun[Saída - 2]-tblHorasJun[Entrada - 2 (Almoço)])&gt;0,MINUTE(tblHorasJun[Saída - 2]-tblHorasJun[Entrada - 2 (Almoço)])&gt;CARENCIA),
                         tblHorasJun[Saída - 2]-tblHorasJun[Entrada - 2 (Almoço)],
                         0)),
       0)),0)</f>
        <v>0</v>
      </c>
      <c r="L10" s="4">
        <f>tblHorasJun[Horas Trabalhadas (1º Período)]+tblHorasJun[Horas Trabalhadas (2º Período)]</f>
        <v>0</v>
      </c>
      <c r="M10" s="4" t="str">
        <f>IF(tblHorasJun[Data]&lt;&gt;"",
        IF(
AND(VLOOKUP(TEXT(tblHorasJun[Data],"dddd"),tblDiaUtil[],3,FALSE)="Sim",IF(tblHorasJun[Evento 
(1º Período)]&lt;&gt;"",IF(VLOOKUP(tblHorasJun[Evento 
(1º Período)],tblEvento[],Tabelas!$E$1,FALSE)="Sim",FALSE,TRUE),TRUE),IF(tblHorasJun[Evento 
(2º Período)]&lt;&gt;"",IF(VLOOKUP(tblHorasJun[Evento 
(2º Período)],tblEvento[],Tabelas!$E$1,FALSE)="Sim",FALSE,TRUE),TRUE)),
              IF(VLOOKUP(tblHorasJun[Dia],tblDiaUtil[[Abreviatura]:[1º Período]],3,FALSE)&gt;0,VLOOKUP(tblHorasJun[Dia],tblDiaUtil[[Abreviatura]:[1º Período]],3,FALSE),JORNADA),
              ""),
         "")</f>
        <v/>
      </c>
      <c r="N10" s="14">
        <f>IF(OR(tblHorasJun[Horas Trabalhadas (1º Período)]&lt;&gt;0,tblHorasJun[Horas Trabalhadas (2º Período)]&lt;&gt;0),
        IF(ISNUMBER(tblHorasJun[Jornada Diária]),
              IF(tblHorasJun[Jornada Diária]&gt;(tblHorasJun[Horas Trabalhadas (2º Período)]+tblHorasJun[Horas Trabalhadas (1º Período)]),
                     IF(ROUND((tblHorasJun[Jornada Diária]-(tblHorasJun[Horas Trabalhadas (2º Período)]+tblHorasJun[Horas Trabalhadas (1º Período)])),6)&gt;ROUND(CARENCIA,6),
                           -tblHorasJun[Jornada Diária]+(tblHorasJun[Horas Trabalhadas (2º Período)]+tblHorasJun[Horas Trabalhadas (1º Período)]),
                           0),
                      IF(ROUND((tblHorasJun[Jornada Diária]-(tblHorasJun[Horas Trabalhadas (2º Período)]+tblHorasJun[Horas Trabalhadas (1º Período)])),6)&lt;ROUND(-CARENCIA,6),
                           -tblHorasJun[Jornada Diária]+(tblHorasJun[Horas Trabalhadas (2º Período)]+tblHorasJun[Horas Trabalhadas (1º Período)]),
                           0)),
              tblHorasJun[Horas Trabalhadas (2º Período)]+tblHorasJun[Horas Trabalhadas (1º Período)]),
         IF(AND(IF(ISERROR(VLOOKUP(tblHorasJun[Evento 
(1º Período)],tblEvento[[Evento]:[Libera o Período]],4,FALSE)),FALSE,IF(VLOOKUP(tblHorasJun[Evento 
(1º Período)],tblEvento[[Evento]:[Libera o Período]],4,FALSE)="Não",TRUE,FALSE)),IF(ISERROR(VLOOKUP(tblHorasJun[Evento 
(2º Período)],tblEvento[[Evento]:[Libera o Período]],4,FALSE)),FALSE,IF(VLOOKUP(tblHorasJun[Evento 
(2º Período)],tblEvento[[Evento]:[Libera o Período]],4,FALSE)="Não",TRUE,FALSE))),
-IF(VLOOKUP(tblHorasJun[Dia],tblDiaUtil[[Abreviatura]:[Total Jornada]],5,FALSE)&lt;&gt;"",VLOOKUP(tblHorasJun[Dia],tblDiaUtil[[Abreviatura]:[Total Jornada]],5,FALSE),JORNADA),
IF(IF(ISERROR(VLOOKUP(tblHorasJun[Evento 
(1º Período)],tblEvento[[Evento]:[Libera o Período]],4,FALSE)),FALSE,
IF(VLOOKUP(tblHorasJun[Evento 
(1º Período)],tblEvento[[Evento]:[Libera o Período]],4,FALSE)="Não",TRUE,FALSE)
),
-IF(VLOOKUP(tblHorasJun[Dia],tblDiaUtil[[Abreviatura]:[1º Período]],3,FALSE)&lt;&gt;"",VLOOKUP(tblHorasJun[Dia],tblDiaUtil[[Abreviatura]:[1º Período]],3,FALSE),JORNADA_PERIODO_1),
IF(IF(ISERROR(VLOOKUP(tblHorasJun[Evento 
(2º Período)],tblEvento[[Evento]:[Libera o Período]],4,FALSE)),FALSE,IF(VLOOKUP(tblHorasJun[Evento 
(2º Período)],tblEvento[[Evento]:[Libera o Período]],4,FALSE)="Não",TRUE,FALSE)),
-IF(VLOOKUP(tblHorasJun[Dia],tblDiaUtil[[Abreviatura]:[2º Período]],4,FALSE)&lt;&gt;"",VLOOKUP(tblHorasJun[Dia],tblDiaUtil[[Abreviatura]:[2º Período]],4,FALSE),JORNADA_PERIODO_2),0))))</f>
        <v>0</v>
      </c>
      <c r="O10" s="14">
        <f>IF(tblHorasJun[Horas Trabalhadas Além Jornada]&gt;0,
        IF(ISNUMBER(tblHorasJun[Jornada Diária]),
              IF(HOUR(tblHorasJun[Horas Trabalhadas Além Jornada])&gt;=VLOOKUP(LIMITE,tblLimiteHora[],Tabelas!$I$1,FALSE),
                    VLOOKUP(LIMITE,tblLimiteHora[],Tabelas!$J$1,FALSE),
                    tblHorasJun[Horas Trabalhadas Além Jornada]),
              tblHorasJun[Horas Trabalhadas Além Jornada]),
        tblHorasJun[Horas Trabalhadas Além Jornada])+O9</f>
        <v>0</v>
      </c>
      <c r="P10" s="14" t="str">
        <f>IF(tblHorasJun[Horas Trabalhadas Além Jornada]&lt;0,IF(OR(tblHorasJun[Evento 
(1º Período)]="",tblHorasJun[Evento 
(2º Período)]=""),tblHorasJun[Horas Trabalhadas Além Jornada],""),"")</f>
        <v/>
      </c>
      <c r="Q10" s="14" t="str">
        <f>IF(tblHorasJun[Jornada Diária]&lt;&gt;"",IF((N(tblHorasJun[Jornada Diária])-ABS(N(tblHorasJun[Horas Trabalhadas Além Jornada])))=0,1,""),"")</f>
        <v/>
      </c>
      <c r="R10" s="14" t="str">
        <f>IF(tblHorasJun[Horas Trabalhadas Além Jornada]&gt;0,
IF(AND(VLOOKUP(TEXT(tblHorasJun[Data],"dddd"),tblDiaUtil[],3,FALSE)="Sim",IF(tblHorasJun[Evento 
(1º Período)]&lt;&gt;"",IF(VLOOKUP(tblHorasJun[Evento 
(1º Período)],tblEvento[],Tabelas!$E$1,FALSE)="Sim",FALSE,TRUE),TRUE),IF(tblHorasJun[Evento 
(2º Período)]&lt;&gt;"",IF(VLOOKUP(tblHorasJun[Evento 
(2º Período)],tblEvento[],Tabelas!$E$1,FALSE)="Sim",FALSE,TRUE),TRUE)),
tblHorasJun[Horas Trabalhadas Além Jornada],""),"")</f>
        <v/>
      </c>
      <c r="S10" s="14" t="str">
        <f>IF(tblHorasJun[Horas Trabalhadas Além Jornada]&gt;0,
IF(OR(VLOOKUP(TEXT(tblHorasJun[Data],"dddd"),tblDiaUtil[],3,FALSE)="Não",IF(tblHorasJun[Evento 
(1º Período)]&lt;&gt;"",IF(VLOOKUP(tblHorasJun[Evento 
(1º Período)],tblEvento[],Tabelas!$E$1,FALSE)="Sim",TRUE,FALSE),FALSE),IF(tblHorasJun[Evento 
(2º Período)]&lt;&gt;"",IF(VLOOKUP(tblHorasJun[Evento 
(2º Período)],tblEvento[],Tabelas!$E$1,FALSE)="Sim",TRUE,FALSE),FALSE)),
tblHorasJun[Horas Trabalhadas Além Jornada],""),"")</f>
        <v/>
      </c>
      <c r="T10" s="15" t="str">
        <f>IF(tblHorasJun[Evento 
(1º Período)]&lt;&gt;""," - " &amp;VLOOKUP(tblHorasJun[Evento 
(1º Período)],tblEvento[],Tabelas!$F$1,FALSE),"")&amp;IF(AND(tblHorasJun[Evento 
(2º Período)]&lt;&gt;"",tblHorasJun[Evento 
(2º Período)]&lt;&gt;tblHorasJun[Evento 
(1º Período)])," - " &amp; VLOOKUP(tblHorasJun[Evento 
(2º Período)],tblEvento[],Tabelas!$F$1,FALSE),"")</f>
        <v/>
      </c>
      <c r="Y10" s="17"/>
    </row>
    <row r="11" spans="2:25" x14ac:dyDescent="0.25">
      <c r="B11" s="11" t="str">
        <f t="shared" ref="B11:B39" si="0">IF(B10&lt;&gt;"",IF(DAY(B10+1)=IF($E$6&lt;&gt;"",$E$6,1),"",B10+1),"")</f>
        <v/>
      </c>
      <c r="C11" s="12" t="str">
        <f>TEXT(tblHorasJun[Data],"ddd")</f>
        <v/>
      </c>
      <c r="D11" s="25"/>
      <c r="E11" s="1"/>
      <c r="F11" s="1"/>
      <c r="G11" s="1"/>
      <c r="H11" s="1"/>
      <c r="I11" s="53"/>
      <c r="J11" s="4">
        <f>IF($B$6&lt;&gt;"",
IF(AND(tblHorasJun[Evento 
(1º Período)]&lt;&gt;"",IF(ISERROR(VLOOKUP(tblHorasJun[Evento 
(1º Período)],tblEvento[],Tabelas!$D$1,FALSE)),FALSE,VLOOKUP(tblHorasJun[Evento 
(1º Período)],tblEvento[],Tabelas!$D$1,FALSE)="Sim")),
        IF(JORNADA_PERIODO_1&lt;&gt;"",
IF(VLOOKUP(tblHorasJun[Dia],tblDiaUtil[[Abreviatura]:[1º Período]],3,FALSE)&gt;0,VLOOKUP(tblHorasJun[Dia],tblDiaUtil[[Abreviatura]:[1º Período]],3,FALSE),JORNADA_PERIODO_1),
IF(VLOOKUP(tblHorasJun[Dia],tblDiaUtil[[Abreviatura]:[1º Período]],3,FALSE)&gt;0,VLOOKUP(tblHorasJun[Dia],tblDiaUtil[[Abreviatura]:[1º Período]],3,FALSE),JORNADA/2)),
        IF(AND(ISNUMBER(tblHorasJun[Saída - 1 (Almoço)]),ISNUMBER(tblHorasJun[Entrada - 1])),
              IF(OR(AND(tblHorasJun[Evento 
(1º Período)]&lt;&gt;"",IF(ISERROR(VLOOKUP(tblHorasJun[Evento 
(1º Período)],tblEvento[],Tabelas!$E$1,FALSE)),FALSE,VLOOKUP(tblHorasJun[Evento 
(1º Período)],tblEvento[],Tabelas!$E$1,FALSE)="Sim")),IF(VLOOKUP(TEXT(tblHorasJun[Data],"dddd"),tblDiaUtil[],2,FALSE)="Não",TRUE,FALSE)),
                   tblHorasJun[Saída - 1 (Almoço)]-tblHorasJun[Entrada - 1],
                   IF(OR(HOUR(tblHorasJun[Saída - 1 (Almoço)]-tblHorasJun[Entrada - 1])&gt;0,ROUND(tblHorasJun[Saída - 1 (Almoço)]-tblHorasJun[Entrada - 1],6)&gt;ROUND(CARENCIA,6)),
                          tblHorasJun[Saída - 1 (Almoço)]-tblHorasJun[Entrada - 1],
                          0)),
                    0)),0)</f>
        <v>0</v>
      </c>
      <c r="K11" s="4">
        <f>IF($B$6&lt;&gt;"",
IF(AND(tblHorasJun[Evento 
(2º Período)]&lt;&gt;"",IF(ISERROR(VLOOKUP(tblHorasJun[Evento 
(2º Período)],tblEvento[],Tabelas!$D$1,FALSE)),FALSE,VLOOKUP(tblHorasJun[Evento 
(2º Período)],tblEvento[],Tabelas!$D$1,FALSE)="Sim")),
        IF(JORNADA_PERIODO_2&lt;&gt;"",
IF(VLOOKUP(tblHorasJun[Dia],tblDiaUtil[[Abreviatura]:[2º Período]],4,FALSE)&gt;0,VLOOKUP(tblHorasJun[Dia],tblDiaUtil[[Abreviatura]:[2º Período]],4,FALSE),JORNADA_PERIODO_2),
IF(VLOOKUP(tblHorasJun[Dia],tblDiaUtil[[Abreviatura]:[2º Período]],4,FALSE)&gt;0,VLOOKUP(tblHorasJun[Dia],tblDiaUtil[[Abreviatura]:[2º Período]],4,FALSE),JORNADA/2)),
        IF(AND(ISNUMBER(tblHorasJun[Saída - 2]),ISNUMBER(tblHorasJun[Entrada - 2 (Almoço)])),
              IF(OR(AND(tblHorasJun[Evento 
(2º Período)]&lt;&gt;"",IF(ISERROR(VLOOKUP(tblHorasJun[Evento 
(2º Período)],tblEvento[],Tabelas!$E$1,FALSE)),FALSE,VLOOKUP(tblHorasJun[Evento 
(2º Período)],tblEvento[],Tabelas!$E$1,FALSE)="Sim")),IF(VLOOKUP(TEXT(tblHorasJun[Data],"dddd"),tblDiaUtil[],2,FALSE)="Não",TRUE,FALSE)),
                   tblHorasJun[Saída - 2]-tblHorasJun[Entrada - 2 (Almoço)],
                   IF(OR(HOUR(tblHorasJun[Saída - 2]-tblHorasJun[Entrada - 2 (Almoço)])&gt;0,MINUTE(tblHorasJun[Saída - 2]-tblHorasJun[Entrada - 2 (Almoço)])&gt;CARENCIA),
                         tblHorasJun[Saída - 2]-tblHorasJun[Entrada - 2 (Almoço)],
                         0)),
       0)),0)</f>
        <v>0</v>
      </c>
      <c r="L11" s="4">
        <f>tblHorasJun[Horas Trabalhadas (1º Período)]+tblHorasJun[Horas Trabalhadas (2º Período)]</f>
        <v>0</v>
      </c>
      <c r="M11" s="4" t="str">
        <f>IF(tblHorasJun[Data]&lt;&gt;"",
        IF(
AND(VLOOKUP(TEXT(tblHorasJun[Data],"dddd"),tblDiaUtil[],3,FALSE)="Sim",IF(tblHorasJun[Evento 
(1º Período)]&lt;&gt;"",IF(VLOOKUP(tblHorasJun[Evento 
(1º Período)],tblEvento[],Tabelas!$E$1,FALSE)="Sim",FALSE,TRUE),TRUE),IF(tblHorasJun[Evento 
(2º Período)]&lt;&gt;"",IF(VLOOKUP(tblHorasJun[Evento 
(2º Período)],tblEvento[],Tabelas!$E$1,FALSE)="Sim",FALSE,TRUE),TRUE)),
              IF(VLOOKUP(tblHorasJun[Dia],tblDiaUtil[[Abreviatura]:[1º Período]],3,FALSE)&gt;0,VLOOKUP(tblHorasJun[Dia],tblDiaUtil[[Abreviatura]:[1º Período]],3,FALSE),JORNADA),
              ""),
         "")</f>
        <v/>
      </c>
      <c r="N11" s="14">
        <f>IF(OR(tblHorasJun[Horas Trabalhadas (1º Período)]&lt;&gt;0,tblHorasJun[Horas Trabalhadas (2º Período)]&lt;&gt;0),
        IF(ISNUMBER(tblHorasJun[Jornada Diária]),
              IF(tblHorasJun[Jornada Diária]&gt;(tblHorasJun[Horas Trabalhadas (2º Período)]+tblHorasJun[Horas Trabalhadas (1º Período)]),
                     IF(ROUND((tblHorasJun[Jornada Diária]-(tblHorasJun[Horas Trabalhadas (2º Período)]+tblHorasJun[Horas Trabalhadas (1º Período)])),6)&gt;ROUND(CARENCIA,6),
                           -tblHorasJun[Jornada Diária]+(tblHorasJun[Horas Trabalhadas (2º Período)]+tblHorasJun[Horas Trabalhadas (1º Período)]),
                           0),
                      IF(ROUND((tblHorasJun[Jornada Diária]-(tblHorasJun[Horas Trabalhadas (2º Período)]+tblHorasJun[Horas Trabalhadas (1º Período)])),6)&lt;ROUND(-CARENCIA,6),
                           -tblHorasJun[Jornada Diária]+(tblHorasJun[Horas Trabalhadas (2º Período)]+tblHorasJun[Horas Trabalhadas (1º Período)]),
                           0)),
              tblHorasJun[Horas Trabalhadas (2º Período)]+tblHorasJun[Horas Trabalhadas (1º Período)]),
         IF(AND(IF(ISERROR(VLOOKUP(tblHorasJun[Evento 
(1º Período)],tblEvento[[Evento]:[Libera o Período]],4,FALSE)),FALSE,IF(VLOOKUP(tblHorasJun[Evento 
(1º Período)],tblEvento[[Evento]:[Libera o Período]],4,FALSE)="Não",TRUE,FALSE)),IF(ISERROR(VLOOKUP(tblHorasJun[Evento 
(2º Período)],tblEvento[[Evento]:[Libera o Período]],4,FALSE)),FALSE,IF(VLOOKUP(tblHorasJun[Evento 
(2º Período)],tblEvento[[Evento]:[Libera o Período]],4,FALSE)="Não",TRUE,FALSE))),
-IF(VLOOKUP(tblHorasJun[Dia],tblDiaUtil[[Abreviatura]:[Total Jornada]],5,FALSE)&lt;&gt;"",VLOOKUP(tblHorasJun[Dia],tblDiaUtil[[Abreviatura]:[Total Jornada]],5,FALSE),JORNADA),
IF(IF(ISERROR(VLOOKUP(tblHorasJun[Evento 
(1º Período)],tblEvento[[Evento]:[Libera o Período]],4,FALSE)),FALSE,
IF(VLOOKUP(tblHorasJun[Evento 
(1º Período)],tblEvento[[Evento]:[Libera o Período]],4,FALSE)="Não",TRUE,FALSE)
),
-IF(VLOOKUP(tblHorasJun[Dia],tblDiaUtil[[Abreviatura]:[1º Período]],3,FALSE)&lt;&gt;"",VLOOKUP(tblHorasJun[Dia],tblDiaUtil[[Abreviatura]:[1º Período]],3,FALSE),JORNADA_PERIODO_1),
IF(IF(ISERROR(VLOOKUP(tblHorasJun[Evento 
(2º Período)],tblEvento[[Evento]:[Libera o Período]],4,FALSE)),FALSE,IF(VLOOKUP(tblHorasJun[Evento 
(2º Período)],tblEvento[[Evento]:[Libera o Período]],4,FALSE)="Não",TRUE,FALSE)),
-IF(VLOOKUP(tblHorasJun[Dia],tblDiaUtil[[Abreviatura]:[2º Período]],4,FALSE)&lt;&gt;"",VLOOKUP(tblHorasJun[Dia],tblDiaUtil[[Abreviatura]:[2º Período]],4,FALSE),JORNADA_PERIODO_2),0))))</f>
        <v>0</v>
      </c>
      <c r="O11" s="14">
        <f>IF(tblHorasJun[Horas Trabalhadas Além Jornada]&gt;0,
        IF(ISNUMBER(tblHorasJun[Jornada Diária]),
              IF(HOUR(tblHorasJun[Horas Trabalhadas Além Jornada])&gt;=VLOOKUP(LIMITE,tblLimiteHora[],Tabelas!$I$1,FALSE),
                    VLOOKUP(LIMITE,tblLimiteHora[],Tabelas!$J$1,FALSE),
                    tblHorasJun[Horas Trabalhadas Além Jornada]),
              tblHorasJun[Horas Trabalhadas Além Jornada]),
        tblHorasJun[Horas Trabalhadas Além Jornada])+O10</f>
        <v>0</v>
      </c>
      <c r="P11" s="14" t="str">
        <f>IF(tblHorasJun[Horas Trabalhadas Além Jornada]&lt;0,IF(OR(tblHorasJun[Evento 
(1º Período)]="",tblHorasJun[Evento 
(2º Período)]=""),tblHorasJun[Horas Trabalhadas Além Jornada],""),"")</f>
        <v/>
      </c>
      <c r="Q11" s="14" t="str">
        <f>IF(tblHorasJun[Jornada Diária]&lt;&gt;"",IF((N(tblHorasJun[Jornada Diária])-ABS(N(tblHorasJun[Horas Trabalhadas Além Jornada])))=0,1,""),"")</f>
        <v/>
      </c>
      <c r="R11" s="14" t="str">
        <f>IF(tblHorasJun[Horas Trabalhadas Além Jornada]&gt;0,
IF(AND(VLOOKUP(TEXT(tblHorasJun[Data],"dddd"),tblDiaUtil[],3,FALSE)="Sim",IF(tblHorasJun[Evento 
(1º Período)]&lt;&gt;"",IF(VLOOKUP(tblHorasJun[Evento 
(1º Período)],tblEvento[],Tabelas!$E$1,FALSE)="Sim",FALSE,TRUE),TRUE),IF(tblHorasJun[Evento 
(2º Período)]&lt;&gt;"",IF(VLOOKUP(tblHorasJun[Evento 
(2º Período)],tblEvento[],Tabelas!$E$1,FALSE)="Sim",FALSE,TRUE),TRUE)),
tblHorasJun[Horas Trabalhadas Além Jornada],""),"")</f>
        <v/>
      </c>
      <c r="S11" s="14" t="str">
        <f>IF(tblHorasJun[Horas Trabalhadas Além Jornada]&gt;0,
IF(OR(VLOOKUP(TEXT(tblHorasJun[Data],"dddd"),tblDiaUtil[],3,FALSE)="Não",IF(tblHorasJun[Evento 
(1º Período)]&lt;&gt;"",IF(VLOOKUP(tblHorasJun[Evento 
(1º Período)],tblEvento[],Tabelas!$E$1,FALSE)="Sim",TRUE,FALSE),FALSE),IF(tblHorasJun[Evento 
(2º Período)]&lt;&gt;"",IF(VLOOKUP(tblHorasJun[Evento 
(2º Período)],tblEvento[],Tabelas!$E$1,FALSE)="Sim",TRUE,FALSE),FALSE)),
tblHorasJun[Horas Trabalhadas Além Jornada],""),"")</f>
        <v/>
      </c>
      <c r="T11" s="15" t="str">
        <f>IF(tblHorasJun[Evento 
(1º Período)]&lt;&gt;""," - " &amp;VLOOKUP(tblHorasJun[Evento 
(1º Período)],tblEvento[],Tabelas!$F$1,FALSE),"")&amp;IF(AND(tblHorasJun[Evento 
(2º Período)]&lt;&gt;"",tblHorasJun[Evento 
(2º Período)]&lt;&gt;tblHorasJun[Evento 
(1º Período)])," - " &amp; VLOOKUP(tblHorasJun[Evento 
(2º Período)],tblEvento[],Tabelas!$F$1,FALSE),"")</f>
        <v/>
      </c>
    </row>
    <row r="12" spans="2:25" x14ac:dyDescent="0.25">
      <c r="B12" s="11" t="str">
        <f t="shared" si="0"/>
        <v/>
      </c>
      <c r="C12" s="12" t="str">
        <f>TEXT(tblHorasJun[Data],"ddd")</f>
        <v/>
      </c>
      <c r="D12" s="25"/>
      <c r="E12" s="1"/>
      <c r="F12" s="1"/>
      <c r="G12" s="1"/>
      <c r="H12" s="1"/>
      <c r="I12" s="53"/>
      <c r="J12" s="4">
        <f>IF($B$6&lt;&gt;"",
IF(AND(tblHorasJun[Evento 
(1º Período)]&lt;&gt;"",IF(ISERROR(VLOOKUP(tblHorasJun[Evento 
(1º Período)],tblEvento[],Tabelas!$D$1,FALSE)),FALSE,VLOOKUP(tblHorasJun[Evento 
(1º Período)],tblEvento[],Tabelas!$D$1,FALSE)="Sim")),
        IF(JORNADA_PERIODO_1&lt;&gt;"",
IF(VLOOKUP(tblHorasJun[Dia],tblDiaUtil[[Abreviatura]:[1º Período]],3,FALSE)&gt;0,VLOOKUP(tblHorasJun[Dia],tblDiaUtil[[Abreviatura]:[1º Período]],3,FALSE),JORNADA_PERIODO_1),
IF(VLOOKUP(tblHorasJun[Dia],tblDiaUtil[[Abreviatura]:[1º Período]],3,FALSE)&gt;0,VLOOKUP(tblHorasJun[Dia],tblDiaUtil[[Abreviatura]:[1º Período]],3,FALSE),JORNADA/2)),
        IF(AND(ISNUMBER(tblHorasJun[Saída - 1 (Almoço)]),ISNUMBER(tblHorasJun[Entrada - 1])),
              IF(OR(AND(tblHorasJun[Evento 
(1º Período)]&lt;&gt;"",IF(ISERROR(VLOOKUP(tblHorasJun[Evento 
(1º Período)],tblEvento[],Tabelas!$E$1,FALSE)),FALSE,VLOOKUP(tblHorasJun[Evento 
(1º Período)],tblEvento[],Tabelas!$E$1,FALSE)="Sim")),IF(VLOOKUP(TEXT(tblHorasJun[Data],"dddd"),tblDiaUtil[],2,FALSE)="Não",TRUE,FALSE)),
                   tblHorasJun[Saída - 1 (Almoço)]-tblHorasJun[Entrada - 1],
                   IF(OR(HOUR(tblHorasJun[Saída - 1 (Almoço)]-tblHorasJun[Entrada - 1])&gt;0,ROUND(tblHorasJun[Saída - 1 (Almoço)]-tblHorasJun[Entrada - 1],6)&gt;ROUND(CARENCIA,6)),
                          tblHorasJun[Saída - 1 (Almoço)]-tblHorasJun[Entrada - 1],
                          0)),
                    0)),0)</f>
        <v>0</v>
      </c>
      <c r="K12" s="4">
        <f>IF($B$6&lt;&gt;"",
IF(AND(tblHorasJun[Evento 
(2º Período)]&lt;&gt;"",IF(ISERROR(VLOOKUP(tblHorasJun[Evento 
(2º Período)],tblEvento[],Tabelas!$D$1,FALSE)),FALSE,VLOOKUP(tblHorasJun[Evento 
(2º Período)],tblEvento[],Tabelas!$D$1,FALSE)="Sim")),
        IF(JORNADA_PERIODO_2&lt;&gt;"",
IF(VLOOKUP(tblHorasJun[Dia],tblDiaUtil[[Abreviatura]:[2º Período]],4,FALSE)&gt;0,VLOOKUP(tblHorasJun[Dia],tblDiaUtil[[Abreviatura]:[2º Período]],4,FALSE),JORNADA_PERIODO_2),
IF(VLOOKUP(tblHorasJun[Dia],tblDiaUtil[[Abreviatura]:[2º Período]],4,FALSE)&gt;0,VLOOKUP(tblHorasJun[Dia],tblDiaUtil[[Abreviatura]:[2º Período]],4,FALSE),JORNADA/2)),
        IF(AND(ISNUMBER(tblHorasJun[Saída - 2]),ISNUMBER(tblHorasJun[Entrada - 2 (Almoço)])),
              IF(OR(AND(tblHorasJun[Evento 
(2º Período)]&lt;&gt;"",IF(ISERROR(VLOOKUP(tblHorasJun[Evento 
(2º Período)],tblEvento[],Tabelas!$E$1,FALSE)),FALSE,VLOOKUP(tblHorasJun[Evento 
(2º Período)],tblEvento[],Tabelas!$E$1,FALSE)="Sim")),IF(VLOOKUP(TEXT(tblHorasJun[Data],"dddd"),tblDiaUtil[],2,FALSE)="Não",TRUE,FALSE)),
                   tblHorasJun[Saída - 2]-tblHorasJun[Entrada - 2 (Almoço)],
                   IF(OR(HOUR(tblHorasJun[Saída - 2]-tblHorasJun[Entrada - 2 (Almoço)])&gt;0,MINUTE(tblHorasJun[Saída - 2]-tblHorasJun[Entrada - 2 (Almoço)])&gt;CARENCIA),
                         tblHorasJun[Saída - 2]-tblHorasJun[Entrada - 2 (Almoço)],
                         0)),
       0)),0)</f>
        <v>0</v>
      </c>
      <c r="L12" s="4">
        <f>tblHorasJun[Horas Trabalhadas (1º Período)]+tblHorasJun[Horas Trabalhadas (2º Período)]</f>
        <v>0</v>
      </c>
      <c r="M12" s="4" t="str">
        <f>IF(tblHorasJun[Data]&lt;&gt;"",
        IF(
AND(VLOOKUP(TEXT(tblHorasJun[Data],"dddd"),tblDiaUtil[],3,FALSE)="Sim",IF(tblHorasJun[Evento 
(1º Período)]&lt;&gt;"",IF(VLOOKUP(tblHorasJun[Evento 
(1º Período)],tblEvento[],Tabelas!$E$1,FALSE)="Sim",FALSE,TRUE),TRUE),IF(tblHorasJun[Evento 
(2º Período)]&lt;&gt;"",IF(VLOOKUP(tblHorasJun[Evento 
(2º Período)],tblEvento[],Tabelas!$E$1,FALSE)="Sim",FALSE,TRUE),TRUE)),
              IF(VLOOKUP(tblHorasJun[Dia],tblDiaUtil[[Abreviatura]:[1º Período]],3,FALSE)&gt;0,VLOOKUP(tblHorasJun[Dia],tblDiaUtil[[Abreviatura]:[1º Período]],3,FALSE),JORNADA),
              ""),
         "")</f>
        <v/>
      </c>
      <c r="N12" s="14">
        <f>IF(OR(tblHorasJun[Horas Trabalhadas (1º Período)]&lt;&gt;0,tblHorasJun[Horas Trabalhadas (2º Período)]&lt;&gt;0),
        IF(ISNUMBER(tblHorasJun[Jornada Diária]),
              IF(tblHorasJun[Jornada Diária]&gt;(tblHorasJun[Horas Trabalhadas (2º Período)]+tblHorasJun[Horas Trabalhadas (1º Período)]),
                     IF(ROUND((tblHorasJun[Jornada Diária]-(tblHorasJun[Horas Trabalhadas (2º Período)]+tblHorasJun[Horas Trabalhadas (1º Período)])),6)&gt;ROUND(CARENCIA,6),
                           -tblHorasJun[Jornada Diária]+(tblHorasJun[Horas Trabalhadas (2º Período)]+tblHorasJun[Horas Trabalhadas (1º Período)]),
                           0),
                      IF(ROUND((tblHorasJun[Jornada Diária]-(tblHorasJun[Horas Trabalhadas (2º Período)]+tblHorasJun[Horas Trabalhadas (1º Período)])),6)&lt;ROUND(-CARENCIA,6),
                           -tblHorasJun[Jornada Diária]+(tblHorasJun[Horas Trabalhadas (2º Período)]+tblHorasJun[Horas Trabalhadas (1º Período)]),
                           0)),
              tblHorasJun[Horas Trabalhadas (2º Período)]+tblHorasJun[Horas Trabalhadas (1º Período)]),
         IF(AND(IF(ISERROR(VLOOKUP(tblHorasJun[Evento 
(1º Período)],tblEvento[[Evento]:[Libera o Período]],4,FALSE)),FALSE,IF(VLOOKUP(tblHorasJun[Evento 
(1º Período)],tblEvento[[Evento]:[Libera o Período]],4,FALSE)="Não",TRUE,FALSE)),IF(ISERROR(VLOOKUP(tblHorasJun[Evento 
(2º Período)],tblEvento[[Evento]:[Libera o Período]],4,FALSE)),FALSE,IF(VLOOKUP(tblHorasJun[Evento 
(2º Período)],tblEvento[[Evento]:[Libera o Período]],4,FALSE)="Não",TRUE,FALSE))),
-IF(VLOOKUP(tblHorasJun[Dia],tblDiaUtil[[Abreviatura]:[Total Jornada]],5,FALSE)&lt;&gt;"",VLOOKUP(tblHorasJun[Dia],tblDiaUtil[[Abreviatura]:[Total Jornada]],5,FALSE),JORNADA),
IF(IF(ISERROR(VLOOKUP(tblHorasJun[Evento 
(1º Período)],tblEvento[[Evento]:[Libera o Período]],4,FALSE)),FALSE,
IF(VLOOKUP(tblHorasJun[Evento 
(1º Período)],tblEvento[[Evento]:[Libera o Período]],4,FALSE)="Não",TRUE,FALSE)
),
-IF(VLOOKUP(tblHorasJun[Dia],tblDiaUtil[[Abreviatura]:[1º Período]],3,FALSE)&lt;&gt;"",VLOOKUP(tblHorasJun[Dia],tblDiaUtil[[Abreviatura]:[1º Período]],3,FALSE),JORNADA_PERIODO_1),
IF(IF(ISERROR(VLOOKUP(tblHorasJun[Evento 
(2º Período)],tblEvento[[Evento]:[Libera o Período]],4,FALSE)),FALSE,IF(VLOOKUP(tblHorasJun[Evento 
(2º Período)],tblEvento[[Evento]:[Libera o Período]],4,FALSE)="Não",TRUE,FALSE)),
-IF(VLOOKUP(tblHorasJun[Dia],tblDiaUtil[[Abreviatura]:[2º Período]],4,FALSE)&lt;&gt;"",VLOOKUP(tblHorasJun[Dia],tblDiaUtil[[Abreviatura]:[2º Período]],4,FALSE),JORNADA_PERIODO_2),0))))</f>
        <v>0</v>
      </c>
      <c r="O12" s="14">
        <f>IF(tblHorasJun[Horas Trabalhadas Além Jornada]&gt;0,
        IF(ISNUMBER(tblHorasJun[Jornada Diária]),
              IF(HOUR(tblHorasJun[Horas Trabalhadas Além Jornada])&gt;=VLOOKUP(LIMITE,tblLimiteHora[],Tabelas!$I$1,FALSE),
                    VLOOKUP(LIMITE,tblLimiteHora[],Tabelas!$J$1,FALSE),
                    tblHorasJun[Horas Trabalhadas Além Jornada]),
              tblHorasJun[Horas Trabalhadas Além Jornada]),
        tblHorasJun[Horas Trabalhadas Além Jornada])+O11</f>
        <v>0</v>
      </c>
      <c r="P12" s="14" t="str">
        <f>IF(tblHorasJun[Horas Trabalhadas Além Jornada]&lt;0,IF(OR(tblHorasJun[Evento 
(1º Período)]="",tblHorasJun[Evento 
(2º Período)]=""),tblHorasJun[Horas Trabalhadas Além Jornada],""),"")</f>
        <v/>
      </c>
      <c r="Q12" s="14" t="str">
        <f>IF(tblHorasJun[Jornada Diária]&lt;&gt;"",IF((N(tblHorasJun[Jornada Diária])-ABS(N(tblHorasJun[Horas Trabalhadas Além Jornada])))=0,1,""),"")</f>
        <v/>
      </c>
      <c r="R12" s="14" t="str">
        <f>IF(tblHorasJun[Horas Trabalhadas Além Jornada]&gt;0,
IF(AND(VLOOKUP(TEXT(tblHorasJun[Data],"dddd"),tblDiaUtil[],3,FALSE)="Sim",IF(tblHorasJun[Evento 
(1º Período)]&lt;&gt;"",IF(VLOOKUP(tblHorasJun[Evento 
(1º Período)],tblEvento[],Tabelas!$E$1,FALSE)="Sim",FALSE,TRUE),TRUE),IF(tblHorasJun[Evento 
(2º Período)]&lt;&gt;"",IF(VLOOKUP(tblHorasJun[Evento 
(2º Período)],tblEvento[],Tabelas!$E$1,FALSE)="Sim",FALSE,TRUE),TRUE)),
tblHorasJun[Horas Trabalhadas Além Jornada],""),"")</f>
        <v/>
      </c>
      <c r="S12" s="14" t="str">
        <f>IF(tblHorasJun[Horas Trabalhadas Além Jornada]&gt;0,
IF(OR(VLOOKUP(TEXT(tblHorasJun[Data],"dddd"),tblDiaUtil[],3,FALSE)="Não",IF(tblHorasJun[Evento 
(1º Período)]&lt;&gt;"",IF(VLOOKUP(tblHorasJun[Evento 
(1º Período)],tblEvento[],Tabelas!$E$1,FALSE)="Sim",TRUE,FALSE),FALSE),IF(tblHorasJun[Evento 
(2º Período)]&lt;&gt;"",IF(VLOOKUP(tblHorasJun[Evento 
(2º Período)],tblEvento[],Tabelas!$E$1,FALSE)="Sim",TRUE,FALSE),FALSE)),
tblHorasJun[Horas Trabalhadas Além Jornada],""),"")</f>
        <v/>
      </c>
      <c r="T12" s="15" t="str">
        <f>IF(tblHorasJun[Evento 
(1º Período)]&lt;&gt;""," - " &amp;VLOOKUP(tblHorasJun[Evento 
(1º Período)],tblEvento[],Tabelas!$F$1,FALSE),"")&amp;IF(AND(tblHorasJun[Evento 
(2º Período)]&lt;&gt;"",tblHorasJun[Evento 
(2º Período)]&lt;&gt;tblHorasJun[Evento 
(1º Período)])," - " &amp; VLOOKUP(tblHorasJun[Evento 
(2º Período)],tblEvento[],Tabelas!$F$1,FALSE),"")</f>
        <v/>
      </c>
    </row>
    <row r="13" spans="2:25" x14ac:dyDescent="0.25">
      <c r="B13" s="11" t="str">
        <f t="shared" si="0"/>
        <v/>
      </c>
      <c r="C13" s="12" t="str">
        <f>TEXT(tblHorasJun[Data],"ddd")</f>
        <v/>
      </c>
      <c r="D13" s="25"/>
      <c r="E13" s="1"/>
      <c r="F13" s="1"/>
      <c r="G13" s="1"/>
      <c r="H13" s="1"/>
      <c r="I13" s="53"/>
      <c r="J13" s="4">
        <f>IF($B$6&lt;&gt;"",
IF(AND(tblHorasJun[Evento 
(1º Período)]&lt;&gt;"",IF(ISERROR(VLOOKUP(tblHorasJun[Evento 
(1º Período)],tblEvento[],Tabelas!$D$1,FALSE)),FALSE,VLOOKUP(tblHorasJun[Evento 
(1º Período)],tblEvento[],Tabelas!$D$1,FALSE)="Sim")),
        IF(JORNADA_PERIODO_1&lt;&gt;"",
IF(VLOOKUP(tblHorasJun[Dia],tblDiaUtil[[Abreviatura]:[1º Período]],3,FALSE)&gt;0,VLOOKUP(tblHorasJun[Dia],tblDiaUtil[[Abreviatura]:[1º Período]],3,FALSE),JORNADA_PERIODO_1),
IF(VLOOKUP(tblHorasJun[Dia],tblDiaUtil[[Abreviatura]:[1º Período]],3,FALSE)&gt;0,VLOOKUP(tblHorasJun[Dia],tblDiaUtil[[Abreviatura]:[1º Período]],3,FALSE),JORNADA/2)),
        IF(AND(ISNUMBER(tblHorasJun[Saída - 1 (Almoço)]),ISNUMBER(tblHorasJun[Entrada - 1])),
              IF(OR(AND(tblHorasJun[Evento 
(1º Período)]&lt;&gt;"",IF(ISERROR(VLOOKUP(tblHorasJun[Evento 
(1º Período)],tblEvento[],Tabelas!$E$1,FALSE)),FALSE,VLOOKUP(tblHorasJun[Evento 
(1º Período)],tblEvento[],Tabelas!$E$1,FALSE)="Sim")),IF(VLOOKUP(TEXT(tblHorasJun[Data],"dddd"),tblDiaUtil[],2,FALSE)="Não",TRUE,FALSE)),
                   tblHorasJun[Saída - 1 (Almoço)]-tblHorasJun[Entrada - 1],
                   IF(OR(HOUR(tblHorasJun[Saída - 1 (Almoço)]-tblHorasJun[Entrada - 1])&gt;0,ROUND(tblHorasJun[Saída - 1 (Almoço)]-tblHorasJun[Entrada - 1],6)&gt;ROUND(CARENCIA,6)),
                          tblHorasJun[Saída - 1 (Almoço)]-tblHorasJun[Entrada - 1],
                          0)),
                    0)),0)</f>
        <v>0</v>
      </c>
      <c r="K13" s="4">
        <f>IF($B$6&lt;&gt;"",
IF(AND(tblHorasJun[Evento 
(2º Período)]&lt;&gt;"",IF(ISERROR(VLOOKUP(tblHorasJun[Evento 
(2º Período)],tblEvento[],Tabelas!$D$1,FALSE)),FALSE,VLOOKUP(tblHorasJun[Evento 
(2º Período)],tblEvento[],Tabelas!$D$1,FALSE)="Sim")),
        IF(JORNADA_PERIODO_2&lt;&gt;"",
IF(VLOOKUP(tblHorasJun[Dia],tblDiaUtil[[Abreviatura]:[2º Período]],4,FALSE)&gt;0,VLOOKUP(tblHorasJun[Dia],tblDiaUtil[[Abreviatura]:[2º Período]],4,FALSE),JORNADA_PERIODO_2),
IF(VLOOKUP(tblHorasJun[Dia],tblDiaUtil[[Abreviatura]:[2º Período]],4,FALSE)&gt;0,VLOOKUP(tblHorasJun[Dia],tblDiaUtil[[Abreviatura]:[2º Período]],4,FALSE),JORNADA/2)),
        IF(AND(ISNUMBER(tblHorasJun[Saída - 2]),ISNUMBER(tblHorasJun[Entrada - 2 (Almoço)])),
              IF(OR(AND(tblHorasJun[Evento 
(2º Período)]&lt;&gt;"",IF(ISERROR(VLOOKUP(tblHorasJun[Evento 
(2º Período)],tblEvento[],Tabelas!$E$1,FALSE)),FALSE,VLOOKUP(tblHorasJun[Evento 
(2º Período)],tblEvento[],Tabelas!$E$1,FALSE)="Sim")),IF(VLOOKUP(TEXT(tblHorasJun[Data],"dddd"),tblDiaUtil[],2,FALSE)="Não",TRUE,FALSE)),
                   tblHorasJun[Saída - 2]-tblHorasJun[Entrada - 2 (Almoço)],
                   IF(OR(HOUR(tblHorasJun[Saída - 2]-tblHorasJun[Entrada - 2 (Almoço)])&gt;0,MINUTE(tblHorasJun[Saída - 2]-tblHorasJun[Entrada - 2 (Almoço)])&gt;CARENCIA),
                         tblHorasJun[Saída - 2]-tblHorasJun[Entrada - 2 (Almoço)],
                         0)),
       0)),0)</f>
        <v>0</v>
      </c>
      <c r="L13" s="4">
        <f>tblHorasJun[Horas Trabalhadas (1º Período)]+tblHorasJun[Horas Trabalhadas (2º Período)]</f>
        <v>0</v>
      </c>
      <c r="M13" s="4" t="str">
        <f>IF(tblHorasJun[Data]&lt;&gt;"",
        IF(
AND(VLOOKUP(TEXT(tblHorasJun[Data],"dddd"),tblDiaUtil[],3,FALSE)="Sim",IF(tblHorasJun[Evento 
(1º Período)]&lt;&gt;"",IF(VLOOKUP(tblHorasJun[Evento 
(1º Período)],tblEvento[],Tabelas!$E$1,FALSE)="Sim",FALSE,TRUE),TRUE),IF(tblHorasJun[Evento 
(2º Período)]&lt;&gt;"",IF(VLOOKUP(tblHorasJun[Evento 
(2º Período)],tblEvento[],Tabelas!$E$1,FALSE)="Sim",FALSE,TRUE),TRUE)),
              IF(VLOOKUP(tblHorasJun[Dia],tblDiaUtil[[Abreviatura]:[1º Período]],3,FALSE)&gt;0,VLOOKUP(tblHorasJun[Dia],tblDiaUtil[[Abreviatura]:[1º Período]],3,FALSE),JORNADA),
              ""),
         "")</f>
        <v/>
      </c>
      <c r="N13" s="14">
        <f>IF(OR(tblHorasJun[Horas Trabalhadas (1º Período)]&lt;&gt;0,tblHorasJun[Horas Trabalhadas (2º Período)]&lt;&gt;0),
        IF(ISNUMBER(tblHorasJun[Jornada Diária]),
              IF(tblHorasJun[Jornada Diária]&gt;(tblHorasJun[Horas Trabalhadas (2º Período)]+tblHorasJun[Horas Trabalhadas (1º Período)]),
                     IF(ROUND((tblHorasJun[Jornada Diária]-(tblHorasJun[Horas Trabalhadas (2º Período)]+tblHorasJun[Horas Trabalhadas (1º Período)])),6)&gt;ROUND(CARENCIA,6),
                           -tblHorasJun[Jornada Diária]+(tblHorasJun[Horas Trabalhadas (2º Período)]+tblHorasJun[Horas Trabalhadas (1º Período)]),
                           0),
                      IF(ROUND((tblHorasJun[Jornada Diária]-(tblHorasJun[Horas Trabalhadas (2º Período)]+tblHorasJun[Horas Trabalhadas (1º Período)])),6)&lt;ROUND(-CARENCIA,6),
                           -tblHorasJun[Jornada Diária]+(tblHorasJun[Horas Trabalhadas (2º Período)]+tblHorasJun[Horas Trabalhadas (1º Período)]),
                           0)),
              tblHorasJun[Horas Trabalhadas (2º Período)]+tblHorasJun[Horas Trabalhadas (1º Período)]),
         IF(AND(IF(ISERROR(VLOOKUP(tblHorasJun[Evento 
(1º Período)],tblEvento[[Evento]:[Libera o Período]],4,FALSE)),FALSE,IF(VLOOKUP(tblHorasJun[Evento 
(1º Período)],tblEvento[[Evento]:[Libera o Período]],4,FALSE)="Não",TRUE,FALSE)),IF(ISERROR(VLOOKUP(tblHorasJun[Evento 
(2º Período)],tblEvento[[Evento]:[Libera o Período]],4,FALSE)),FALSE,IF(VLOOKUP(tblHorasJun[Evento 
(2º Período)],tblEvento[[Evento]:[Libera o Período]],4,FALSE)="Não",TRUE,FALSE))),
-IF(VLOOKUP(tblHorasJun[Dia],tblDiaUtil[[Abreviatura]:[Total Jornada]],5,FALSE)&lt;&gt;"",VLOOKUP(tblHorasJun[Dia],tblDiaUtil[[Abreviatura]:[Total Jornada]],5,FALSE),JORNADA),
IF(IF(ISERROR(VLOOKUP(tblHorasJun[Evento 
(1º Período)],tblEvento[[Evento]:[Libera o Período]],4,FALSE)),FALSE,
IF(VLOOKUP(tblHorasJun[Evento 
(1º Período)],tblEvento[[Evento]:[Libera o Período]],4,FALSE)="Não",TRUE,FALSE)
),
-IF(VLOOKUP(tblHorasJun[Dia],tblDiaUtil[[Abreviatura]:[1º Período]],3,FALSE)&lt;&gt;"",VLOOKUP(tblHorasJun[Dia],tblDiaUtil[[Abreviatura]:[1º Período]],3,FALSE),JORNADA_PERIODO_1),
IF(IF(ISERROR(VLOOKUP(tblHorasJun[Evento 
(2º Período)],tblEvento[[Evento]:[Libera o Período]],4,FALSE)),FALSE,IF(VLOOKUP(tblHorasJun[Evento 
(2º Período)],tblEvento[[Evento]:[Libera o Período]],4,FALSE)="Não",TRUE,FALSE)),
-IF(VLOOKUP(tblHorasJun[Dia],tblDiaUtil[[Abreviatura]:[2º Período]],4,FALSE)&lt;&gt;"",VLOOKUP(tblHorasJun[Dia],tblDiaUtil[[Abreviatura]:[2º Período]],4,FALSE),JORNADA_PERIODO_2),0))))</f>
        <v>0</v>
      </c>
      <c r="O13" s="14">
        <f>IF(tblHorasJun[Horas Trabalhadas Além Jornada]&gt;0,
        IF(ISNUMBER(tblHorasJun[Jornada Diária]),
              IF(HOUR(tblHorasJun[Horas Trabalhadas Além Jornada])&gt;=VLOOKUP(LIMITE,tblLimiteHora[],Tabelas!$I$1,FALSE),
                    VLOOKUP(LIMITE,tblLimiteHora[],Tabelas!$J$1,FALSE),
                    tblHorasJun[Horas Trabalhadas Além Jornada]),
              tblHorasJun[Horas Trabalhadas Além Jornada]),
        tblHorasJun[Horas Trabalhadas Além Jornada])+O12</f>
        <v>0</v>
      </c>
      <c r="P13" s="14" t="str">
        <f>IF(tblHorasJun[Horas Trabalhadas Além Jornada]&lt;0,IF(OR(tblHorasJun[Evento 
(1º Período)]="",tblHorasJun[Evento 
(2º Período)]=""),tblHorasJun[Horas Trabalhadas Além Jornada],""),"")</f>
        <v/>
      </c>
      <c r="Q13" s="14" t="str">
        <f>IF(tblHorasJun[Jornada Diária]&lt;&gt;"",IF((N(tblHorasJun[Jornada Diária])-ABS(N(tblHorasJun[Horas Trabalhadas Além Jornada])))=0,1,""),"")</f>
        <v/>
      </c>
      <c r="R13" s="14" t="str">
        <f>IF(tblHorasJun[Horas Trabalhadas Além Jornada]&gt;0,
IF(AND(VLOOKUP(TEXT(tblHorasJun[Data],"dddd"),tblDiaUtil[],3,FALSE)="Sim",IF(tblHorasJun[Evento 
(1º Período)]&lt;&gt;"",IF(VLOOKUP(tblHorasJun[Evento 
(1º Período)],tblEvento[],Tabelas!$E$1,FALSE)="Sim",FALSE,TRUE),TRUE),IF(tblHorasJun[Evento 
(2º Período)]&lt;&gt;"",IF(VLOOKUP(tblHorasJun[Evento 
(2º Período)],tblEvento[],Tabelas!$E$1,FALSE)="Sim",FALSE,TRUE),TRUE)),
tblHorasJun[Horas Trabalhadas Além Jornada],""),"")</f>
        <v/>
      </c>
      <c r="S13" s="14" t="str">
        <f>IF(tblHorasJun[Horas Trabalhadas Além Jornada]&gt;0,
IF(OR(VLOOKUP(TEXT(tblHorasJun[Data],"dddd"),tblDiaUtil[],3,FALSE)="Não",IF(tblHorasJun[Evento 
(1º Período)]&lt;&gt;"",IF(VLOOKUP(tblHorasJun[Evento 
(1º Período)],tblEvento[],Tabelas!$E$1,FALSE)="Sim",TRUE,FALSE),FALSE),IF(tblHorasJun[Evento 
(2º Período)]&lt;&gt;"",IF(VLOOKUP(tblHorasJun[Evento 
(2º Período)],tblEvento[],Tabelas!$E$1,FALSE)="Sim",TRUE,FALSE),FALSE)),
tblHorasJun[Horas Trabalhadas Além Jornada],""),"")</f>
        <v/>
      </c>
      <c r="T13" s="15" t="str">
        <f>IF(tblHorasJun[Evento 
(1º Período)]&lt;&gt;""," - " &amp;VLOOKUP(tblHorasJun[Evento 
(1º Período)],tblEvento[],Tabelas!$F$1,FALSE),"")&amp;IF(AND(tblHorasJun[Evento 
(2º Período)]&lt;&gt;"",tblHorasJun[Evento 
(2º Período)]&lt;&gt;tblHorasJun[Evento 
(1º Período)])," - " &amp; VLOOKUP(tblHorasJun[Evento 
(2º Período)],tblEvento[],Tabelas!$F$1,FALSE),"")</f>
        <v/>
      </c>
    </row>
    <row r="14" spans="2:25" x14ac:dyDescent="0.25">
      <c r="B14" s="11" t="str">
        <f t="shared" si="0"/>
        <v/>
      </c>
      <c r="C14" s="12" t="str">
        <f>TEXT(tblHorasJun[Data],"ddd")</f>
        <v/>
      </c>
      <c r="D14" s="25"/>
      <c r="E14" s="1"/>
      <c r="F14" s="1"/>
      <c r="G14" s="1"/>
      <c r="H14" s="1"/>
      <c r="I14" s="53"/>
      <c r="J14" s="4">
        <f>IF($B$6&lt;&gt;"",
IF(AND(tblHorasJun[Evento 
(1º Período)]&lt;&gt;"",IF(ISERROR(VLOOKUP(tblHorasJun[Evento 
(1º Período)],tblEvento[],Tabelas!$D$1,FALSE)),FALSE,VLOOKUP(tblHorasJun[Evento 
(1º Período)],tblEvento[],Tabelas!$D$1,FALSE)="Sim")),
        IF(JORNADA_PERIODO_1&lt;&gt;"",
IF(VLOOKUP(tblHorasJun[Dia],tblDiaUtil[[Abreviatura]:[1º Período]],3,FALSE)&gt;0,VLOOKUP(tblHorasJun[Dia],tblDiaUtil[[Abreviatura]:[1º Período]],3,FALSE),JORNADA_PERIODO_1),
IF(VLOOKUP(tblHorasJun[Dia],tblDiaUtil[[Abreviatura]:[1º Período]],3,FALSE)&gt;0,VLOOKUP(tblHorasJun[Dia],tblDiaUtil[[Abreviatura]:[1º Período]],3,FALSE),JORNADA/2)),
        IF(AND(ISNUMBER(tblHorasJun[Saída - 1 (Almoço)]),ISNUMBER(tblHorasJun[Entrada - 1])),
              IF(OR(AND(tblHorasJun[Evento 
(1º Período)]&lt;&gt;"",IF(ISERROR(VLOOKUP(tblHorasJun[Evento 
(1º Período)],tblEvento[],Tabelas!$E$1,FALSE)),FALSE,VLOOKUP(tblHorasJun[Evento 
(1º Período)],tblEvento[],Tabelas!$E$1,FALSE)="Sim")),IF(VLOOKUP(TEXT(tblHorasJun[Data],"dddd"),tblDiaUtil[],2,FALSE)="Não",TRUE,FALSE)),
                   tblHorasJun[Saída - 1 (Almoço)]-tblHorasJun[Entrada - 1],
                   IF(OR(HOUR(tblHorasJun[Saída - 1 (Almoço)]-tblHorasJun[Entrada - 1])&gt;0,ROUND(tblHorasJun[Saída - 1 (Almoço)]-tblHorasJun[Entrada - 1],6)&gt;ROUND(CARENCIA,6)),
                          tblHorasJun[Saída - 1 (Almoço)]-tblHorasJun[Entrada - 1],
                          0)),
                    0)),0)</f>
        <v>0</v>
      </c>
      <c r="K14" s="4">
        <f>IF($B$6&lt;&gt;"",
IF(AND(tblHorasJun[Evento 
(2º Período)]&lt;&gt;"",IF(ISERROR(VLOOKUP(tblHorasJun[Evento 
(2º Período)],tblEvento[],Tabelas!$D$1,FALSE)),FALSE,VLOOKUP(tblHorasJun[Evento 
(2º Período)],tblEvento[],Tabelas!$D$1,FALSE)="Sim")),
        IF(JORNADA_PERIODO_2&lt;&gt;"",
IF(VLOOKUP(tblHorasJun[Dia],tblDiaUtil[[Abreviatura]:[2º Período]],4,FALSE)&gt;0,VLOOKUP(tblHorasJun[Dia],tblDiaUtil[[Abreviatura]:[2º Período]],4,FALSE),JORNADA_PERIODO_2),
IF(VLOOKUP(tblHorasJun[Dia],tblDiaUtil[[Abreviatura]:[2º Período]],4,FALSE)&gt;0,VLOOKUP(tblHorasJun[Dia],tblDiaUtil[[Abreviatura]:[2º Período]],4,FALSE),JORNADA/2)),
        IF(AND(ISNUMBER(tblHorasJun[Saída - 2]),ISNUMBER(tblHorasJun[Entrada - 2 (Almoço)])),
              IF(OR(AND(tblHorasJun[Evento 
(2º Período)]&lt;&gt;"",IF(ISERROR(VLOOKUP(tblHorasJun[Evento 
(2º Período)],tblEvento[],Tabelas!$E$1,FALSE)),FALSE,VLOOKUP(tblHorasJun[Evento 
(2º Período)],tblEvento[],Tabelas!$E$1,FALSE)="Sim")),IF(VLOOKUP(TEXT(tblHorasJun[Data],"dddd"),tblDiaUtil[],2,FALSE)="Não",TRUE,FALSE)),
                   tblHorasJun[Saída - 2]-tblHorasJun[Entrada - 2 (Almoço)],
                   IF(OR(HOUR(tblHorasJun[Saída - 2]-tblHorasJun[Entrada - 2 (Almoço)])&gt;0,MINUTE(tblHorasJun[Saída - 2]-tblHorasJun[Entrada - 2 (Almoço)])&gt;CARENCIA),
                         tblHorasJun[Saída - 2]-tblHorasJun[Entrada - 2 (Almoço)],
                         0)),
       0)),0)</f>
        <v>0</v>
      </c>
      <c r="L14" s="4">
        <f>tblHorasJun[Horas Trabalhadas (1º Período)]+tblHorasJun[Horas Trabalhadas (2º Período)]</f>
        <v>0</v>
      </c>
      <c r="M14" s="4" t="str">
        <f>IF(tblHorasJun[Data]&lt;&gt;"",
        IF(
AND(VLOOKUP(TEXT(tblHorasJun[Data],"dddd"),tblDiaUtil[],3,FALSE)="Sim",IF(tblHorasJun[Evento 
(1º Período)]&lt;&gt;"",IF(VLOOKUP(tblHorasJun[Evento 
(1º Período)],tblEvento[],Tabelas!$E$1,FALSE)="Sim",FALSE,TRUE),TRUE),IF(tblHorasJun[Evento 
(2º Período)]&lt;&gt;"",IF(VLOOKUP(tblHorasJun[Evento 
(2º Período)],tblEvento[],Tabelas!$E$1,FALSE)="Sim",FALSE,TRUE),TRUE)),
              IF(VLOOKUP(tblHorasJun[Dia],tblDiaUtil[[Abreviatura]:[1º Período]],3,FALSE)&gt;0,VLOOKUP(tblHorasJun[Dia],tblDiaUtil[[Abreviatura]:[1º Período]],3,FALSE),JORNADA),
              ""),
         "")</f>
        <v/>
      </c>
      <c r="N14" s="14">
        <f>IF(OR(tblHorasJun[Horas Trabalhadas (1º Período)]&lt;&gt;0,tblHorasJun[Horas Trabalhadas (2º Período)]&lt;&gt;0),
        IF(ISNUMBER(tblHorasJun[Jornada Diária]),
              IF(tblHorasJun[Jornada Diária]&gt;(tblHorasJun[Horas Trabalhadas (2º Período)]+tblHorasJun[Horas Trabalhadas (1º Período)]),
                     IF(ROUND((tblHorasJun[Jornada Diária]-(tblHorasJun[Horas Trabalhadas (2º Período)]+tblHorasJun[Horas Trabalhadas (1º Período)])),6)&gt;ROUND(CARENCIA,6),
                           -tblHorasJun[Jornada Diária]+(tblHorasJun[Horas Trabalhadas (2º Período)]+tblHorasJun[Horas Trabalhadas (1º Período)]),
                           0),
                      IF(ROUND((tblHorasJun[Jornada Diária]-(tblHorasJun[Horas Trabalhadas (2º Período)]+tblHorasJun[Horas Trabalhadas (1º Período)])),6)&lt;ROUND(-CARENCIA,6),
                           -tblHorasJun[Jornada Diária]+(tblHorasJun[Horas Trabalhadas (2º Período)]+tblHorasJun[Horas Trabalhadas (1º Período)]),
                           0)),
              tblHorasJun[Horas Trabalhadas (2º Período)]+tblHorasJun[Horas Trabalhadas (1º Período)]),
         IF(AND(IF(ISERROR(VLOOKUP(tblHorasJun[Evento 
(1º Período)],tblEvento[[Evento]:[Libera o Período]],4,FALSE)),FALSE,IF(VLOOKUP(tblHorasJun[Evento 
(1º Período)],tblEvento[[Evento]:[Libera o Período]],4,FALSE)="Não",TRUE,FALSE)),IF(ISERROR(VLOOKUP(tblHorasJun[Evento 
(2º Período)],tblEvento[[Evento]:[Libera o Período]],4,FALSE)),FALSE,IF(VLOOKUP(tblHorasJun[Evento 
(2º Período)],tblEvento[[Evento]:[Libera o Período]],4,FALSE)="Não",TRUE,FALSE))),
-IF(VLOOKUP(tblHorasJun[Dia],tblDiaUtil[[Abreviatura]:[Total Jornada]],5,FALSE)&lt;&gt;"",VLOOKUP(tblHorasJun[Dia],tblDiaUtil[[Abreviatura]:[Total Jornada]],5,FALSE),JORNADA),
IF(IF(ISERROR(VLOOKUP(tblHorasJun[Evento 
(1º Período)],tblEvento[[Evento]:[Libera o Período]],4,FALSE)),FALSE,
IF(VLOOKUP(tblHorasJun[Evento 
(1º Período)],tblEvento[[Evento]:[Libera o Período]],4,FALSE)="Não",TRUE,FALSE)
),
-IF(VLOOKUP(tblHorasJun[Dia],tblDiaUtil[[Abreviatura]:[1º Período]],3,FALSE)&lt;&gt;"",VLOOKUP(tblHorasJun[Dia],tblDiaUtil[[Abreviatura]:[1º Período]],3,FALSE),JORNADA_PERIODO_1),
IF(IF(ISERROR(VLOOKUP(tblHorasJun[Evento 
(2º Período)],tblEvento[[Evento]:[Libera o Período]],4,FALSE)),FALSE,IF(VLOOKUP(tblHorasJun[Evento 
(2º Período)],tblEvento[[Evento]:[Libera o Período]],4,FALSE)="Não",TRUE,FALSE)),
-IF(VLOOKUP(tblHorasJun[Dia],tblDiaUtil[[Abreviatura]:[2º Período]],4,FALSE)&lt;&gt;"",VLOOKUP(tblHorasJun[Dia],tblDiaUtil[[Abreviatura]:[2º Período]],4,FALSE),JORNADA_PERIODO_2),0))))</f>
        <v>0</v>
      </c>
      <c r="O14" s="14">
        <f>IF(tblHorasJun[Horas Trabalhadas Além Jornada]&gt;0,
        IF(ISNUMBER(tblHorasJun[Jornada Diária]),
              IF(HOUR(tblHorasJun[Horas Trabalhadas Além Jornada])&gt;=VLOOKUP(LIMITE,tblLimiteHora[],Tabelas!$I$1,FALSE),
                    VLOOKUP(LIMITE,tblLimiteHora[],Tabelas!$J$1,FALSE),
                    tblHorasJun[Horas Trabalhadas Além Jornada]),
              tblHorasJun[Horas Trabalhadas Além Jornada]),
        tblHorasJun[Horas Trabalhadas Além Jornada])+O13</f>
        <v>0</v>
      </c>
      <c r="P14" s="14" t="str">
        <f>IF(tblHorasJun[Horas Trabalhadas Além Jornada]&lt;0,IF(OR(tblHorasJun[Evento 
(1º Período)]="",tblHorasJun[Evento 
(2º Período)]=""),tblHorasJun[Horas Trabalhadas Além Jornada],""),"")</f>
        <v/>
      </c>
      <c r="Q14" s="14" t="str">
        <f>IF(tblHorasJun[Jornada Diária]&lt;&gt;"",IF((N(tblHorasJun[Jornada Diária])-ABS(N(tblHorasJun[Horas Trabalhadas Além Jornada])))=0,1,""),"")</f>
        <v/>
      </c>
      <c r="R14" s="14" t="str">
        <f>IF(tblHorasJun[Horas Trabalhadas Além Jornada]&gt;0,
IF(AND(VLOOKUP(TEXT(tblHorasJun[Data],"dddd"),tblDiaUtil[],3,FALSE)="Sim",IF(tblHorasJun[Evento 
(1º Período)]&lt;&gt;"",IF(VLOOKUP(tblHorasJun[Evento 
(1º Período)],tblEvento[],Tabelas!$E$1,FALSE)="Sim",FALSE,TRUE),TRUE),IF(tblHorasJun[Evento 
(2º Período)]&lt;&gt;"",IF(VLOOKUP(tblHorasJun[Evento 
(2º Período)],tblEvento[],Tabelas!$E$1,FALSE)="Sim",FALSE,TRUE),TRUE)),
tblHorasJun[Horas Trabalhadas Além Jornada],""),"")</f>
        <v/>
      </c>
      <c r="S14" s="14" t="str">
        <f>IF(tblHorasJun[Horas Trabalhadas Além Jornada]&gt;0,
IF(OR(VLOOKUP(TEXT(tblHorasJun[Data],"dddd"),tblDiaUtil[],3,FALSE)="Não",IF(tblHorasJun[Evento 
(1º Período)]&lt;&gt;"",IF(VLOOKUP(tblHorasJun[Evento 
(1º Período)],tblEvento[],Tabelas!$E$1,FALSE)="Sim",TRUE,FALSE),FALSE),IF(tblHorasJun[Evento 
(2º Período)]&lt;&gt;"",IF(VLOOKUP(tblHorasJun[Evento 
(2º Período)],tblEvento[],Tabelas!$E$1,FALSE)="Sim",TRUE,FALSE),FALSE)),
tblHorasJun[Horas Trabalhadas Além Jornada],""),"")</f>
        <v/>
      </c>
      <c r="T14" s="15" t="str">
        <f>IF(tblHorasJun[Evento 
(1º Período)]&lt;&gt;""," - " &amp;VLOOKUP(tblHorasJun[Evento 
(1º Período)],tblEvento[],Tabelas!$F$1,FALSE),"")&amp;IF(AND(tblHorasJun[Evento 
(2º Período)]&lt;&gt;"",tblHorasJun[Evento 
(2º Período)]&lt;&gt;tblHorasJun[Evento 
(1º Período)])," - " &amp; VLOOKUP(tblHorasJun[Evento 
(2º Período)],tblEvento[],Tabelas!$F$1,FALSE),"")</f>
        <v/>
      </c>
      <c r="X14" s="18"/>
      <c r="Y14" s="18"/>
    </row>
    <row r="15" spans="2:25" x14ac:dyDescent="0.25">
      <c r="B15" s="11" t="str">
        <f t="shared" si="0"/>
        <v/>
      </c>
      <c r="C15" s="12" t="str">
        <f>TEXT(tblHorasJun[Data],"ddd")</f>
        <v/>
      </c>
      <c r="D15" s="25"/>
      <c r="E15" s="1"/>
      <c r="F15" s="1"/>
      <c r="G15" s="1"/>
      <c r="H15" s="1"/>
      <c r="I15" s="53"/>
      <c r="J15" s="4">
        <f>IF($B$6&lt;&gt;"",
IF(AND(tblHorasJun[Evento 
(1º Período)]&lt;&gt;"",IF(ISERROR(VLOOKUP(tblHorasJun[Evento 
(1º Período)],tblEvento[],Tabelas!$D$1,FALSE)),FALSE,VLOOKUP(tblHorasJun[Evento 
(1º Período)],tblEvento[],Tabelas!$D$1,FALSE)="Sim")),
        IF(JORNADA_PERIODO_1&lt;&gt;"",
IF(VLOOKUP(tblHorasJun[Dia],tblDiaUtil[[Abreviatura]:[1º Período]],3,FALSE)&gt;0,VLOOKUP(tblHorasJun[Dia],tblDiaUtil[[Abreviatura]:[1º Período]],3,FALSE),JORNADA_PERIODO_1),
IF(VLOOKUP(tblHorasJun[Dia],tblDiaUtil[[Abreviatura]:[1º Período]],3,FALSE)&gt;0,VLOOKUP(tblHorasJun[Dia],tblDiaUtil[[Abreviatura]:[1º Período]],3,FALSE),JORNADA/2)),
        IF(AND(ISNUMBER(tblHorasJun[Saída - 1 (Almoço)]),ISNUMBER(tblHorasJun[Entrada - 1])),
              IF(OR(AND(tblHorasJun[Evento 
(1º Período)]&lt;&gt;"",IF(ISERROR(VLOOKUP(tblHorasJun[Evento 
(1º Período)],tblEvento[],Tabelas!$E$1,FALSE)),FALSE,VLOOKUP(tblHorasJun[Evento 
(1º Período)],tblEvento[],Tabelas!$E$1,FALSE)="Sim")),IF(VLOOKUP(TEXT(tblHorasJun[Data],"dddd"),tblDiaUtil[],2,FALSE)="Não",TRUE,FALSE)),
                   tblHorasJun[Saída - 1 (Almoço)]-tblHorasJun[Entrada - 1],
                   IF(OR(HOUR(tblHorasJun[Saída - 1 (Almoço)]-tblHorasJun[Entrada - 1])&gt;0,ROUND(tblHorasJun[Saída - 1 (Almoço)]-tblHorasJun[Entrada - 1],6)&gt;ROUND(CARENCIA,6)),
                          tblHorasJun[Saída - 1 (Almoço)]-tblHorasJun[Entrada - 1],
                          0)),
                    0)),0)</f>
        <v>0</v>
      </c>
      <c r="K15" s="4">
        <f>IF($B$6&lt;&gt;"",
IF(AND(tblHorasJun[Evento 
(2º Período)]&lt;&gt;"",IF(ISERROR(VLOOKUP(tblHorasJun[Evento 
(2º Período)],tblEvento[],Tabelas!$D$1,FALSE)),FALSE,VLOOKUP(tblHorasJun[Evento 
(2º Período)],tblEvento[],Tabelas!$D$1,FALSE)="Sim")),
        IF(JORNADA_PERIODO_2&lt;&gt;"",
IF(VLOOKUP(tblHorasJun[Dia],tblDiaUtil[[Abreviatura]:[2º Período]],4,FALSE)&gt;0,VLOOKUP(tblHorasJun[Dia],tblDiaUtil[[Abreviatura]:[2º Período]],4,FALSE),JORNADA_PERIODO_2),
IF(VLOOKUP(tblHorasJun[Dia],tblDiaUtil[[Abreviatura]:[2º Período]],4,FALSE)&gt;0,VLOOKUP(tblHorasJun[Dia],tblDiaUtil[[Abreviatura]:[2º Período]],4,FALSE),JORNADA/2)),
        IF(AND(ISNUMBER(tblHorasJun[Saída - 2]),ISNUMBER(tblHorasJun[Entrada - 2 (Almoço)])),
              IF(OR(AND(tblHorasJun[Evento 
(2º Período)]&lt;&gt;"",IF(ISERROR(VLOOKUP(tblHorasJun[Evento 
(2º Período)],tblEvento[],Tabelas!$E$1,FALSE)),FALSE,VLOOKUP(tblHorasJun[Evento 
(2º Período)],tblEvento[],Tabelas!$E$1,FALSE)="Sim")),IF(VLOOKUP(TEXT(tblHorasJun[Data],"dddd"),tblDiaUtil[],2,FALSE)="Não",TRUE,FALSE)),
                   tblHorasJun[Saída - 2]-tblHorasJun[Entrada - 2 (Almoço)],
                   IF(OR(HOUR(tblHorasJun[Saída - 2]-tblHorasJun[Entrada - 2 (Almoço)])&gt;0,MINUTE(tblHorasJun[Saída - 2]-tblHorasJun[Entrada - 2 (Almoço)])&gt;CARENCIA),
                         tblHorasJun[Saída - 2]-tblHorasJun[Entrada - 2 (Almoço)],
                         0)),
       0)),0)</f>
        <v>0</v>
      </c>
      <c r="L15" s="4">
        <f>tblHorasJun[Horas Trabalhadas (1º Período)]+tblHorasJun[Horas Trabalhadas (2º Período)]</f>
        <v>0</v>
      </c>
      <c r="M15" s="4" t="str">
        <f>IF(tblHorasJun[Data]&lt;&gt;"",
        IF(
AND(VLOOKUP(TEXT(tblHorasJun[Data],"dddd"),tblDiaUtil[],3,FALSE)="Sim",IF(tblHorasJun[Evento 
(1º Período)]&lt;&gt;"",IF(VLOOKUP(tblHorasJun[Evento 
(1º Período)],tblEvento[],Tabelas!$E$1,FALSE)="Sim",FALSE,TRUE),TRUE),IF(tblHorasJun[Evento 
(2º Período)]&lt;&gt;"",IF(VLOOKUP(tblHorasJun[Evento 
(2º Período)],tblEvento[],Tabelas!$E$1,FALSE)="Sim",FALSE,TRUE),TRUE)),
              IF(VLOOKUP(tblHorasJun[Dia],tblDiaUtil[[Abreviatura]:[1º Período]],3,FALSE)&gt;0,VLOOKUP(tblHorasJun[Dia],tblDiaUtil[[Abreviatura]:[1º Período]],3,FALSE),JORNADA),
              ""),
         "")</f>
        <v/>
      </c>
      <c r="N15" s="14">
        <f>IF(OR(tblHorasJun[Horas Trabalhadas (1º Período)]&lt;&gt;0,tblHorasJun[Horas Trabalhadas (2º Período)]&lt;&gt;0),
        IF(ISNUMBER(tblHorasJun[Jornada Diária]),
              IF(tblHorasJun[Jornada Diária]&gt;(tblHorasJun[Horas Trabalhadas (2º Período)]+tblHorasJun[Horas Trabalhadas (1º Período)]),
                     IF(ROUND((tblHorasJun[Jornada Diária]-(tblHorasJun[Horas Trabalhadas (2º Período)]+tblHorasJun[Horas Trabalhadas (1º Período)])),6)&gt;ROUND(CARENCIA,6),
                           -tblHorasJun[Jornada Diária]+(tblHorasJun[Horas Trabalhadas (2º Período)]+tblHorasJun[Horas Trabalhadas (1º Período)]),
                           0),
                      IF(ROUND((tblHorasJun[Jornada Diária]-(tblHorasJun[Horas Trabalhadas (2º Período)]+tblHorasJun[Horas Trabalhadas (1º Período)])),6)&lt;ROUND(-CARENCIA,6),
                           -tblHorasJun[Jornada Diária]+(tblHorasJun[Horas Trabalhadas (2º Período)]+tblHorasJun[Horas Trabalhadas (1º Período)]),
                           0)),
              tblHorasJun[Horas Trabalhadas (2º Período)]+tblHorasJun[Horas Trabalhadas (1º Período)]),
         IF(AND(IF(ISERROR(VLOOKUP(tblHorasJun[Evento 
(1º Período)],tblEvento[[Evento]:[Libera o Período]],4,FALSE)),FALSE,IF(VLOOKUP(tblHorasJun[Evento 
(1º Período)],tblEvento[[Evento]:[Libera o Período]],4,FALSE)="Não",TRUE,FALSE)),IF(ISERROR(VLOOKUP(tblHorasJun[Evento 
(2º Período)],tblEvento[[Evento]:[Libera o Período]],4,FALSE)),FALSE,IF(VLOOKUP(tblHorasJun[Evento 
(2º Período)],tblEvento[[Evento]:[Libera o Período]],4,FALSE)="Não",TRUE,FALSE))),
-IF(VLOOKUP(tblHorasJun[Dia],tblDiaUtil[[Abreviatura]:[Total Jornada]],5,FALSE)&lt;&gt;"",VLOOKUP(tblHorasJun[Dia],tblDiaUtil[[Abreviatura]:[Total Jornada]],5,FALSE),JORNADA),
IF(IF(ISERROR(VLOOKUP(tblHorasJun[Evento 
(1º Período)],tblEvento[[Evento]:[Libera o Período]],4,FALSE)),FALSE,
IF(VLOOKUP(tblHorasJun[Evento 
(1º Período)],tblEvento[[Evento]:[Libera o Período]],4,FALSE)="Não",TRUE,FALSE)
),
-IF(VLOOKUP(tblHorasJun[Dia],tblDiaUtil[[Abreviatura]:[1º Período]],3,FALSE)&lt;&gt;"",VLOOKUP(tblHorasJun[Dia],tblDiaUtil[[Abreviatura]:[1º Período]],3,FALSE),JORNADA_PERIODO_1),
IF(IF(ISERROR(VLOOKUP(tblHorasJun[Evento 
(2º Período)],tblEvento[[Evento]:[Libera o Período]],4,FALSE)),FALSE,IF(VLOOKUP(tblHorasJun[Evento 
(2º Período)],tblEvento[[Evento]:[Libera o Período]],4,FALSE)="Não",TRUE,FALSE)),
-IF(VLOOKUP(tblHorasJun[Dia],tblDiaUtil[[Abreviatura]:[2º Período]],4,FALSE)&lt;&gt;"",VLOOKUP(tblHorasJun[Dia],tblDiaUtil[[Abreviatura]:[2º Período]],4,FALSE),JORNADA_PERIODO_2),0))))</f>
        <v>0</v>
      </c>
      <c r="O15" s="14">
        <f>IF(tblHorasJun[Horas Trabalhadas Além Jornada]&gt;0,
        IF(ISNUMBER(tblHorasJun[Jornada Diária]),
              IF(HOUR(tblHorasJun[Horas Trabalhadas Além Jornada])&gt;=VLOOKUP(LIMITE,tblLimiteHora[],Tabelas!$I$1,FALSE),
                    VLOOKUP(LIMITE,tblLimiteHora[],Tabelas!$J$1,FALSE),
                    tblHorasJun[Horas Trabalhadas Além Jornada]),
              tblHorasJun[Horas Trabalhadas Além Jornada]),
        tblHorasJun[Horas Trabalhadas Além Jornada])+O14</f>
        <v>0</v>
      </c>
      <c r="P15" s="14" t="str">
        <f>IF(tblHorasJun[Horas Trabalhadas Além Jornada]&lt;0,IF(OR(tblHorasJun[Evento 
(1º Período)]="",tblHorasJun[Evento 
(2º Período)]=""),tblHorasJun[Horas Trabalhadas Além Jornada],""),"")</f>
        <v/>
      </c>
      <c r="Q15" s="14" t="str">
        <f>IF(tblHorasJun[Jornada Diária]&lt;&gt;"",IF((N(tblHorasJun[Jornada Diária])-ABS(N(tblHorasJun[Horas Trabalhadas Além Jornada])))=0,1,""),"")</f>
        <v/>
      </c>
      <c r="R15" s="14" t="str">
        <f>IF(tblHorasJun[Horas Trabalhadas Além Jornada]&gt;0,
IF(AND(VLOOKUP(TEXT(tblHorasJun[Data],"dddd"),tblDiaUtil[],3,FALSE)="Sim",IF(tblHorasJun[Evento 
(1º Período)]&lt;&gt;"",IF(VLOOKUP(tblHorasJun[Evento 
(1º Período)],tblEvento[],Tabelas!$E$1,FALSE)="Sim",FALSE,TRUE),TRUE),IF(tblHorasJun[Evento 
(2º Período)]&lt;&gt;"",IF(VLOOKUP(tblHorasJun[Evento 
(2º Período)],tblEvento[],Tabelas!$E$1,FALSE)="Sim",FALSE,TRUE),TRUE)),
tblHorasJun[Horas Trabalhadas Além Jornada],""),"")</f>
        <v/>
      </c>
      <c r="S15" s="14" t="str">
        <f>IF(tblHorasJun[Horas Trabalhadas Além Jornada]&gt;0,
IF(OR(VLOOKUP(TEXT(tblHorasJun[Data],"dddd"),tblDiaUtil[],3,FALSE)="Não",IF(tblHorasJun[Evento 
(1º Período)]&lt;&gt;"",IF(VLOOKUP(tblHorasJun[Evento 
(1º Período)],tblEvento[],Tabelas!$E$1,FALSE)="Sim",TRUE,FALSE),FALSE),IF(tblHorasJun[Evento 
(2º Período)]&lt;&gt;"",IF(VLOOKUP(tblHorasJun[Evento 
(2º Período)],tblEvento[],Tabelas!$E$1,FALSE)="Sim",TRUE,FALSE),FALSE)),
tblHorasJun[Horas Trabalhadas Além Jornada],""),"")</f>
        <v/>
      </c>
      <c r="T15" s="15" t="str">
        <f>IF(tblHorasJun[Evento 
(1º Período)]&lt;&gt;""," - " &amp;VLOOKUP(tblHorasJun[Evento 
(1º Período)],tblEvento[],Tabelas!$F$1,FALSE),"")&amp;IF(AND(tblHorasJun[Evento 
(2º Período)]&lt;&gt;"",tblHorasJun[Evento 
(2º Período)]&lt;&gt;tblHorasJun[Evento 
(1º Período)])," - " &amp; VLOOKUP(tblHorasJun[Evento 
(2º Período)],tblEvento[],Tabelas!$F$1,FALSE),"")</f>
        <v/>
      </c>
      <c r="X15" s="17"/>
    </row>
    <row r="16" spans="2:25" x14ac:dyDescent="0.25">
      <c r="B16" s="11" t="str">
        <f t="shared" si="0"/>
        <v/>
      </c>
      <c r="C16" s="12" t="str">
        <f>TEXT(tblHorasJun[Data],"ddd")</f>
        <v/>
      </c>
      <c r="D16" s="25"/>
      <c r="E16" s="1"/>
      <c r="F16" s="1"/>
      <c r="G16" s="1"/>
      <c r="H16" s="1"/>
      <c r="I16" s="53"/>
      <c r="J16" s="4">
        <f>IF($B$6&lt;&gt;"",
IF(AND(tblHorasJun[Evento 
(1º Período)]&lt;&gt;"",IF(ISERROR(VLOOKUP(tblHorasJun[Evento 
(1º Período)],tblEvento[],Tabelas!$D$1,FALSE)),FALSE,VLOOKUP(tblHorasJun[Evento 
(1º Período)],tblEvento[],Tabelas!$D$1,FALSE)="Sim")),
        IF(JORNADA_PERIODO_1&lt;&gt;"",
IF(VLOOKUP(tblHorasJun[Dia],tblDiaUtil[[Abreviatura]:[1º Período]],3,FALSE)&gt;0,VLOOKUP(tblHorasJun[Dia],tblDiaUtil[[Abreviatura]:[1º Período]],3,FALSE),JORNADA_PERIODO_1),
IF(VLOOKUP(tblHorasJun[Dia],tblDiaUtil[[Abreviatura]:[1º Período]],3,FALSE)&gt;0,VLOOKUP(tblHorasJun[Dia],tblDiaUtil[[Abreviatura]:[1º Período]],3,FALSE),JORNADA/2)),
        IF(AND(ISNUMBER(tblHorasJun[Saída - 1 (Almoço)]),ISNUMBER(tblHorasJun[Entrada - 1])),
              IF(OR(AND(tblHorasJun[Evento 
(1º Período)]&lt;&gt;"",IF(ISERROR(VLOOKUP(tblHorasJun[Evento 
(1º Período)],tblEvento[],Tabelas!$E$1,FALSE)),FALSE,VLOOKUP(tblHorasJun[Evento 
(1º Período)],tblEvento[],Tabelas!$E$1,FALSE)="Sim")),IF(VLOOKUP(TEXT(tblHorasJun[Data],"dddd"),tblDiaUtil[],2,FALSE)="Não",TRUE,FALSE)),
                   tblHorasJun[Saída - 1 (Almoço)]-tblHorasJun[Entrada - 1],
                   IF(OR(HOUR(tblHorasJun[Saída - 1 (Almoço)]-tblHorasJun[Entrada - 1])&gt;0,ROUND(tblHorasJun[Saída - 1 (Almoço)]-tblHorasJun[Entrada - 1],6)&gt;ROUND(CARENCIA,6)),
                          tblHorasJun[Saída - 1 (Almoço)]-tblHorasJun[Entrada - 1],
                          0)),
                    0)),0)</f>
        <v>0</v>
      </c>
      <c r="K16" s="4">
        <f>IF($B$6&lt;&gt;"",
IF(AND(tblHorasJun[Evento 
(2º Período)]&lt;&gt;"",IF(ISERROR(VLOOKUP(tblHorasJun[Evento 
(2º Período)],tblEvento[],Tabelas!$D$1,FALSE)),FALSE,VLOOKUP(tblHorasJun[Evento 
(2º Período)],tblEvento[],Tabelas!$D$1,FALSE)="Sim")),
        IF(JORNADA_PERIODO_2&lt;&gt;"",
IF(VLOOKUP(tblHorasJun[Dia],tblDiaUtil[[Abreviatura]:[2º Período]],4,FALSE)&gt;0,VLOOKUP(tblHorasJun[Dia],tblDiaUtil[[Abreviatura]:[2º Período]],4,FALSE),JORNADA_PERIODO_2),
IF(VLOOKUP(tblHorasJun[Dia],tblDiaUtil[[Abreviatura]:[2º Período]],4,FALSE)&gt;0,VLOOKUP(tblHorasJun[Dia],tblDiaUtil[[Abreviatura]:[2º Período]],4,FALSE),JORNADA/2)),
        IF(AND(ISNUMBER(tblHorasJun[Saída - 2]),ISNUMBER(tblHorasJun[Entrada - 2 (Almoço)])),
              IF(OR(AND(tblHorasJun[Evento 
(2º Período)]&lt;&gt;"",IF(ISERROR(VLOOKUP(tblHorasJun[Evento 
(2º Período)],tblEvento[],Tabelas!$E$1,FALSE)),FALSE,VLOOKUP(tblHorasJun[Evento 
(2º Período)],tblEvento[],Tabelas!$E$1,FALSE)="Sim")),IF(VLOOKUP(TEXT(tblHorasJun[Data],"dddd"),tblDiaUtil[],2,FALSE)="Não",TRUE,FALSE)),
                   tblHorasJun[Saída - 2]-tblHorasJun[Entrada - 2 (Almoço)],
                   IF(OR(HOUR(tblHorasJun[Saída - 2]-tblHorasJun[Entrada - 2 (Almoço)])&gt;0,MINUTE(tblHorasJun[Saída - 2]-tblHorasJun[Entrada - 2 (Almoço)])&gt;CARENCIA),
                         tblHorasJun[Saída - 2]-tblHorasJun[Entrada - 2 (Almoço)],
                         0)),
       0)),0)</f>
        <v>0</v>
      </c>
      <c r="L16" s="4">
        <f>tblHorasJun[Horas Trabalhadas (1º Período)]+tblHorasJun[Horas Trabalhadas (2º Período)]</f>
        <v>0</v>
      </c>
      <c r="M16" s="4" t="str">
        <f>IF(tblHorasJun[Data]&lt;&gt;"",
        IF(
AND(VLOOKUP(TEXT(tblHorasJun[Data],"dddd"),tblDiaUtil[],3,FALSE)="Sim",IF(tblHorasJun[Evento 
(1º Período)]&lt;&gt;"",IF(VLOOKUP(tblHorasJun[Evento 
(1º Período)],tblEvento[],Tabelas!$E$1,FALSE)="Sim",FALSE,TRUE),TRUE),IF(tblHorasJun[Evento 
(2º Período)]&lt;&gt;"",IF(VLOOKUP(tblHorasJun[Evento 
(2º Período)],tblEvento[],Tabelas!$E$1,FALSE)="Sim",FALSE,TRUE),TRUE)),
              IF(VLOOKUP(tblHorasJun[Dia],tblDiaUtil[[Abreviatura]:[1º Período]],3,FALSE)&gt;0,VLOOKUP(tblHorasJun[Dia],tblDiaUtil[[Abreviatura]:[1º Período]],3,FALSE),JORNADA),
              ""),
         "")</f>
        <v/>
      </c>
      <c r="N16" s="14">
        <f>IF(OR(tblHorasJun[Horas Trabalhadas (1º Período)]&lt;&gt;0,tblHorasJun[Horas Trabalhadas (2º Período)]&lt;&gt;0),
        IF(ISNUMBER(tblHorasJun[Jornada Diária]),
              IF(tblHorasJun[Jornada Diária]&gt;(tblHorasJun[Horas Trabalhadas (2º Período)]+tblHorasJun[Horas Trabalhadas (1º Período)]),
                     IF(ROUND((tblHorasJun[Jornada Diária]-(tblHorasJun[Horas Trabalhadas (2º Período)]+tblHorasJun[Horas Trabalhadas (1º Período)])),6)&gt;ROUND(CARENCIA,6),
                           -tblHorasJun[Jornada Diária]+(tblHorasJun[Horas Trabalhadas (2º Período)]+tblHorasJun[Horas Trabalhadas (1º Período)]),
                           0),
                      IF(ROUND((tblHorasJun[Jornada Diária]-(tblHorasJun[Horas Trabalhadas (2º Período)]+tblHorasJun[Horas Trabalhadas (1º Período)])),6)&lt;ROUND(-CARENCIA,6),
                           -tblHorasJun[Jornada Diária]+(tblHorasJun[Horas Trabalhadas (2º Período)]+tblHorasJun[Horas Trabalhadas (1º Período)]),
                           0)),
              tblHorasJun[Horas Trabalhadas (2º Período)]+tblHorasJun[Horas Trabalhadas (1º Período)]),
         IF(AND(IF(ISERROR(VLOOKUP(tblHorasJun[Evento 
(1º Período)],tblEvento[[Evento]:[Libera o Período]],4,FALSE)),FALSE,IF(VLOOKUP(tblHorasJun[Evento 
(1º Período)],tblEvento[[Evento]:[Libera o Período]],4,FALSE)="Não",TRUE,FALSE)),IF(ISERROR(VLOOKUP(tblHorasJun[Evento 
(2º Período)],tblEvento[[Evento]:[Libera o Período]],4,FALSE)),FALSE,IF(VLOOKUP(tblHorasJun[Evento 
(2º Período)],tblEvento[[Evento]:[Libera o Período]],4,FALSE)="Não",TRUE,FALSE))),
-IF(VLOOKUP(tblHorasJun[Dia],tblDiaUtil[[Abreviatura]:[Total Jornada]],5,FALSE)&lt;&gt;"",VLOOKUP(tblHorasJun[Dia],tblDiaUtil[[Abreviatura]:[Total Jornada]],5,FALSE),JORNADA),
IF(IF(ISERROR(VLOOKUP(tblHorasJun[Evento 
(1º Período)],tblEvento[[Evento]:[Libera o Período]],4,FALSE)),FALSE,
IF(VLOOKUP(tblHorasJun[Evento 
(1º Período)],tblEvento[[Evento]:[Libera o Período]],4,FALSE)="Não",TRUE,FALSE)
),
-IF(VLOOKUP(tblHorasJun[Dia],tblDiaUtil[[Abreviatura]:[1º Período]],3,FALSE)&lt;&gt;"",VLOOKUP(tblHorasJun[Dia],tblDiaUtil[[Abreviatura]:[1º Período]],3,FALSE),JORNADA_PERIODO_1),
IF(IF(ISERROR(VLOOKUP(tblHorasJun[Evento 
(2º Período)],tblEvento[[Evento]:[Libera o Período]],4,FALSE)),FALSE,IF(VLOOKUP(tblHorasJun[Evento 
(2º Período)],tblEvento[[Evento]:[Libera o Período]],4,FALSE)="Não",TRUE,FALSE)),
-IF(VLOOKUP(tblHorasJun[Dia],tblDiaUtil[[Abreviatura]:[2º Período]],4,FALSE)&lt;&gt;"",VLOOKUP(tblHorasJun[Dia],tblDiaUtil[[Abreviatura]:[2º Período]],4,FALSE),JORNADA_PERIODO_2),0))))</f>
        <v>0</v>
      </c>
      <c r="O16" s="14">
        <f>IF(tblHorasJun[Horas Trabalhadas Além Jornada]&gt;0,
        IF(ISNUMBER(tblHorasJun[Jornada Diária]),
              IF(HOUR(tblHorasJun[Horas Trabalhadas Além Jornada])&gt;=VLOOKUP(LIMITE,tblLimiteHora[],Tabelas!$I$1,FALSE),
                    VLOOKUP(LIMITE,tblLimiteHora[],Tabelas!$J$1,FALSE),
                    tblHorasJun[Horas Trabalhadas Além Jornada]),
              tblHorasJun[Horas Trabalhadas Além Jornada]),
        tblHorasJun[Horas Trabalhadas Além Jornada])+O15</f>
        <v>0</v>
      </c>
      <c r="P16" s="14" t="str">
        <f>IF(tblHorasJun[Horas Trabalhadas Além Jornada]&lt;0,IF(OR(tblHorasJun[Evento 
(1º Período)]="",tblHorasJun[Evento 
(2º Período)]=""),tblHorasJun[Horas Trabalhadas Além Jornada],""),"")</f>
        <v/>
      </c>
      <c r="Q16" s="14" t="str">
        <f>IF(tblHorasJun[Jornada Diária]&lt;&gt;"",IF((N(tblHorasJun[Jornada Diária])-ABS(N(tblHorasJun[Horas Trabalhadas Além Jornada])))=0,1,""),"")</f>
        <v/>
      </c>
      <c r="R16" s="14" t="str">
        <f>IF(tblHorasJun[Horas Trabalhadas Além Jornada]&gt;0,
IF(AND(VLOOKUP(TEXT(tblHorasJun[Data],"dddd"),tblDiaUtil[],3,FALSE)="Sim",IF(tblHorasJun[Evento 
(1º Período)]&lt;&gt;"",IF(VLOOKUP(tblHorasJun[Evento 
(1º Período)],tblEvento[],Tabelas!$E$1,FALSE)="Sim",FALSE,TRUE),TRUE),IF(tblHorasJun[Evento 
(2º Período)]&lt;&gt;"",IF(VLOOKUP(tblHorasJun[Evento 
(2º Período)],tblEvento[],Tabelas!$E$1,FALSE)="Sim",FALSE,TRUE),TRUE)),
tblHorasJun[Horas Trabalhadas Além Jornada],""),"")</f>
        <v/>
      </c>
      <c r="S16" s="14" t="str">
        <f>IF(tblHorasJun[Horas Trabalhadas Além Jornada]&gt;0,
IF(OR(VLOOKUP(TEXT(tblHorasJun[Data],"dddd"),tblDiaUtil[],3,FALSE)="Não",IF(tblHorasJun[Evento 
(1º Período)]&lt;&gt;"",IF(VLOOKUP(tblHorasJun[Evento 
(1º Período)],tblEvento[],Tabelas!$E$1,FALSE)="Sim",TRUE,FALSE),FALSE),IF(tblHorasJun[Evento 
(2º Período)]&lt;&gt;"",IF(VLOOKUP(tblHorasJun[Evento 
(2º Período)],tblEvento[],Tabelas!$E$1,FALSE)="Sim",TRUE,FALSE),FALSE)),
tblHorasJun[Horas Trabalhadas Além Jornada],""),"")</f>
        <v/>
      </c>
      <c r="T16" s="15" t="str">
        <f>IF(tblHorasJun[Evento 
(1º Período)]&lt;&gt;""," - " &amp;VLOOKUP(tblHorasJun[Evento 
(1º Período)],tblEvento[],Tabelas!$F$1,FALSE),"")&amp;IF(AND(tblHorasJun[Evento 
(2º Período)]&lt;&gt;"",tblHorasJun[Evento 
(2º Período)]&lt;&gt;tblHorasJun[Evento 
(1º Período)])," - " &amp; VLOOKUP(tblHorasJun[Evento 
(2º Período)],tblEvento[],Tabelas!$F$1,FALSE),"")</f>
        <v/>
      </c>
    </row>
    <row r="17" spans="2:20" x14ac:dyDescent="0.25">
      <c r="B17" s="11" t="str">
        <f t="shared" si="0"/>
        <v/>
      </c>
      <c r="C17" s="12" t="str">
        <f>TEXT(tblHorasJun[Data],"ddd")</f>
        <v/>
      </c>
      <c r="D17" s="25"/>
      <c r="E17" s="1"/>
      <c r="F17" s="1"/>
      <c r="G17" s="1"/>
      <c r="H17" s="1"/>
      <c r="I17" s="53"/>
      <c r="J17" s="4">
        <f>IF($B$6&lt;&gt;"",
IF(AND(tblHorasJun[Evento 
(1º Período)]&lt;&gt;"",IF(ISERROR(VLOOKUP(tblHorasJun[Evento 
(1º Período)],tblEvento[],Tabelas!$D$1,FALSE)),FALSE,VLOOKUP(tblHorasJun[Evento 
(1º Período)],tblEvento[],Tabelas!$D$1,FALSE)="Sim")),
        IF(JORNADA_PERIODO_1&lt;&gt;"",
IF(VLOOKUP(tblHorasJun[Dia],tblDiaUtil[[Abreviatura]:[1º Período]],3,FALSE)&gt;0,VLOOKUP(tblHorasJun[Dia],tblDiaUtil[[Abreviatura]:[1º Período]],3,FALSE),JORNADA_PERIODO_1),
IF(VLOOKUP(tblHorasJun[Dia],tblDiaUtil[[Abreviatura]:[1º Período]],3,FALSE)&gt;0,VLOOKUP(tblHorasJun[Dia],tblDiaUtil[[Abreviatura]:[1º Período]],3,FALSE),JORNADA/2)),
        IF(AND(ISNUMBER(tblHorasJun[Saída - 1 (Almoço)]),ISNUMBER(tblHorasJun[Entrada - 1])),
              IF(OR(AND(tblHorasJun[Evento 
(1º Período)]&lt;&gt;"",IF(ISERROR(VLOOKUP(tblHorasJun[Evento 
(1º Período)],tblEvento[],Tabelas!$E$1,FALSE)),FALSE,VLOOKUP(tblHorasJun[Evento 
(1º Período)],tblEvento[],Tabelas!$E$1,FALSE)="Sim")),IF(VLOOKUP(TEXT(tblHorasJun[Data],"dddd"),tblDiaUtil[],2,FALSE)="Não",TRUE,FALSE)),
                   tblHorasJun[Saída - 1 (Almoço)]-tblHorasJun[Entrada - 1],
                   IF(OR(HOUR(tblHorasJun[Saída - 1 (Almoço)]-tblHorasJun[Entrada - 1])&gt;0,ROUND(tblHorasJun[Saída - 1 (Almoço)]-tblHorasJun[Entrada - 1],6)&gt;ROUND(CARENCIA,6)),
                          tblHorasJun[Saída - 1 (Almoço)]-tblHorasJun[Entrada - 1],
                          0)),
                    0)),0)</f>
        <v>0</v>
      </c>
      <c r="K17" s="4">
        <f>IF($B$6&lt;&gt;"",
IF(AND(tblHorasJun[Evento 
(2º Período)]&lt;&gt;"",IF(ISERROR(VLOOKUP(tblHorasJun[Evento 
(2º Período)],tblEvento[],Tabelas!$D$1,FALSE)),FALSE,VLOOKUP(tblHorasJun[Evento 
(2º Período)],tblEvento[],Tabelas!$D$1,FALSE)="Sim")),
        IF(JORNADA_PERIODO_2&lt;&gt;"",
IF(VLOOKUP(tblHorasJun[Dia],tblDiaUtil[[Abreviatura]:[2º Período]],4,FALSE)&gt;0,VLOOKUP(tblHorasJun[Dia],tblDiaUtil[[Abreviatura]:[2º Período]],4,FALSE),JORNADA_PERIODO_2),
IF(VLOOKUP(tblHorasJun[Dia],tblDiaUtil[[Abreviatura]:[2º Período]],4,FALSE)&gt;0,VLOOKUP(tblHorasJun[Dia],tblDiaUtil[[Abreviatura]:[2º Período]],4,FALSE),JORNADA/2)),
        IF(AND(ISNUMBER(tblHorasJun[Saída - 2]),ISNUMBER(tblHorasJun[Entrada - 2 (Almoço)])),
              IF(OR(AND(tblHorasJun[Evento 
(2º Período)]&lt;&gt;"",IF(ISERROR(VLOOKUP(tblHorasJun[Evento 
(2º Período)],tblEvento[],Tabelas!$E$1,FALSE)),FALSE,VLOOKUP(tblHorasJun[Evento 
(2º Período)],tblEvento[],Tabelas!$E$1,FALSE)="Sim")),IF(VLOOKUP(TEXT(tblHorasJun[Data],"dddd"),tblDiaUtil[],2,FALSE)="Não",TRUE,FALSE)),
                   tblHorasJun[Saída - 2]-tblHorasJun[Entrada - 2 (Almoço)],
                   IF(OR(HOUR(tblHorasJun[Saída - 2]-tblHorasJun[Entrada - 2 (Almoço)])&gt;0,MINUTE(tblHorasJun[Saída - 2]-tblHorasJun[Entrada - 2 (Almoço)])&gt;CARENCIA),
                         tblHorasJun[Saída - 2]-tblHorasJun[Entrada - 2 (Almoço)],
                         0)),
       0)),0)</f>
        <v>0</v>
      </c>
      <c r="L17" s="4">
        <f>tblHorasJun[Horas Trabalhadas (1º Período)]+tblHorasJun[Horas Trabalhadas (2º Período)]</f>
        <v>0</v>
      </c>
      <c r="M17" s="4" t="str">
        <f>IF(tblHorasJun[Data]&lt;&gt;"",
        IF(
AND(VLOOKUP(TEXT(tblHorasJun[Data],"dddd"),tblDiaUtil[],3,FALSE)="Sim",IF(tblHorasJun[Evento 
(1º Período)]&lt;&gt;"",IF(VLOOKUP(tblHorasJun[Evento 
(1º Período)],tblEvento[],Tabelas!$E$1,FALSE)="Sim",FALSE,TRUE),TRUE),IF(tblHorasJun[Evento 
(2º Período)]&lt;&gt;"",IF(VLOOKUP(tblHorasJun[Evento 
(2º Período)],tblEvento[],Tabelas!$E$1,FALSE)="Sim",FALSE,TRUE),TRUE)),
              IF(VLOOKUP(tblHorasJun[Dia],tblDiaUtil[[Abreviatura]:[1º Período]],3,FALSE)&gt;0,VLOOKUP(tblHorasJun[Dia],tblDiaUtil[[Abreviatura]:[1º Período]],3,FALSE),JORNADA),
              ""),
         "")</f>
        <v/>
      </c>
      <c r="N17" s="14">
        <f>IF(OR(tblHorasJun[Horas Trabalhadas (1º Período)]&lt;&gt;0,tblHorasJun[Horas Trabalhadas (2º Período)]&lt;&gt;0),
        IF(ISNUMBER(tblHorasJun[Jornada Diária]),
              IF(tblHorasJun[Jornada Diária]&gt;(tblHorasJun[Horas Trabalhadas (2º Período)]+tblHorasJun[Horas Trabalhadas (1º Período)]),
                     IF(ROUND((tblHorasJun[Jornada Diária]-(tblHorasJun[Horas Trabalhadas (2º Período)]+tblHorasJun[Horas Trabalhadas (1º Período)])),6)&gt;ROUND(CARENCIA,6),
                           -tblHorasJun[Jornada Diária]+(tblHorasJun[Horas Trabalhadas (2º Período)]+tblHorasJun[Horas Trabalhadas (1º Período)]),
                           0),
                      IF(ROUND((tblHorasJun[Jornada Diária]-(tblHorasJun[Horas Trabalhadas (2º Período)]+tblHorasJun[Horas Trabalhadas (1º Período)])),6)&lt;ROUND(-CARENCIA,6),
                           -tblHorasJun[Jornada Diária]+(tblHorasJun[Horas Trabalhadas (2º Período)]+tblHorasJun[Horas Trabalhadas (1º Período)]),
                           0)),
              tblHorasJun[Horas Trabalhadas (2º Período)]+tblHorasJun[Horas Trabalhadas (1º Período)]),
         IF(AND(IF(ISERROR(VLOOKUP(tblHorasJun[Evento 
(1º Período)],tblEvento[[Evento]:[Libera o Período]],4,FALSE)),FALSE,IF(VLOOKUP(tblHorasJun[Evento 
(1º Período)],tblEvento[[Evento]:[Libera o Período]],4,FALSE)="Não",TRUE,FALSE)),IF(ISERROR(VLOOKUP(tblHorasJun[Evento 
(2º Período)],tblEvento[[Evento]:[Libera o Período]],4,FALSE)),FALSE,IF(VLOOKUP(tblHorasJun[Evento 
(2º Período)],tblEvento[[Evento]:[Libera o Período]],4,FALSE)="Não",TRUE,FALSE))),
-IF(VLOOKUP(tblHorasJun[Dia],tblDiaUtil[[Abreviatura]:[Total Jornada]],5,FALSE)&lt;&gt;"",VLOOKUP(tblHorasJun[Dia],tblDiaUtil[[Abreviatura]:[Total Jornada]],5,FALSE),JORNADA),
IF(IF(ISERROR(VLOOKUP(tblHorasJun[Evento 
(1º Período)],tblEvento[[Evento]:[Libera o Período]],4,FALSE)),FALSE,
IF(VLOOKUP(tblHorasJun[Evento 
(1º Período)],tblEvento[[Evento]:[Libera o Período]],4,FALSE)="Não",TRUE,FALSE)
),
-IF(VLOOKUP(tblHorasJun[Dia],tblDiaUtil[[Abreviatura]:[1º Período]],3,FALSE)&lt;&gt;"",VLOOKUP(tblHorasJun[Dia],tblDiaUtil[[Abreviatura]:[1º Período]],3,FALSE),JORNADA_PERIODO_1),
IF(IF(ISERROR(VLOOKUP(tblHorasJun[Evento 
(2º Período)],tblEvento[[Evento]:[Libera o Período]],4,FALSE)),FALSE,IF(VLOOKUP(tblHorasJun[Evento 
(2º Período)],tblEvento[[Evento]:[Libera o Período]],4,FALSE)="Não",TRUE,FALSE)),
-IF(VLOOKUP(tblHorasJun[Dia],tblDiaUtil[[Abreviatura]:[2º Período]],4,FALSE)&lt;&gt;"",VLOOKUP(tblHorasJun[Dia],tblDiaUtil[[Abreviatura]:[2º Período]],4,FALSE),JORNADA_PERIODO_2),0))))</f>
        <v>0</v>
      </c>
      <c r="O17" s="14">
        <f>IF(tblHorasJun[Horas Trabalhadas Além Jornada]&gt;0,
        IF(ISNUMBER(tblHorasJun[Jornada Diária]),
              IF(HOUR(tblHorasJun[Horas Trabalhadas Além Jornada])&gt;=VLOOKUP(LIMITE,tblLimiteHora[],Tabelas!$I$1,FALSE),
                    VLOOKUP(LIMITE,tblLimiteHora[],Tabelas!$J$1,FALSE),
                    tblHorasJun[Horas Trabalhadas Além Jornada]),
              tblHorasJun[Horas Trabalhadas Além Jornada]),
        tblHorasJun[Horas Trabalhadas Além Jornada])+O16</f>
        <v>0</v>
      </c>
      <c r="P17" s="14" t="str">
        <f>IF(tblHorasJun[Horas Trabalhadas Além Jornada]&lt;0,IF(OR(tblHorasJun[Evento 
(1º Período)]="",tblHorasJun[Evento 
(2º Período)]=""),tblHorasJun[Horas Trabalhadas Além Jornada],""),"")</f>
        <v/>
      </c>
      <c r="Q17" s="14" t="str">
        <f>IF(tblHorasJun[Jornada Diária]&lt;&gt;"",IF((N(tblHorasJun[Jornada Diária])-ABS(N(tblHorasJun[Horas Trabalhadas Além Jornada])))=0,1,""),"")</f>
        <v/>
      </c>
      <c r="R17" s="14" t="str">
        <f>IF(tblHorasJun[Horas Trabalhadas Além Jornada]&gt;0,
IF(AND(VLOOKUP(TEXT(tblHorasJun[Data],"dddd"),tblDiaUtil[],3,FALSE)="Sim",IF(tblHorasJun[Evento 
(1º Período)]&lt;&gt;"",IF(VLOOKUP(tblHorasJun[Evento 
(1º Período)],tblEvento[],Tabelas!$E$1,FALSE)="Sim",FALSE,TRUE),TRUE),IF(tblHorasJun[Evento 
(2º Período)]&lt;&gt;"",IF(VLOOKUP(tblHorasJun[Evento 
(2º Período)],tblEvento[],Tabelas!$E$1,FALSE)="Sim",FALSE,TRUE),TRUE)),
tblHorasJun[Horas Trabalhadas Além Jornada],""),"")</f>
        <v/>
      </c>
      <c r="S17" s="14" t="str">
        <f>IF(tblHorasJun[Horas Trabalhadas Além Jornada]&gt;0,
IF(OR(VLOOKUP(TEXT(tblHorasJun[Data],"dddd"),tblDiaUtil[],3,FALSE)="Não",IF(tblHorasJun[Evento 
(1º Período)]&lt;&gt;"",IF(VLOOKUP(tblHorasJun[Evento 
(1º Período)],tblEvento[],Tabelas!$E$1,FALSE)="Sim",TRUE,FALSE),FALSE),IF(tblHorasJun[Evento 
(2º Período)]&lt;&gt;"",IF(VLOOKUP(tblHorasJun[Evento 
(2º Período)],tblEvento[],Tabelas!$E$1,FALSE)="Sim",TRUE,FALSE),FALSE)),
tblHorasJun[Horas Trabalhadas Além Jornada],""),"")</f>
        <v/>
      </c>
      <c r="T17" s="15" t="str">
        <f>IF(tblHorasJun[Evento 
(1º Período)]&lt;&gt;""," - " &amp;VLOOKUP(tblHorasJun[Evento 
(1º Período)],tblEvento[],Tabelas!$F$1,FALSE),"")&amp;IF(AND(tblHorasJun[Evento 
(2º Período)]&lt;&gt;"",tblHorasJun[Evento 
(2º Período)]&lt;&gt;tblHorasJun[Evento 
(1º Período)])," - " &amp; VLOOKUP(tblHorasJun[Evento 
(2º Período)],tblEvento[],Tabelas!$F$1,FALSE),"")</f>
        <v/>
      </c>
    </row>
    <row r="18" spans="2:20" x14ac:dyDescent="0.25">
      <c r="B18" s="11" t="str">
        <f t="shared" si="0"/>
        <v/>
      </c>
      <c r="C18" s="12" t="str">
        <f>TEXT(tblHorasJun[Data],"ddd")</f>
        <v/>
      </c>
      <c r="D18" s="25"/>
      <c r="E18" s="1"/>
      <c r="F18" s="1"/>
      <c r="G18" s="1"/>
      <c r="H18" s="1"/>
      <c r="I18" s="53"/>
      <c r="J18" s="4">
        <f>IF($B$6&lt;&gt;"",
IF(AND(tblHorasJun[Evento 
(1º Período)]&lt;&gt;"",IF(ISERROR(VLOOKUP(tblHorasJun[Evento 
(1º Período)],tblEvento[],Tabelas!$D$1,FALSE)),FALSE,VLOOKUP(tblHorasJun[Evento 
(1º Período)],tblEvento[],Tabelas!$D$1,FALSE)="Sim")),
        IF(JORNADA_PERIODO_1&lt;&gt;"",
IF(VLOOKUP(tblHorasJun[Dia],tblDiaUtil[[Abreviatura]:[1º Período]],3,FALSE)&gt;0,VLOOKUP(tblHorasJun[Dia],tblDiaUtil[[Abreviatura]:[1º Período]],3,FALSE),JORNADA_PERIODO_1),
IF(VLOOKUP(tblHorasJun[Dia],tblDiaUtil[[Abreviatura]:[1º Período]],3,FALSE)&gt;0,VLOOKUP(tblHorasJun[Dia],tblDiaUtil[[Abreviatura]:[1º Período]],3,FALSE),JORNADA/2)),
        IF(AND(ISNUMBER(tblHorasJun[Saída - 1 (Almoço)]),ISNUMBER(tblHorasJun[Entrada - 1])),
              IF(OR(AND(tblHorasJun[Evento 
(1º Período)]&lt;&gt;"",IF(ISERROR(VLOOKUP(tblHorasJun[Evento 
(1º Período)],tblEvento[],Tabelas!$E$1,FALSE)),FALSE,VLOOKUP(tblHorasJun[Evento 
(1º Período)],tblEvento[],Tabelas!$E$1,FALSE)="Sim")),IF(VLOOKUP(TEXT(tblHorasJun[Data],"dddd"),tblDiaUtil[],2,FALSE)="Não",TRUE,FALSE)),
                   tblHorasJun[Saída - 1 (Almoço)]-tblHorasJun[Entrada - 1],
                   IF(OR(HOUR(tblHorasJun[Saída - 1 (Almoço)]-tblHorasJun[Entrada - 1])&gt;0,ROUND(tblHorasJun[Saída - 1 (Almoço)]-tblHorasJun[Entrada - 1],6)&gt;ROUND(CARENCIA,6)),
                          tblHorasJun[Saída - 1 (Almoço)]-tblHorasJun[Entrada - 1],
                          0)),
                    0)),0)</f>
        <v>0</v>
      </c>
      <c r="K18" s="4">
        <f>IF($B$6&lt;&gt;"",
IF(AND(tblHorasJun[Evento 
(2º Período)]&lt;&gt;"",IF(ISERROR(VLOOKUP(tblHorasJun[Evento 
(2º Período)],tblEvento[],Tabelas!$D$1,FALSE)),FALSE,VLOOKUP(tblHorasJun[Evento 
(2º Período)],tblEvento[],Tabelas!$D$1,FALSE)="Sim")),
        IF(JORNADA_PERIODO_2&lt;&gt;"",
IF(VLOOKUP(tblHorasJun[Dia],tblDiaUtil[[Abreviatura]:[2º Período]],4,FALSE)&gt;0,VLOOKUP(tblHorasJun[Dia],tblDiaUtil[[Abreviatura]:[2º Período]],4,FALSE),JORNADA_PERIODO_2),
IF(VLOOKUP(tblHorasJun[Dia],tblDiaUtil[[Abreviatura]:[2º Período]],4,FALSE)&gt;0,VLOOKUP(tblHorasJun[Dia],tblDiaUtil[[Abreviatura]:[2º Período]],4,FALSE),JORNADA/2)),
        IF(AND(ISNUMBER(tblHorasJun[Saída - 2]),ISNUMBER(tblHorasJun[Entrada - 2 (Almoço)])),
              IF(OR(AND(tblHorasJun[Evento 
(2º Período)]&lt;&gt;"",IF(ISERROR(VLOOKUP(tblHorasJun[Evento 
(2º Período)],tblEvento[],Tabelas!$E$1,FALSE)),FALSE,VLOOKUP(tblHorasJun[Evento 
(2º Período)],tblEvento[],Tabelas!$E$1,FALSE)="Sim")),IF(VLOOKUP(TEXT(tblHorasJun[Data],"dddd"),tblDiaUtil[],2,FALSE)="Não",TRUE,FALSE)),
                   tblHorasJun[Saída - 2]-tblHorasJun[Entrada - 2 (Almoço)],
                   IF(OR(HOUR(tblHorasJun[Saída - 2]-tblHorasJun[Entrada - 2 (Almoço)])&gt;0,MINUTE(tblHorasJun[Saída - 2]-tblHorasJun[Entrada - 2 (Almoço)])&gt;CARENCIA),
                         tblHorasJun[Saída - 2]-tblHorasJun[Entrada - 2 (Almoço)],
                         0)),
       0)),0)</f>
        <v>0</v>
      </c>
      <c r="L18" s="4">
        <f>tblHorasJun[Horas Trabalhadas (1º Período)]+tblHorasJun[Horas Trabalhadas (2º Período)]</f>
        <v>0</v>
      </c>
      <c r="M18" s="4" t="str">
        <f>IF(tblHorasJun[Data]&lt;&gt;"",
        IF(
AND(VLOOKUP(TEXT(tblHorasJun[Data],"dddd"),tblDiaUtil[],3,FALSE)="Sim",IF(tblHorasJun[Evento 
(1º Período)]&lt;&gt;"",IF(VLOOKUP(tblHorasJun[Evento 
(1º Período)],tblEvento[],Tabelas!$E$1,FALSE)="Sim",FALSE,TRUE),TRUE),IF(tblHorasJun[Evento 
(2º Período)]&lt;&gt;"",IF(VLOOKUP(tblHorasJun[Evento 
(2º Período)],tblEvento[],Tabelas!$E$1,FALSE)="Sim",FALSE,TRUE),TRUE)),
              IF(VLOOKUP(tblHorasJun[Dia],tblDiaUtil[[Abreviatura]:[1º Período]],3,FALSE)&gt;0,VLOOKUP(tblHorasJun[Dia],tblDiaUtil[[Abreviatura]:[1º Período]],3,FALSE),JORNADA),
              ""),
         "")</f>
        <v/>
      </c>
      <c r="N18" s="14">
        <f>IF(OR(tblHorasJun[Horas Trabalhadas (1º Período)]&lt;&gt;0,tblHorasJun[Horas Trabalhadas (2º Período)]&lt;&gt;0),
        IF(ISNUMBER(tblHorasJun[Jornada Diária]),
              IF(tblHorasJun[Jornada Diária]&gt;(tblHorasJun[Horas Trabalhadas (2º Período)]+tblHorasJun[Horas Trabalhadas (1º Período)]),
                     IF(ROUND((tblHorasJun[Jornada Diária]-(tblHorasJun[Horas Trabalhadas (2º Período)]+tblHorasJun[Horas Trabalhadas (1º Período)])),6)&gt;ROUND(CARENCIA,6),
                           -tblHorasJun[Jornada Diária]+(tblHorasJun[Horas Trabalhadas (2º Período)]+tblHorasJun[Horas Trabalhadas (1º Período)]),
                           0),
                      IF(ROUND((tblHorasJun[Jornada Diária]-(tblHorasJun[Horas Trabalhadas (2º Período)]+tblHorasJun[Horas Trabalhadas (1º Período)])),6)&lt;ROUND(-CARENCIA,6),
                           -tblHorasJun[Jornada Diária]+(tblHorasJun[Horas Trabalhadas (2º Período)]+tblHorasJun[Horas Trabalhadas (1º Período)]),
                           0)),
              tblHorasJun[Horas Trabalhadas (2º Período)]+tblHorasJun[Horas Trabalhadas (1º Período)]),
         IF(AND(IF(ISERROR(VLOOKUP(tblHorasJun[Evento 
(1º Período)],tblEvento[[Evento]:[Libera o Período]],4,FALSE)),FALSE,IF(VLOOKUP(tblHorasJun[Evento 
(1º Período)],tblEvento[[Evento]:[Libera o Período]],4,FALSE)="Não",TRUE,FALSE)),IF(ISERROR(VLOOKUP(tblHorasJun[Evento 
(2º Período)],tblEvento[[Evento]:[Libera o Período]],4,FALSE)),FALSE,IF(VLOOKUP(tblHorasJun[Evento 
(2º Período)],tblEvento[[Evento]:[Libera o Período]],4,FALSE)="Não",TRUE,FALSE))),
-IF(VLOOKUP(tblHorasJun[Dia],tblDiaUtil[[Abreviatura]:[Total Jornada]],5,FALSE)&lt;&gt;"",VLOOKUP(tblHorasJun[Dia],tblDiaUtil[[Abreviatura]:[Total Jornada]],5,FALSE),JORNADA),
IF(IF(ISERROR(VLOOKUP(tblHorasJun[Evento 
(1º Período)],tblEvento[[Evento]:[Libera o Período]],4,FALSE)),FALSE,
IF(VLOOKUP(tblHorasJun[Evento 
(1º Período)],tblEvento[[Evento]:[Libera o Período]],4,FALSE)="Não",TRUE,FALSE)
),
-IF(VLOOKUP(tblHorasJun[Dia],tblDiaUtil[[Abreviatura]:[1º Período]],3,FALSE)&lt;&gt;"",VLOOKUP(tblHorasJun[Dia],tblDiaUtil[[Abreviatura]:[1º Período]],3,FALSE),JORNADA_PERIODO_1),
IF(IF(ISERROR(VLOOKUP(tblHorasJun[Evento 
(2º Período)],tblEvento[[Evento]:[Libera o Período]],4,FALSE)),FALSE,IF(VLOOKUP(tblHorasJun[Evento 
(2º Período)],tblEvento[[Evento]:[Libera o Período]],4,FALSE)="Não",TRUE,FALSE)),
-IF(VLOOKUP(tblHorasJun[Dia],tblDiaUtil[[Abreviatura]:[2º Período]],4,FALSE)&lt;&gt;"",VLOOKUP(tblHorasJun[Dia],tblDiaUtil[[Abreviatura]:[2º Período]],4,FALSE),JORNADA_PERIODO_2),0))))</f>
        <v>0</v>
      </c>
      <c r="O18" s="14">
        <f>IF(tblHorasJun[Horas Trabalhadas Além Jornada]&gt;0,
        IF(ISNUMBER(tblHorasJun[Jornada Diária]),
              IF(HOUR(tblHorasJun[Horas Trabalhadas Além Jornada])&gt;=VLOOKUP(LIMITE,tblLimiteHora[],Tabelas!$I$1,FALSE),
                    VLOOKUP(LIMITE,tblLimiteHora[],Tabelas!$J$1,FALSE),
                    tblHorasJun[Horas Trabalhadas Além Jornada]),
              tblHorasJun[Horas Trabalhadas Além Jornada]),
        tblHorasJun[Horas Trabalhadas Além Jornada])+O17</f>
        <v>0</v>
      </c>
      <c r="P18" s="14" t="str">
        <f>IF(tblHorasJun[Horas Trabalhadas Além Jornada]&lt;0,IF(OR(tblHorasJun[Evento 
(1º Período)]="",tblHorasJun[Evento 
(2º Período)]=""),tblHorasJun[Horas Trabalhadas Além Jornada],""),"")</f>
        <v/>
      </c>
      <c r="Q18" s="14" t="str">
        <f>IF(tblHorasJun[Jornada Diária]&lt;&gt;"",IF((N(tblHorasJun[Jornada Diária])-ABS(N(tblHorasJun[Horas Trabalhadas Além Jornada])))=0,1,""),"")</f>
        <v/>
      </c>
      <c r="R18" s="14" t="str">
        <f>IF(tblHorasJun[Horas Trabalhadas Além Jornada]&gt;0,
IF(AND(VLOOKUP(TEXT(tblHorasJun[Data],"dddd"),tblDiaUtil[],3,FALSE)="Sim",IF(tblHorasJun[Evento 
(1º Período)]&lt;&gt;"",IF(VLOOKUP(tblHorasJun[Evento 
(1º Período)],tblEvento[],Tabelas!$E$1,FALSE)="Sim",FALSE,TRUE),TRUE),IF(tblHorasJun[Evento 
(2º Período)]&lt;&gt;"",IF(VLOOKUP(tblHorasJun[Evento 
(2º Período)],tblEvento[],Tabelas!$E$1,FALSE)="Sim",FALSE,TRUE),TRUE)),
tblHorasJun[Horas Trabalhadas Além Jornada],""),"")</f>
        <v/>
      </c>
      <c r="S18" s="14" t="str">
        <f>IF(tblHorasJun[Horas Trabalhadas Além Jornada]&gt;0,
IF(OR(VLOOKUP(TEXT(tblHorasJun[Data],"dddd"),tblDiaUtil[],3,FALSE)="Não",IF(tblHorasJun[Evento 
(1º Período)]&lt;&gt;"",IF(VLOOKUP(tblHorasJun[Evento 
(1º Período)],tblEvento[],Tabelas!$E$1,FALSE)="Sim",TRUE,FALSE),FALSE),IF(tblHorasJun[Evento 
(2º Período)]&lt;&gt;"",IF(VLOOKUP(tblHorasJun[Evento 
(2º Período)],tblEvento[],Tabelas!$E$1,FALSE)="Sim",TRUE,FALSE),FALSE)),
tblHorasJun[Horas Trabalhadas Além Jornada],""),"")</f>
        <v/>
      </c>
      <c r="T18" s="15" t="str">
        <f>IF(tblHorasJun[Evento 
(1º Período)]&lt;&gt;""," - " &amp;VLOOKUP(tblHorasJun[Evento 
(1º Período)],tblEvento[],Tabelas!$F$1,FALSE),"")&amp;IF(AND(tblHorasJun[Evento 
(2º Período)]&lt;&gt;"",tblHorasJun[Evento 
(2º Período)]&lt;&gt;tblHorasJun[Evento 
(1º Período)])," - " &amp; VLOOKUP(tblHorasJun[Evento 
(2º Período)],tblEvento[],Tabelas!$F$1,FALSE),"")</f>
        <v/>
      </c>
    </row>
    <row r="19" spans="2:20" x14ac:dyDescent="0.25">
      <c r="B19" s="11" t="str">
        <f t="shared" si="0"/>
        <v/>
      </c>
      <c r="C19" s="12" t="str">
        <f>TEXT(tblHorasJun[Data],"ddd")</f>
        <v/>
      </c>
      <c r="D19" s="25"/>
      <c r="E19" s="1"/>
      <c r="F19" s="1"/>
      <c r="G19" s="1"/>
      <c r="H19" s="1"/>
      <c r="I19" s="53"/>
      <c r="J19" s="4">
        <f>IF($B$6&lt;&gt;"",
IF(AND(tblHorasJun[Evento 
(1º Período)]&lt;&gt;"",IF(ISERROR(VLOOKUP(tblHorasJun[Evento 
(1º Período)],tblEvento[],Tabelas!$D$1,FALSE)),FALSE,VLOOKUP(tblHorasJun[Evento 
(1º Período)],tblEvento[],Tabelas!$D$1,FALSE)="Sim")),
        IF(JORNADA_PERIODO_1&lt;&gt;"",
IF(VLOOKUP(tblHorasJun[Dia],tblDiaUtil[[Abreviatura]:[1º Período]],3,FALSE)&gt;0,VLOOKUP(tblHorasJun[Dia],tblDiaUtil[[Abreviatura]:[1º Período]],3,FALSE),JORNADA_PERIODO_1),
IF(VLOOKUP(tblHorasJun[Dia],tblDiaUtil[[Abreviatura]:[1º Período]],3,FALSE)&gt;0,VLOOKUP(tblHorasJun[Dia],tblDiaUtil[[Abreviatura]:[1º Período]],3,FALSE),JORNADA/2)),
        IF(AND(ISNUMBER(tblHorasJun[Saída - 1 (Almoço)]),ISNUMBER(tblHorasJun[Entrada - 1])),
              IF(OR(AND(tblHorasJun[Evento 
(1º Período)]&lt;&gt;"",IF(ISERROR(VLOOKUP(tblHorasJun[Evento 
(1º Período)],tblEvento[],Tabelas!$E$1,FALSE)),FALSE,VLOOKUP(tblHorasJun[Evento 
(1º Período)],tblEvento[],Tabelas!$E$1,FALSE)="Sim")),IF(VLOOKUP(TEXT(tblHorasJun[Data],"dddd"),tblDiaUtil[],2,FALSE)="Não",TRUE,FALSE)),
                   tblHorasJun[Saída - 1 (Almoço)]-tblHorasJun[Entrada - 1],
                   IF(OR(HOUR(tblHorasJun[Saída - 1 (Almoço)]-tblHorasJun[Entrada - 1])&gt;0,ROUND(tblHorasJun[Saída - 1 (Almoço)]-tblHorasJun[Entrada - 1],6)&gt;ROUND(CARENCIA,6)),
                          tblHorasJun[Saída - 1 (Almoço)]-tblHorasJun[Entrada - 1],
                          0)),
                    0)),0)</f>
        <v>0</v>
      </c>
      <c r="K19" s="4">
        <f>IF($B$6&lt;&gt;"",
IF(AND(tblHorasJun[Evento 
(2º Período)]&lt;&gt;"",IF(ISERROR(VLOOKUP(tblHorasJun[Evento 
(2º Período)],tblEvento[],Tabelas!$D$1,FALSE)),FALSE,VLOOKUP(tblHorasJun[Evento 
(2º Período)],tblEvento[],Tabelas!$D$1,FALSE)="Sim")),
        IF(JORNADA_PERIODO_2&lt;&gt;"",
IF(VLOOKUP(tblHorasJun[Dia],tblDiaUtil[[Abreviatura]:[2º Período]],4,FALSE)&gt;0,VLOOKUP(tblHorasJun[Dia],tblDiaUtil[[Abreviatura]:[2º Período]],4,FALSE),JORNADA_PERIODO_2),
IF(VLOOKUP(tblHorasJun[Dia],tblDiaUtil[[Abreviatura]:[2º Período]],4,FALSE)&gt;0,VLOOKUP(tblHorasJun[Dia],tblDiaUtil[[Abreviatura]:[2º Período]],4,FALSE),JORNADA/2)),
        IF(AND(ISNUMBER(tblHorasJun[Saída - 2]),ISNUMBER(tblHorasJun[Entrada - 2 (Almoço)])),
              IF(OR(AND(tblHorasJun[Evento 
(2º Período)]&lt;&gt;"",IF(ISERROR(VLOOKUP(tblHorasJun[Evento 
(2º Período)],tblEvento[],Tabelas!$E$1,FALSE)),FALSE,VLOOKUP(tblHorasJun[Evento 
(2º Período)],tblEvento[],Tabelas!$E$1,FALSE)="Sim")),IF(VLOOKUP(TEXT(tblHorasJun[Data],"dddd"),tblDiaUtil[],2,FALSE)="Não",TRUE,FALSE)),
                   tblHorasJun[Saída - 2]-tblHorasJun[Entrada - 2 (Almoço)],
                   IF(OR(HOUR(tblHorasJun[Saída - 2]-tblHorasJun[Entrada - 2 (Almoço)])&gt;0,MINUTE(tblHorasJun[Saída - 2]-tblHorasJun[Entrada - 2 (Almoço)])&gt;CARENCIA),
                         tblHorasJun[Saída - 2]-tblHorasJun[Entrada - 2 (Almoço)],
                         0)),
       0)),0)</f>
        <v>0</v>
      </c>
      <c r="L19" s="4">
        <f>tblHorasJun[Horas Trabalhadas (1º Período)]+tblHorasJun[Horas Trabalhadas (2º Período)]</f>
        <v>0</v>
      </c>
      <c r="M19" s="4" t="str">
        <f>IF(tblHorasJun[Data]&lt;&gt;"",
        IF(
AND(VLOOKUP(TEXT(tblHorasJun[Data],"dddd"),tblDiaUtil[],3,FALSE)="Sim",IF(tblHorasJun[Evento 
(1º Período)]&lt;&gt;"",IF(VLOOKUP(tblHorasJun[Evento 
(1º Período)],tblEvento[],Tabelas!$E$1,FALSE)="Sim",FALSE,TRUE),TRUE),IF(tblHorasJun[Evento 
(2º Período)]&lt;&gt;"",IF(VLOOKUP(tblHorasJun[Evento 
(2º Período)],tblEvento[],Tabelas!$E$1,FALSE)="Sim",FALSE,TRUE),TRUE)),
              IF(VLOOKUP(tblHorasJun[Dia],tblDiaUtil[[Abreviatura]:[1º Período]],3,FALSE)&gt;0,VLOOKUP(tblHorasJun[Dia],tblDiaUtil[[Abreviatura]:[1º Período]],3,FALSE),JORNADA),
              ""),
         "")</f>
        <v/>
      </c>
      <c r="N19" s="14">
        <f>IF(OR(tblHorasJun[Horas Trabalhadas (1º Período)]&lt;&gt;0,tblHorasJun[Horas Trabalhadas (2º Período)]&lt;&gt;0),
        IF(ISNUMBER(tblHorasJun[Jornada Diária]),
              IF(tblHorasJun[Jornada Diária]&gt;(tblHorasJun[Horas Trabalhadas (2º Período)]+tblHorasJun[Horas Trabalhadas (1º Período)]),
                     IF(ROUND((tblHorasJun[Jornada Diária]-(tblHorasJun[Horas Trabalhadas (2º Período)]+tblHorasJun[Horas Trabalhadas (1º Período)])),6)&gt;ROUND(CARENCIA,6),
                           -tblHorasJun[Jornada Diária]+(tblHorasJun[Horas Trabalhadas (2º Período)]+tblHorasJun[Horas Trabalhadas (1º Período)]),
                           0),
                      IF(ROUND((tblHorasJun[Jornada Diária]-(tblHorasJun[Horas Trabalhadas (2º Período)]+tblHorasJun[Horas Trabalhadas (1º Período)])),6)&lt;ROUND(-CARENCIA,6),
                           -tblHorasJun[Jornada Diária]+(tblHorasJun[Horas Trabalhadas (2º Período)]+tblHorasJun[Horas Trabalhadas (1º Período)]),
                           0)),
              tblHorasJun[Horas Trabalhadas (2º Período)]+tblHorasJun[Horas Trabalhadas (1º Período)]),
         IF(AND(IF(ISERROR(VLOOKUP(tblHorasJun[Evento 
(1º Período)],tblEvento[[Evento]:[Libera o Período]],4,FALSE)),FALSE,IF(VLOOKUP(tblHorasJun[Evento 
(1º Período)],tblEvento[[Evento]:[Libera o Período]],4,FALSE)="Não",TRUE,FALSE)),IF(ISERROR(VLOOKUP(tblHorasJun[Evento 
(2º Período)],tblEvento[[Evento]:[Libera o Período]],4,FALSE)),FALSE,IF(VLOOKUP(tblHorasJun[Evento 
(2º Período)],tblEvento[[Evento]:[Libera o Período]],4,FALSE)="Não",TRUE,FALSE))),
-IF(VLOOKUP(tblHorasJun[Dia],tblDiaUtil[[Abreviatura]:[Total Jornada]],5,FALSE)&lt;&gt;"",VLOOKUP(tblHorasJun[Dia],tblDiaUtil[[Abreviatura]:[Total Jornada]],5,FALSE),JORNADA),
IF(IF(ISERROR(VLOOKUP(tblHorasJun[Evento 
(1º Período)],tblEvento[[Evento]:[Libera o Período]],4,FALSE)),FALSE,
IF(VLOOKUP(tblHorasJun[Evento 
(1º Período)],tblEvento[[Evento]:[Libera o Período]],4,FALSE)="Não",TRUE,FALSE)
),
-IF(VLOOKUP(tblHorasJun[Dia],tblDiaUtil[[Abreviatura]:[1º Período]],3,FALSE)&lt;&gt;"",VLOOKUP(tblHorasJun[Dia],tblDiaUtil[[Abreviatura]:[1º Período]],3,FALSE),JORNADA_PERIODO_1),
IF(IF(ISERROR(VLOOKUP(tblHorasJun[Evento 
(2º Período)],tblEvento[[Evento]:[Libera o Período]],4,FALSE)),FALSE,IF(VLOOKUP(tblHorasJun[Evento 
(2º Período)],tblEvento[[Evento]:[Libera o Período]],4,FALSE)="Não",TRUE,FALSE)),
-IF(VLOOKUP(tblHorasJun[Dia],tblDiaUtil[[Abreviatura]:[2º Período]],4,FALSE)&lt;&gt;"",VLOOKUP(tblHorasJun[Dia],tblDiaUtil[[Abreviatura]:[2º Período]],4,FALSE),JORNADA_PERIODO_2),0))))</f>
        <v>0</v>
      </c>
      <c r="O19" s="14">
        <f>IF(tblHorasJun[Horas Trabalhadas Além Jornada]&gt;0,
        IF(ISNUMBER(tblHorasJun[Jornada Diária]),
              IF(HOUR(tblHorasJun[Horas Trabalhadas Além Jornada])&gt;=VLOOKUP(LIMITE,tblLimiteHora[],Tabelas!$I$1,FALSE),
                    VLOOKUP(LIMITE,tblLimiteHora[],Tabelas!$J$1,FALSE),
                    tblHorasJun[Horas Trabalhadas Além Jornada]),
              tblHorasJun[Horas Trabalhadas Além Jornada]),
        tblHorasJun[Horas Trabalhadas Além Jornada])+O18</f>
        <v>0</v>
      </c>
      <c r="P19" s="14" t="str">
        <f>IF(tblHorasJun[Horas Trabalhadas Além Jornada]&lt;0,IF(OR(tblHorasJun[Evento 
(1º Período)]="",tblHorasJun[Evento 
(2º Período)]=""),tblHorasJun[Horas Trabalhadas Além Jornada],""),"")</f>
        <v/>
      </c>
      <c r="Q19" s="14" t="str">
        <f>IF(tblHorasJun[Jornada Diária]&lt;&gt;"",IF((N(tblHorasJun[Jornada Diária])-ABS(N(tblHorasJun[Horas Trabalhadas Além Jornada])))=0,1,""),"")</f>
        <v/>
      </c>
      <c r="R19" s="14" t="str">
        <f>IF(tblHorasJun[Horas Trabalhadas Além Jornada]&gt;0,
IF(AND(VLOOKUP(TEXT(tblHorasJun[Data],"dddd"),tblDiaUtil[],3,FALSE)="Sim",IF(tblHorasJun[Evento 
(1º Período)]&lt;&gt;"",IF(VLOOKUP(tblHorasJun[Evento 
(1º Período)],tblEvento[],Tabelas!$E$1,FALSE)="Sim",FALSE,TRUE),TRUE),IF(tblHorasJun[Evento 
(2º Período)]&lt;&gt;"",IF(VLOOKUP(tblHorasJun[Evento 
(2º Período)],tblEvento[],Tabelas!$E$1,FALSE)="Sim",FALSE,TRUE),TRUE)),
tblHorasJun[Horas Trabalhadas Além Jornada],""),"")</f>
        <v/>
      </c>
      <c r="S19" s="14" t="str">
        <f>IF(tblHorasJun[Horas Trabalhadas Além Jornada]&gt;0,
IF(OR(VLOOKUP(TEXT(tblHorasJun[Data],"dddd"),tblDiaUtil[],3,FALSE)="Não",IF(tblHorasJun[Evento 
(1º Período)]&lt;&gt;"",IF(VLOOKUP(tblHorasJun[Evento 
(1º Período)],tblEvento[],Tabelas!$E$1,FALSE)="Sim",TRUE,FALSE),FALSE),IF(tblHorasJun[Evento 
(2º Período)]&lt;&gt;"",IF(VLOOKUP(tblHorasJun[Evento 
(2º Período)],tblEvento[],Tabelas!$E$1,FALSE)="Sim",TRUE,FALSE),FALSE)),
tblHorasJun[Horas Trabalhadas Além Jornada],""),"")</f>
        <v/>
      </c>
      <c r="T19" s="15" t="str">
        <f>IF(tblHorasJun[Evento 
(1º Período)]&lt;&gt;""," - " &amp;VLOOKUP(tblHorasJun[Evento 
(1º Período)],tblEvento[],Tabelas!$F$1,FALSE),"")&amp;IF(AND(tblHorasJun[Evento 
(2º Período)]&lt;&gt;"",tblHorasJun[Evento 
(2º Período)]&lt;&gt;tblHorasJun[Evento 
(1º Período)])," - " &amp; VLOOKUP(tblHorasJun[Evento 
(2º Período)],tblEvento[],Tabelas!$F$1,FALSE),"")</f>
        <v/>
      </c>
    </row>
    <row r="20" spans="2:20" x14ac:dyDescent="0.25">
      <c r="B20" s="11" t="str">
        <f t="shared" si="0"/>
        <v/>
      </c>
      <c r="C20" s="12" t="str">
        <f>TEXT(tblHorasJun[Data],"ddd")</f>
        <v/>
      </c>
      <c r="D20" s="25"/>
      <c r="E20" s="1"/>
      <c r="F20" s="1"/>
      <c r="G20" s="1"/>
      <c r="H20" s="1"/>
      <c r="I20" s="53"/>
      <c r="J20" s="4">
        <f>IF($B$6&lt;&gt;"",
IF(AND(tblHorasJun[Evento 
(1º Período)]&lt;&gt;"",IF(ISERROR(VLOOKUP(tblHorasJun[Evento 
(1º Período)],tblEvento[],Tabelas!$D$1,FALSE)),FALSE,VLOOKUP(tblHorasJun[Evento 
(1º Período)],tblEvento[],Tabelas!$D$1,FALSE)="Sim")),
        IF(JORNADA_PERIODO_1&lt;&gt;"",
IF(VLOOKUP(tblHorasJun[Dia],tblDiaUtil[[Abreviatura]:[1º Período]],3,FALSE)&gt;0,VLOOKUP(tblHorasJun[Dia],tblDiaUtil[[Abreviatura]:[1º Período]],3,FALSE),JORNADA_PERIODO_1),
IF(VLOOKUP(tblHorasJun[Dia],tblDiaUtil[[Abreviatura]:[1º Período]],3,FALSE)&gt;0,VLOOKUP(tblHorasJun[Dia],tblDiaUtil[[Abreviatura]:[1º Período]],3,FALSE),JORNADA/2)),
        IF(AND(ISNUMBER(tblHorasJun[Saída - 1 (Almoço)]),ISNUMBER(tblHorasJun[Entrada - 1])),
              IF(OR(AND(tblHorasJun[Evento 
(1º Período)]&lt;&gt;"",IF(ISERROR(VLOOKUP(tblHorasJun[Evento 
(1º Período)],tblEvento[],Tabelas!$E$1,FALSE)),FALSE,VLOOKUP(tblHorasJun[Evento 
(1º Período)],tblEvento[],Tabelas!$E$1,FALSE)="Sim")),IF(VLOOKUP(TEXT(tblHorasJun[Data],"dddd"),tblDiaUtil[],2,FALSE)="Não",TRUE,FALSE)),
                   tblHorasJun[Saída - 1 (Almoço)]-tblHorasJun[Entrada - 1],
                   IF(OR(HOUR(tblHorasJun[Saída - 1 (Almoço)]-tblHorasJun[Entrada - 1])&gt;0,ROUND(tblHorasJun[Saída - 1 (Almoço)]-tblHorasJun[Entrada - 1],6)&gt;ROUND(CARENCIA,6)),
                          tblHorasJun[Saída - 1 (Almoço)]-tblHorasJun[Entrada - 1],
                          0)),
                    0)),0)</f>
        <v>0</v>
      </c>
      <c r="K20" s="4">
        <f>IF($B$6&lt;&gt;"",
IF(AND(tblHorasJun[Evento 
(2º Período)]&lt;&gt;"",IF(ISERROR(VLOOKUP(tblHorasJun[Evento 
(2º Período)],tblEvento[],Tabelas!$D$1,FALSE)),FALSE,VLOOKUP(tblHorasJun[Evento 
(2º Período)],tblEvento[],Tabelas!$D$1,FALSE)="Sim")),
        IF(JORNADA_PERIODO_2&lt;&gt;"",
IF(VLOOKUP(tblHorasJun[Dia],tblDiaUtil[[Abreviatura]:[2º Período]],4,FALSE)&gt;0,VLOOKUP(tblHorasJun[Dia],tblDiaUtil[[Abreviatura]:[2º Período]],4,FALSE),JORNADA_PERIODO_2),
IF(VLOOKUP(tblHorasJun[Dia],tblDiaUtil[[Abreviatura]:[2º Período]],4,FALSE)&gt;0,VLOOKUP(tblHorasJun[Dia],tblDiaUtil[[Abreviatura]:[2º Período]],4,FALSE),JORNADA/2)),
        IF(AND(ISNUMBER(tblHorasJun[Saída - 2]),ISNUMBER(tblHorasJun[Entrada - 2 (Almoço)])),
              IF(OR(AND(tblHorasJun[Evento 
(2º Período)]&lt;&gt;"",IF(ISERROR(VLOOKUP(tblHorasJun[Evento 
(2º Período)],tblEvento[],Tabelas!$E$1,FALSE)),FALSE,VLOOKUP(tblHorasJun[Evento 
(2º Período)],tblEvento[],Tabelas!$E$1,FALSE)="Sim")),IF(VLOOKUP(TEXT(tblHorasJun[Data],"dddd"),tblDiaUtil[],2,FALSE)="Não",TRUE,FALSE)),
                   tblHorasJun[Saída - 2]-tblHorasJun[Entrada - 2 (Almoço)],
                   IF(OR(HOUR(tblHorasJun[Saída - 2]-tblHorasJun[Entrada - 2 (Almoço)])&gt;0,MINUTE(tblHorasJun[Saída - 2]-tblHorasJun[Entrada - 2 (Almoço)])&gt;CARENCIA),
                         tblHorasJun[Saída - 2]-tblHorasJun[Entrada - 2 (Almoço)],
                         0)),
       0)),0)</f>
        <v>0</v>
      </c>
      <c r="L20" s="4">
        <f>tblHorasJun[Horas Trabalhadas (1º Período)]+tblHorasJun[Horas Trabalhadas (2º Período)]</f>
        <v>0</v>
      </c>
      <c r="M20" s="4" t="str">
        <f>IF(tblHorasJun[Data]&lt;&gt;"",
        IF(
AND(VLOOKUP(TEXT(tblHorasJun[Data],"dddd"),tblDiaUtil[],3,FALSE)="Sim",IF(tblHorasJun[Evento 
(1º Período)]&lt;&gt;"",IF(VLOOKUP(tblHorasJun[Evento 
(1º Período)],tblEvento[],Tabelas!$E$1,FALSE)="Sim",FALSE,TRUE),TRUE),IF(tblHorasJun[Evento 
(2º Período)]&lt;&gt;"",IF(VLOOKUP(tblHorasJun[Evento 
(2º Período)],tblEvento[],Tabelas!$E$1,FALSE)="Sim",FALSE,TRUE),TRUE)),
              IF(VLOOKUP(tblHorasJun[Dia],tblDiaUtil[[Abreviatura]:[1º Período]],3,FALSE)&gt;0,VLOOKUP(tblHorasJun[Dia],tblDiaUtil[[Abreviatura]:[1º Período]],3,FALSE),JORNADA),
              ""),
         "")</f>
        <v/>
      </c>
      <c r="N20" s="14">
        <f>IF(OR(tblHorasJun[Horas Trabalhadas (1º Período)]&lt;&gt;0,tblHorasJun[Horas Trabalhadas (2º Período)]&lt;&gt;0),
        IF(ISNUMBER(tblHorasJun[Jornada Diária]),
              IF(tblHorasJun[Jornada Diária]&gt;(tblHorasJun[Horas Trabalhadas (2º Período)]+tblHorasJun[Horas Trabalhadas (1º Período)]),
                     IF(ROUND((tblHorasJun[Jornada Diária]-(tblHorasJun[Horas Trabalhadas (2º Período)]+tblHorasJun[Horas Trabalhadas (1º Período)])),6)&gt;ROUND(CARENCIA,6),
                           -tblHorasJun[Jornada Diária]+(tblHorasJun[Horas Trabalhadas (2º Período)]+tblHorasJun[Horas Trabalhadas (1º Período)]),
                           0),
                      IF(ROUND((tblHorasJun[Jornada Diária]-(tblHorasJun[Horas Trabalhadas (2º Período)]+tblHorasJun[Horas Trabalhadas (1º Período)])),6)&lt;ROUND(-CARENCIA,6),
                           -tblHorasJun[Jornada Diária]+(tblHorasJun[Horas Trabalhadas (2º Período)]+tblHorasJun[Horas Trabalhadas (1º Período)]),
                           0)),
              tblHorasJun[Horas Trabalhadas (2º Período)]+tblHorasJun[Horas Trabalhadas (1º Período)]),
         IF(AND(IF(ISERROR(VLOOKUP(tblHorasJun[Evento 
(1º Período)],tblEvento[[Evento]:[Libera o Período]],4,FALSE)),FALSE,IF(VLOOKUP(tblHorasJun[Evento 
(1º Período)],tblEvento[[Evento]:[Libera o Período]],4,FALSE)="Não",TRUE,FALSE)),IF(ISERROR(VLOOKUP(tblHorasJun[Evento 
(2º Período)],tblEvento[[Evento]:[Libera o Período]],4,FALSE)),FALSE,IF(VLOOKUP(tblHorasJun[Evento 
(2º Período)],tblEvento[[Evento]:[Libera o Período]],4,FALSE)="Não",TRUE,FALSE))),
-IF(VLOOKUP(tblHorasJun[Dia],tblDiaUtil[[Abreviatura]:[Total Jornada]],5,FALSE)&lt;&gt;"",VLOOKUP(tblHorasJun[Dia],tblDiaUtil[[Abreviatura]:[Total Jornada]],5,FALSE),JORNADA),
IF(IF(ISERROR(VLOOKUP(tblHorasJun[Evento 
(1º Período)],tblEvento[[Evento]:[Libera o Período]],4,FALSE)),FALSE,
IF(VLOOKUP(tblHorasJun[Evento 
(1º Período)],tblEvento[[Evento]:[Libera o Período]],4,FALSE)="Não",TRUE,FALSE)
),
-IF(VLOOKUP(tblHorasJun[Dia],tblDiaUtil[[Abreviatura]:[1º Período]],3,FALSE)&lt;&gt;"",VLOOKUP(tblHorasJun[Dia],tblDiaUtil[[Abreviatura]:[1º Período]],3,FALSE),JORNADA_PERIODO_1),
IF(IF(ISERROR(VLOOKUP(tblHorasJun[Evento 
(2º Período)],tblEvento[[Evento]:[Libera o Período]],4,FALSE)),FALSE,IF(VLOOKUP(tblHorasJun[Evento 
(2º Período)],tblEvento[[Evento]:[Libera o Período]],4,FALSE)="Não",TRUE,FALSE)),
-IF(VLOOKUP(tblHorasJun[Dia],tblDiaUtil[[Abreviatura]:[2º Período]],4,FALSE)&lt;&gt;"",VLOOKUP(tblHorasJun[Dia],tblDiaUtil[[Abreviatura]:[2º Período]],4,FALSE),JORNADA_PERIODO_2),0))))</f>
        <v>0</v>
      </c>
      <c r="O20" s="14">
        <f>IF(tblHorasJun[Horas Trabalhadas Além Jornada]&gt;0,
        IF(ISNUMBER(tblHorasJun[Jornada Diária]),
              IF(HOUR(tblHorasJun[Horas Trabalhadas Além Jornada])&gt;=VLOOKUP(LIMITE,tblLimiteHora[],Tabelas!$I$1,FALSE),
                    VLOOKUP(LIMITE,tblLimiteHora[],Tabelas!$J$1,FALSE),
                    tblHorasJun[Horas Trabalhadas Além Jornada]),
              tblHorasJun[Horas Trabalhadas Além Jornada]),
        tblHorasJun[Horas Trabalhadas Além Jornada])+O19</f>
        <v>0</v>
      </c>
      <c r="P20" s="14" t="str">
        <f>IF(tblHorasJun[Horas Trabalhadas Além Jornada]&lt;0,IF(OR(tblHorasJun[Evento 
(1º Período)]="",tblHorasJun[Evento 
(2º Período)]=""),tblHorasJun[Horas Trabalhadas Além Jornada],""),"")</f>
        <v/>
      </c>
      <c r="Q20" s="14" t="str">
        <f>IF(tblHorasJun[Jornada Diária]&lt;&gt;"",IF((N(tblHorasJun[Jornada Diária])-ABS(N(tblHorasJun[Horas Trabalhadas Além Jornada])))=0,1,""),"")</f>
        <v/>
      </c>
      <c r="R20" s="14" t="str">
        <f>IF(tblHorasJun[Horas Trabalhadas Além Jornada]&gt;0,
IF(AND(VLOOKUP(TEXT(tblHorasJun[Data],"dddd"),tblDiaUtil[],3,FALSE)="Sim",IF(tblHorasJun[Evento 
(1º Período)]&lt;&gt;"",IF(VLOOKUP(tblHorasJun[Evento 
(1º Período)],tblEvento[],Tabelas!$E$1,FALSE)="Sim",FALSE,TRUE),TRUE),IF(tblHorasJun[Evento 
(2º Período)]&lt;&gt;"",IF(VLOOKUP(tblHorasJun[Evento 
(2º Período)],tblEvento[],Tabelas!$E$1,FALSE)="Sim",FALSE,TRUE),TRUE)),
tblHorasJun[Horas Trabalhadas Além Jornada],""),"")</f>
        <v/>
      </c>
      <c r="S20" s="14" t="str">
        <f>IF(tblHorasJun[Horas Trabalhadas Além Jornada]&gt;0,
IF(OR(VLOOKUP(TEXT(tblHorasJun[Data],"dddd"),tblDiaUtil[],3,FALSE)="Não",IF(tblHorasJun[Evento 
(1º Período)]&lt;&gt;"",IF(VLOOKUP(tblHorasJun[Evento 
(1º Período)],tblEvento[],Tabelas!$E$1,FALSE)="Sim",TRUE,FALSE),FALSE),IF(tblHorasJun[Evento 
(2º Período)]&lt;&gt;"",IF(VLOOKUP(tblHorasJun[Evento 
(2º Período)],tblEvento[],Tabelas!$E$1,FALSE)="Sim",TRUE,FALSE),FALSE)),
tblHorasJun[Horas Trabalhadas Além Jornada],""),"")</f>
        <v/>
      </c>
      <c r="T20" s="15" t="str">
        <f>IF(tblHorasJun[Evento 
(1º Período)]&lt;&gt;""," - " &amp;VLOOKUP(tblHorasJun[Evento 
(1º Período)],tblEvento[],Tabelas!$F$1,FALSE),"")&amp;IF(AND(tblHorasJun[Evento 
(2º Período)]&lt;&gt;"",tblHorasJun[Evento 
(2º Período)]&lt;&gt;tblHorasJun[Evento 
(1º Período)])," - " &amp; VLOOKUP(tblHorasJun[Evento 
(2º Período)],tblEvento[],Tabelas!$F$1,FALSE),"")</f>
        <v/>
      </c>
    </row>
    <row r="21" spans="2:20" x14ac:dyDescent="0.25">
      <c r="B21" s="11" t="str">
        <f t="shared" si="0"/>
        <v/>
      </c>
      <c r="C21" s="12" t="str">
        <f>TEXT(tblHorasJun[Data],"ddd")</f>
        <v/>
      </c>
      <c r="D21" s="25"/>
      <c r="E21" s="1"/>
      <c r="F21" s="1"/>
      <c r="G21" s="1"/>
      <c r="H21" s="1"/>
      <c r="I21" s="53"/>
      <c r="J21" s="4">
        <f>IF($B$6&lt;&gt;"",
IF(AND(tblHorasJun[Evento 
(1º Período)]&lt;&gt;"",IF(ISERROR(VLOOKUP(tblHorasJun[Evento 
(1º Período)],tblEvento[],Tabelas!$D$1,FALSE)),FALSE,VLOOKUP(tblHorasJun[Evento 
(1º Período)],tblEvento[],Tabelas!$D$1,FALSE)="Sim")),
        IF(JORNADA_PERIODO_1&lt;&gt;"",
IF(VLOOKUP(tblHorasJun[Dia],tblDiaUtil[[Abreviatura]:[1º Período]],3,FALSE)&gt;0,VLOOKUP(tblHorasJun[Dia],tblDiaUtil[[Abreviatura]:[1º Período]],3,FALSE),JORNADA_PERIODO_1),
IF(VLOOKUP(tblHorasJun[Dia],tblDiaUtil[[Abreviatura]:[1º Período]],3,FALSE)&gt;0,VLOOKUP(tblHorasJun[Dia],tblDiaUtil[[Abreviatura]:[1º Período]],3,FALSE),JORNADA/2)),
        IF(AND(ISNUMBER(tblHorasJun[Saída - 1 (Almoço)]),ISNUMBER(tblHorasJun[Entrada - 1])),
              IF(OR(AND(tblHorasJun[Evento 
(1º Período)]&lt;&gt;"",IF(ISERROR(VLOOKUP(tblHorasJun[Evento 
(1º Período)],tblEvento[],Tabelas!$E$1,FALSE)),FALSE,VLOOKUP(tblHorasJun[Evento 
(1º Período)],tblEvento[],Tabelas!$E$1,FALSE)="Sim")),IF(VLOOKUP(TEXT(tblHorasJun[Data],"dddd"),tblDiaUtil[],2,FALSE)="Não",TRUE,FALSE)),
                   tblHorasJun[Saída - 1 (Almoço)]-tblHorasJun[Entrada - 1],
                   IF(OR(HOUR(tblHorasJun[Saída - 1 (Almoço)]-tblHorasJun[Entrada - 1])&gt;0,ROUND(tblHorasJun[Saída - 1 (Almoço)]-tblHorasJun[Entrada - 1],6)&gt;ROUND(CARENCIA,6)),
                          tblHorasJun[Saída - 1 (Almoço)]-tblHorasJun[Entrada - 1],
                          0)),
                    0)),0)</f>
        <v>0</v>
      </c>
      <c r="K21" s="4">
        <f>IF($B$6&lt;&gt;"",
IF(AND(tblHorasJun[Evento 
(2º Período)]&lt;&gt;"",IF(ISERROR(VLOOKUP(tblHorasJun[Evento 
(2º Período)],tblEvento[],Tabelas!$D$1,FALSE)),FALSE,VLOOKUP(tblHorasJun[Evento 
(2º Período)],tblEvento[],Tabelas!$D$1,FALSE)="Sim")),
        IF(JORNADA_PERIODO_2&lt;&gt;"",
IF(VLOOKUP(tblHorasJun[Dia],tblDiaUtil[[Abreviatura]:[2º Período]],4,FALSE)&gt;0,VLOOKUP(tblHorasJun[Dia],tblDiaUtil[[Abreviatura]:[2º Período]],4,FALSE),JORNADA_PERIODO_2),
IF(VLOOKUP(tblHorasJun[Dia],tblDiaUtil[[Abreviatura]:[2º Período]],4,FALSE)&gt;0,VLOOKUP(tblHorasJun[Dia],tblDiaUtil[[Abreviatura]:[2º Período]],4,FALSE),JORNADA/2)),
        IF(AND(ISNUMBER(tblHorasJun[Saída - 2]),ISNUMBER(tblHorasJun[Entrada - 2 (Almoço)])),
              IF(OR(AND(tblHorasJun[Evento 
(2º Período)]&lt;&gt;"",IF(ISERROR(VLOOKUP(tblHorasJun[Evento 
(2º Período)],tblEvento[],Tabelas!$E$1,FALSE)),FALSE,VLOOKUP(tblHorasJun[Evento 
(2º Período)],tblEvento[],Tabelas!$E$1,FALSE)="Sim")),IF(VLOOKUP(TEXT(tblHorasJun[Data],"dddd"),tblDiaUtil[],2,FALSE)="Não",TRUE,FALSE)),
                   tblHorasJun[Saída - 2]-tblHorasJun[Entrada - 2 (Almoço)],
                   IF(OR(HOUR(tblHorasJun[Saída - 2]-tblHorasJun[Entrada - 2 (Almoço)])&gt;0,MINUTE(tblHorasJun[Saída - 2]-tblHorasJun[Entrada - 2 (Almoço)])&gt;CARENCIA),
                         tblHorasJun[Saída - 2]-tblHorasJun[Entrada - 2 (Almoço)],
                         0)),
       0)),0)</f>
        <v>0</v>
      </c>
      <c r="L21" s="4">
        <f>tblHorasJun[Horas Trabalhadas (1º Período)]+tblHorasJun[Horas Trabalhadas (2º Período)]</f>
        <v>0</v>
      </c>
      <c r="M21" s="4" t="str">
        <f>IF(tblHorasJun[Data]&lt;&gt;"",
        IF(
AND(VLOOKUP(TEXT(tblHorasJun[Data],"dddd"),tblDiaUtil[],3,FALSE)="Sim",IF(tblHorasJun[Evento 
(1º Período)]&lt;&gt;"",IF(VLOOKUP(tblHorasJun[Evento 
(1º Período)],tblEvento[],Tabelas!$E$1,FALSE)="Sim",FALSE,TRUE),TRUE),IF(tblHorasJun[Evento 
(2º Período)]&lt;&gt;"",IF(VLOOKUP(tblHorasJun[Evento 
(2º Período)],tblEvento[],Tabelas!$E$1,FALSE)="Sim",FALSE,TRUE),TRUE)),
              IF(VLOOKUP(tblHorasJun[Dia],tblDiaUtil[[Abreviatura]:[1º Período]],3,FALSE)&gt;0,VLOOKUP(tblHorasJun[Dia],tblDiaUtil[[Abreviatura]:[1º Período]],3,FALSE),JORNADA),
              ""),
         "")</f>
        <v/>
      </c>
      <c r="N21" s="14">
        <f>IF(OR(tblHorasJun[Horas Trabalhadas (1º Período)]&lt;&gt;0,tblHorasJun[Horas Trabalhadas (2º Período)]&lt;&gt;0),
        IF(ISNUMBER(tblHorasJun[Jornada Diária]),
              IF(tblHorasJun[Jornada Diária]&gt;(tblHorasJun[Horas Trabalhadas (2º Período)]+tblHorasJun[Horas Trabalhadas (1º Período)]),
                     IF(ROUND((tblHorasJun[Jornada Diária]-(tblHorasJun[Horas Trabalhadas (2º Período)]+tblHorasJun[Horas Trabalhadas (1º Período)])),6)&gt;ROUND(CARENCIA,6),
                           -tblHorasJun[Jornada Diária]+(tblHorasJun[Horas Trabalhadas (2º Período)]+tblHorasJun[Horas Trabalhadas (1º Período)]),
                           0),
                      IF(ROUND((tblHorasJun[Jornada Diária]-(tblHorasJun[Horas Trabalhadas (2º Período)]+tblHorasJun[Horas Trabalhadas (1º Período)])),6)&lt;ROUND(-CARENCIA,6),
                           -tblHorasJun[Jornada Diária]+(tblHorasJun[Horas Trabalhadas (2º Período)]+tblHorasJun[Horas Trabalhadas (1º Período)]),
                           0)),
              tblHorasJun[Horas Trabalhadas (2º Período)]+tblHorasJun[Horas Trabalhadas (1º Período)]),
         IF(AND(IF(ISERROR(VLOOKUP(tblHorasJun[Evento 
(1º Período)],tblEvento[[Evento]:[Libera o Período]],4,FALSE)),FALSE,IF(VLOOKUP(tblHorasJun[Evento 
(1º Período)],tblEvento[[Evento]:[Libera o Período]],4,FALSE)="Não",TRUE,FALSE)),IF(ISERROR(VLOOKUP(tblHorasJun[Evento 
(2º Período)],tblEvento[[Evento]:[Libera o Período]],4,FALSE)),FALSE,IF(VLOOKUP(tblHorasJun[Evento 
(2º Período)],tblEvento[[Evento]:[Libera o Período]],4,FALSE)="Não",TRUE,FALSE))),
-IF(VLOOKUP(tblHorasJun[Dia],tblDiaUtil[[Abreviatura]:[Total Jornada]],5,FALSE)&lt;&gt;"",VLOOKUP(tblHorasJun[Dia],tblDiaUtil[[Abreviatura]:[Total Jornada]],5,FALSE),JORNADA),
IF(IF(ISERROR(VLOOKUP(tblHorasJun[Evento 
(1º Período)],tblEvento[[Evento]:[Libera o Período]],4,FALSE)),FALSE,
IF(VLOOKUP(tblHorasJun[Evento 
(1º Período)],tblEvento[[Evento]:[Libera o Período]],4,FALSE)="Não",TRUE,FALSE)
),
-IF(VLOOKUP(tblHorasJun[Dia],tblDiaUtil[[Abreviatura]:[1º Período]],3,FALSE)&lt;&gt;"",VLOOKUP(tblHorasJun[Dia],tblDiaUtil[[Abreviatura]:[1º Período]],3,FALSE),JORNADA_PERIODO_1),
IF(IF(ISERROR(VLOOKUP(tblHorasJun[Evento 
(2º Período)],tblEvento[[Evento]:[Libera o Período]],4,FALSE)),FALSE,IF(VLOOKUP(tblHorasJun[Evento 
(2º Período)],tblEvento[[Evento]:[Libera o Período]],4,FALSE)="Não",TRUE,FALSE)),
-IF(VLOOKUP(tblHorasJun[Dia],tblDiaUtil[[Abreviatura]:[2º Período]],4,FALSE)&lt;&gt;"",VLOOKUP(tblHorasJun[Dia],tblDiaUtil[[Abreviatura]:[2º Período]],4,FALSE),JORNADA_PERIODO_2),0))))</f>
        <v>0</v>
      </c>
      <c r="O21" s="14">
        <f>IF(tblHorasJun[Horas Trabalhadas Além Jornada]&gt;0,
        IF(ISNUMBER(tblHorasJun[Jornada Diária]),
              IF(HOUR(tblHorasJun[Horas Trabalhadas Além Jornada])&gt;=VLOOKUP(LIMITE,tblLimiteHora[],Tabelas!$I$1,FALSE),
                    VLOOKUP(LIMITE,tblLimiteHora[],Tabelas!$J$1,FALSE),
                    tblHorasJun[Horas Trabalhadas Além Jornada]),
              tblHorasJun[Horas Trabalhadas Além Jornada]),
        tblHorasJun[Horas Trabalhadas Além Jornada])+O20</f>
        <v>0</v>
      </c>
      <c r="P21" s="14" t="str">
        <f>IF(tblHorasJun[Horas Trabalhadas Além Jornada]&lt;0,IF(OR(tblHorasJun[Evento 
(1º Período)]="",tblHorasJun[Evento 
(2º Período)]=""),tblHorasJun[Horas Trabalhadas Além Jornada],""),"")</f>
        <v/>
      </c>
      <c r="Q21" s="14" t="str">
        <f>IF(tblHorasJun[Jornada Diária]&lt;&gt;"",IF((N(tblHorasJun[Jornada Diária])-ABS(N(tblHorasJun[Horas Trabalhadas Além Jornada])))=0,1,""),"")</f>
        <v/>
      </c>
      <c r="R21" s="14" t="str">
        <f>IF(tblHorasJun[Horas Trabalhadas Além Jornada]&gt;0,
IF(AND(VLOOKUP(TEXT(tblHorasJun[Data],"dddd"),tblDiaUtil[],3,FALSE)="Sim",IF(tblHorasJun[Evento 
(1º Período)]&lt;&gt;"",IF(VLOOKUP(tblHorasJun[Evento 
(1º Período)],tblEvento[],Tabelas!$E$1,FALSE)="Sim",FALSE,TRUE),TRUE),IF(tblHorasJun[Evento 
(2º Período)]&lt;&gt;"",IF(VLOOKUP(tblHorasJun[Evento 
(2º Período)],tblEvento[],Tabelas!$E$1,FALSE)="Sim",FALSE,TRUE),TRUE)),
tblHorasJun[Horas Trabalhadas Além Jornada],""),"")</f>
        <v/>
      </c>
      <c r="S21" s="14" t="str">
        <f>IF(tblHorasJun[Horas Trabalhadas Além Jornada]&gt;0,
IF(OR(VLOOKUP(TEXT(tblHorasJun[Data],"dddd"),tblDiaUtil[],3,FALSE)="Não",IF(tblHorasJun[Evento 
(1º Período)]&lt;&gt;"",IF(VLOOKUP(tblHorasJun[Evento 
(1º Período)],tblEvento[],Tabelas!$E$1,FALSE)="Sim",TRUE,FALSE),FALSE),IF(tblHorasJun[Evento 
(2º Período)]&lt;&gt;"",IF(VLOOKUP(tblHorasJun[Evento 
(2º Período)],tblEvento[],Tabelas!$E$1,FALSE)="Sim",TRUE,FALSE),FALSE)),
tblHorasJun[Horas Trabalhadas Além Jornada],""),"")</f>
        <v/>
      </c>
      <c r="T21" s="15" t="str">
        <f>IF(tblHorasJun[Evento 
(1º Período)]&lt;&gt;""," - " &amp;VLOOKUP(tblHorasJun[Evento 
(1º Período)],tblEvento[],Tabelas!$F$1,FALSE),"")&amp;IF(AND(tblHorasJun[Evento 
(2º Período)]&lt;&gt;"",tblHorasJun[Evento 
(2º Período)]&lt;&gt;tblHorasJun[Evento 
(1º Período)])," - " &amp; VLOOKUP(tblHorasJun[Evento 
(2º Período)],tblEvento[],Tabelas!$F$1,FALSE),"")</f>
        <v/>
      </c>
    </row>
    <row r="22" spans="2:20" x14ac:dyDescent="0.25">
      <c r="B22" s="11" t="str">
        <f t="shared" si="0"/>
        <v/>
      </c>
      <c r="C22" s="12" t="str">
        <f>TEXT(tblHorasJun[Data],"ddd")</f>
        <v/>
      </c>
      <c r="D22" s="25"/>
      <c r="E22" s="1"/>
      <c r="F22" s="1"/>
      <c r="G22" s="1"/>
      <c r="H22" s="1"/>
      <c r="I22" s="53"/>
      <c r="J22" s="4">
        <f>IF($B$6&lt;&gt;"",
IF(AND(tblHorasJun[Evento 
(1º Período)]&lt;&gt;"",IF(ISERROR(VLOOKUP(tblHorasJun[Evento 
(1º Período)],tblEvento[],Tabelas!$D$1,FALSE)),FALSE,VLOOKUP(tblHorasJun[Evento 
(1º Período)],tblEvento[],Tabelas!$D$1,FALSE)="Sim")),
        IF(JORNADA_PERIODO_1&lt;&gt;"",
IF(VLOOKUP(tblHorasJun[Dia],tblDiaUtil[[Abreviatura]:[1º Período]],3,FALSE)&gt;0,VLOOKUP(tblHorasJun[Dia],tblDiaUtil[[Abreviatura]:[1º Período]],3,FALSE),JORNADA_PERIODO_1),
IF(VLOOKUP(tblHorasJun[Dia],tblDiaUtil[[Abreviatura]:[1º Período]],3,FALSE)&gt;0,VLOOKUP(tblHorasJun[Dia],tblDiaUtil[[Abreviatura]:[1º Período]],3,FALSE),JORNADA/2)),
        IF(AND(ISNUMBER(tblHorasJun[Saída - 1 (Almoço)]),ISNUMBER(tblHorasJun[Entrada - 1])),
              IF(OR(AND(tblHorasJun[Evento 
(1º Período)]&lt;&gt;"",IF(ISERROR(VLOOKUP(tblHorasJun[Evento 
(1º Período)],tblEvento[],Tabelas!$E$1,FALSE)),FALSE,VLOOKUP(tblHorasJun[Evento 
(1º Período)],tblEvento[],Tabelas!$E$1,FALSE)="Sim")),IF(VLOOKUP(TEXT(tblHorasJun[Data],"dddd"),tblDiaUtil[],2,FALSE)="Não",TRUE,FALSE)),
                   tblHorasJun[Saída - 1 (Almoço)]-tblHorasJun[Entrada - 1],
                   IF(OR(HOUR(tblHorasJun[Saída - 1 (Almoço)]-tblHorasJun[Entrada - 1])&gt;0,ROUND(tblHorasJun[Saída - 1 (Almoço)]-tblHorasJun[Entrada - 1],6)&gt;ROUND(CARENCIA,6)),
                          tblHorasJun[Saída - 1 (Almoço)]-tblHorasJun[Entrada - 1],
                          0)),
                    0)),0)</f>
        <v>0</v>
      </c>
      <c r="K22" s="4">
        <f>IF($B$6&lt;&gt;"",
IF(AND(tblHorasJun[Evento 
(2º Período)]&lt;&gt;"",IF(ISERROR(VLOOKUP(tblHorasJun[Evento 
(2º Período)],tblEvento[],Tabelas!$D$1,FALSE)),FALSE,VLOOKUP(tblHorasJun[Evento 
(2º Período)],tblEvento[],Tabelas!$D$1,FALSE)="Sim")),
        IF(JORNADA_PERIODO_2&lt;&gt;"",
IF(VLOOKUP(tblHorasJun[Dia],tblDiaUtil[[Abreviatura]:[2º Período]],4,FALSE)&gt;0,VLOOKUP(tblHorasJun[Dia],tblDiaUtil[[Abreviatura]:[2º Período]],4,FALSE),JORNADA_PERIODO_2),
IF(VLOOKUP(tblHorasJun[Dia],tblDiaUtil[[Abreviatura]:[2º Período]],4,FALSE)&gt;0,VLOOKUP(tblHorasJun[Dia],tblDiaUtil[[Abreviatura]:[2º Período]],4,FALSE),JORNADA/2)),
        IF(AND(ISNUMBER(tblHorasJun[Saída - 2]),ISNUMBER(tblHorasJun[Entrada - 2 (Almoço)])),
              IF(OR(AND(tblHorasJun[Evento 
(2º Período)]&lt;&gt;"",IF(ISERROR(VLOOKUP(tblHorasJun[Evento 
(2º Período)],tblEvento[],Tabelas!$E$1,FALSE)),FALSE,VLOOKUP(tblHorasJun[Evento 
(2º Período)],tblEvento[],Tabelas!$E$1,FALSE)="Sim")),IF(VLOOKUP(TEXT(tblHorasJun[Data],"dddd"),tblDiaUtil[],2,FALSE)="Não",TRUE,FALSE)),
                   tblHorasJun[Saída - 2]-tblHorasJun[Entrada - 2 (Almoço)],
                   IF(OR(HOUR(tblHorasJun[Saída - 2]-tblHorasJun[Entrada - 2 (Almoço)])&gt;0,MINUTE(tblHorasJun[Saída - 2]-tblHorasJun[Entrada - 2 (Almoço)])&gt;CARENCIA),
                         tblHorasJun[Saída - 2]-tblHorasJun[Entrada - 2 (Almoço)],
                         0)),
       0)),0)</f>
        <v>0</v>
      </c>
      <c r="L22" s="4">
        <f>tblHorasJun[Horas Trabalhadas (1º Período)]+tblHorasJun[Horas Trabalhadas (2º Período)]</f>
        <v>0</v>
      </c>
      <c r="M22" s="4" t="str">
        <f>IF(tblHorasJun[Data]&lt;&gt;"",
        IF(
AND(VLOOKUP(TEXT(tblHorasJun[Data],"dddd"),tblDiaUtil[],3,FALSE)="Sim",IF(tblHorasJun[Evento 
(1º Período)]&lt;&gt;"",IF(VLOOKUP(tblHorasJun[Evento 
(1º Período)],tblEvento[],Tabelas!$E$1,FALSE)="Sim",FALSE,TRUE),TRUE),IF(tblHorasJun[Evento 
(2º Período)]&lt;&gt;"",IF(VLOOKUP(tblHorasJun[Evento 
(2º Período)],tblEvento[],Tabelas!$E$1,FALSE)="Sim",FALSE,TRUE),TRUE)),
              IF(VLOOKUP(tblHorasJun[Dia],tblDiaUtil[[Abreviatura]:[1º Período]],3,FALSE)&gt;0,VLOOKUP(tblHorasJun[Dia],tblDiaUtil[[Abreviatura]:[1º Período]],3,FALSE),JORNADA),
              ""),
         "")</f>
        <v/>
      </c>
      <c r="N22" s="14">
        <f>IF(OR(tblHorasJun[Horas Trabalhadas (1º Período)]&lt;&gt;0,tblHorasJun[Horas Trabalhadas (2º Período)]&lt;&gt;0),
        IF(ISNUMBER(tblHorasJun[Jornada Diária]),
              IF(tblHorasJun[Jornada Diária]&gt;(tblHorasJun[Horas Trabalhadas (2º Período)]+tblHorasJun[Horas Trabalhadas (1º Período)]),
                     IF(ROUND((tblHorasJun[Jornada Diária]-(tblHorasJun[Horas Trabalhadas (2º Período)]+tblHorasJun[Horas Trabalhadas (1º Período)])),6)&gt;ROUND(CARENCIA,6),
                           -tblHorasJun[Jornada Diária]+(tblHorasJun[Horas Trabalhadas (2º Período)]+tblHorasJun[Horas Trabalhadas (1º Período)]),
                           0),
                      IF(ROUND((tblHorasJun[Jornada Diária]-(tblHorasJun[Horas Trabalhadas (2º Período)]+tblHorasJun[Horas Trabalhadas (1º Período)])),6)&lt;ROUND(-CARENCIA,6),
                           -tblHorasJun[Jornada Diária]+(tblHorasJun[Horas Trabalhadas (2º Período)]+tblHorasJun[Horas Trabalhadas (1º Período)]),
                           0)),
              tblHorasJun[Horas Trabalhadas (2º Período)]+tblHorasJun[Horas Trabalhadas (1º Período)]),
         IF(AND(IF(ISERROR(VLOOKUP(tblHorasJun[Evento 
(1º Período)],tblEvento[[Evento]:[Libera o Período]],4,FALSE)),FALSE,IF(VLOOKUP(tblHorasJun[Evento 
(1º Período)],tblEvento[[Evento]:[Libera o Período]],4,FALSE)="Não",TRUE,FALSE)),IF(ISERROR(VLOOKUP(tblHorasJun[Evento 
(2º Período)],tblEvento[[Evento]:[Libera o Período]],4,FALSE)),FALSE,IF(VLOOKUP(tblHorasJun[Evento 
(2º Período)],tblEvento[[Evento]:[Libera o Período]],4,FALSE)="Não",TRUE,FALSE))),
-IF(VLOOKUP(tblHorasJun[Dia],tblDiaUtil[[Abreviatura]:[Total Jornada]],5,FALSE)&lt;&gt;"",VLOOKUP(tblHorasJun[Dia],tblDiaUtil[[Abreviatura]:[Total Jornada]],5,FALSE),JORNADA),
IF(IF(ISERROR(VLOOKUP(tblHorasJun[Evento 
(1º Período)],tblEvento[[Evento]:[Libera o Período]],4,FALSE)),FALSE,
IF(VLOOKUP(tblHorasJun[Evento 
(1º Período)],tblEvento[[Evento]:[Libera o Período]],4,FALSE)="Não",TRUE,FALSE)
),
-IF(VLOOKUP(tblHorasJun[Dia],tblDiaUtil[[Abreviatura]:[1º Período]],3,FALSE)&lt;&gt;"",VLOOKUP(tblHorasJun[Dia],tblDiaUtil[[Abreviatura]:[1º Período]],3,FALSE),JORNADA_PERIODO_1),
IF(IF(ISERROR(VLOOKUP(tblHorasJun[Evento 
(2º Período)],tblEvento[[Evento]:[Libera o Período]],4,FALSE)),FALSE,IF(VLOOKUP(tblHorasJun[Evento 
(2º Período)],tblEvento[[Evento]:[Libera o Período]],4,FALSE)="Não",TRUE,FALSE)),
-IF(VLOOKUP(tblHorasJun[Dia],tblDiaUtil[[Abreviatura]:[2º Período]],4,FALSE)&lt;&gt;"",VLOOKUP(tblHorasJun[Dia],tblDiaUtil[[Abreviatura]:[2º Período]],4,FALSE),JORNADA_PERIODO_2),0))))</f>
        <v>0</v>
      </c>
      <c r="O22" s="14">
        <f>IF(tblHorasJun[Horas Trabalhadas Além Jornada]&gt;0,
        IF(ISNUMBER(tblHorasJun[Jornada Diária]),
              IF(HOUR(tblHorasJun[Horas Trabalhadas Além Jornada])&gt;=VLOOKUP(LIMITE,tblLimiteHora[],Tabelas!$I$1,FALSE),
                    VLOOKUP(LIMITE,tblLimiteHora[],Tabelas!$J$1,FALSE),
                    tblHorasJun[Horas Trabalhadas Além Jornada]),
              tblHorasJun[Horas Trabalhadas Além Jornada]),
        tblHorasJun[Horas Trabalhadas Além Jornada])+O21</f>
        <v>0</v>
      </c>
      <c r="P22" s="14" t="str">
        <f>IF(tblHorasJun[Horas Trabalhadas Além Jornada]&lt;0,IF(OR(tblHorasJun[Evento 
(1º Período)]="",tblHorasJun[Evento 
(2º Período)]=""),tblHorasJun[Horas Trabalhadas Além Jornada],""),"")</f>
        <v/>
      </c>
      <c r="Q22" s="14" t="str">
        <f>IF(tblHorasJun[Jornada Diária]&lt;&gt;"",IF((N(tblHorasJun[Jornada Diária])-ABS(N(tblHorasJun[Horas Trabalhadas Além Jornada])))=0,1,""),"")</f>
        <v/>
      </c>
      <c r="R22" s="14" t="str">
        <f>IF(tblHorasJun[Horas Trabalhadas Além Jornada]&gt;0,
IF(AND(VLOOKUP(TEXT(tblHorasJun[Data],"dddd"),tblDiaUtil[],3,FALSE)="Sim",IF(tblHorasJun[Evento 
(1º Período)]&lt;&gt;"",IF(VLOOKUP(tblHorasJun[Evento 
(1º Período)],tblEvento[],Tabelas!$E$1,FALSE)="Sim",FALSE,TRUE),TRUE),IF(tblHorasJun[Evento 
(2º Período)]&lt;&gt;"",IF(VLOOKUP(tblHorasJun[Evento 
(2º Período)],tblEvento[],Tabelas!$E$1,FALSE)="Sim",FALSE,TRUE),TRUE)),
tblHorasJun[Horas Trabalhadas Além Jornada],""),"")</f>
        <v/>
      </c>
      <c r="S22" s="14" t="str">
        <f>IF(tblHorasJun[Horas Trabalhadas Além Jornada]&gt;0,
IF(OR(VLOOKUP(TEXT(tblHorasJun[Data],"dddd"),tblDiaUtil[],3,FALSE)="Não",IF(tblHorasJun[Evento 
(1º Período)]&lt;&gt;"",IF(VLOOKUP(tblHorasJun[Evento 
(1º Período)],tblEvento[],Tabelas!$E$1,FALSE)="Sim",TRUE,FALSE),FALSE),IF(tblHorasJun[Evento 
(2º Período)]&lt;&gt;"",IF(VLOOKUP(tblHorasJun[Evento 
(2º Período)],tblEvento[],Tabelas!$E$1,FALSE)="Sim",TRUE,FALSE),FALSE)),
tblHorasJun[Horas Trabalhadas Além Jornada],""),"")</f>
        <v/>
      </c>
      <c r="T22" s="15" t="str">
        <f>IF(tblHorasJun[Evento 
(1º Período)]&lt;&gt;""," - " &amp;VLOOKUP(tblHorasJun[Evento 
(1º Período)],tblEvento[],Tabelas!$F$1,FALSE),"")&amp;IF(AND(tblHorasJun[Evento 
(2º Período)]&lt;&gt;"",tblHorasJun[Evento 
(2º Período)]&lt;&gt;tblHorasJun[Evento 
(1º Período)])," - " &amp; VLOOKUP(tblHorasJun[Evento 
(2º Período)],tblEvento[],Tabelas!$F$1,FALSE),"")</f>
        <v/>
      </c>
    </row>
    <row r="23" spans="2:20" x14ac:dyDescent="0.25">
      <c r="B23" s="11" t="str">
        <f t="shared" si="0"/>
        <v/>
      </c>
      <c r="C23" s="12" t="str">
        <f>TEXT(tblHorasJun[Data],"ddd")</f>
        <v/>
      </c>
      <c r="D23" s="25"/>
      <c r="E23" s="1"/>
      <c r="F23" s="1"/>
      <c r="G23" s="1"/>
      <c r="H23" s="1"/>
      <c r="I23" s="53"/>
      <c r="J23" s="4">
        <f>IF($B$6&lt;&gt;"",
IF(AND(tblHorasJun[Evento 
(1º Período)]&lt;&gt;"",IF(ISERROR(VLOOKUP(tblHorasJun[Evento 
(1º Período)],tblEvento[],Tabelas!$D$1,FALSE)),FALSE,VLOOKUP(tblHorasJun[Evento 
(1º Período)],tblEvento[],Tabelas!$D$1,FALSE)="Sim")),
        IF(JORNADA_PERIODO_1&lt;&gt;"",
IF(VLOOKUP(tblHorasJun[Dia],tblDiaUtil[[Abreviatura]:[1º Período]],3,FALSE)&gt;0,VLOOKUP(tblHorasJun[Dia],tblDiaUtil[[Abreviatura]:[1º Período]],3,FALSE),JORNADA_PERIODO_1),
IF(VLOOKUP(tblHorasJun[Dia],tblDiaUtil[[Abreviatura]:[1º Período]],3,FALSE)&gt;0,VLOOKUP(tblHorasJun[Dia],tblDiaUtil[[Abreviatura]:[1º Período]],3,FALSE),JORNADA/2)),
        IF(AND(ISNUMBER(tblHorasJun[Saída - 1 (Almoço)]),ISNUMBER(tblHorasJun[Entrada - 1])),
              IF(OR(AND(tblHorasJun[Evento 
(1º Período)]&lt;&gt;"",IF(ISERROR(VLOOKUP(tblHorasJun[Evento 
(1º Período)],tblEvento[],Tabelas!$E$1,FALSE)),FALSE,VLOOKUP(tblHorasJun[Evento 
(1º Período)],tblEvento[],Tabelas!$E$1,FALSE)="Sim")),IF(VLOOKUP(TEXT(tblHorasJun[Data],"dddd"),tblDiaUtil[],2,FALSE)="Não",TRUE,FALSE)),
                   tblHorasJun[Saída - 1 (Almoço)]-tblHorasJun[Entrada - 1],
                   IF(OR(HOUR(tblHorasJun[Saída - 1 (Almoço)]-tblHorasJun[Entrada - 1])&gt;0,ROUND(tblHorasJun[Saída - 1 (Almoço)]-tblHorasJun[Entrada - 1],6)&gt;ROUND(CARENCIA,6)),
                          tblHorasJun[Saída - 1 (Almoço)]-tblHorasJun[Entrada - 1],
                          0)),
                    0)),0)</f>
        <v>0</v>
      </c>
      <c r="K23" s="4">
        <f>IF($B$6&lt;&gt;"",
IF(AND(tblHorasJun[Evento 
(2º Período)]&lt;&gt;"",IF(ISERROR(VLOOKUP(tblHorasJun[Evento 
(2º Período)],tblEvento[],Tabelas!$D$1,FALSE)),FALSE,VLOOKUP(tblHorasJun[Evento 
(2º Período)],tblEvento[],Tabelas!$D$1,FALSE)="Sim")),
        IF(JORNADA_PERIODO_2&lt;&gt;"",
IF(VLOOKUP(tblHorasJun[Dia],tblDiaUtil[[Abreviatura]:[2º Período]],4,FALSE)&gt;0,VLOOKUP(tblHorasJun[Dia],tblDiaUtil[[Abreviatura]:[2º Período]],4,FALSE),JORNADA_PERIODO_2),
IF(VLOOKUP(tblHorasJun[Dia],tblDiaUtil[[Abreviatura]:[2º Período]],4,FALSE)&gt;0,VLOOKUP(tblHorasJun[Dia],tblDiaUtil[[Abreviatura]:[2º Período]],4,FALSE),JORNADA/2)),
        IF(AND(ISNUMBER(tblHorasJun[Saída - 2]),ISNUMBER(tblHorasJun[Entrada - 2 (Almoço)])),
              IF(OR(AND(tblHorasJun[Evento 
(2º Período)]&lt;&gt;"",IF(ISERROR(VLOOKUP(tblHorasJun[Evento 
(2º Período)],tblEvento[],Tabelas!$E$1,FALSE)),FALSE,VLOOKUP(tblHorasJun[Evento 
(2º Período)],tblEvento[],Tabelas!$E$1,FALSE)="Sim")),IF(VLOOKUP(TEXT(tblHorasJun[Data],"dddd"),tblDiaUtil[],2,FALSE)="Não",TRUE,FALSE)),
                   tblHorasJun[Saída - 2]-tblHorasJun[Entrada - 2 (Almoço)],
                   IF(OR(HOUR(tblHorasJun[Saída - 2]-tblHorasJun[Entrada - 2 (Almoço)])&gt;0,MINUTE(tblHorasJun[Saída - 2]-tblHorasJun[Entrada - 2 (Almoço)])&gt;CARENCIA),
                         tblHorasJun[Saída - 2]-tblHorasJun[Entrada - 2 (Almoço)],
                         0)),
       0)),0)</f>
        <v>0</v>
      </c>
      <c r="L23" s="4">
        <f>tblHorasJun[Horas Trabalhadas (1º Período)]+tblHorasJun[Horas Trabalhadas (2º Período)]</f>
        <v>0</v>
      </c>
      <c r="M23" s="4" t="str">
        <f>IF(tblHorasJun[Data]&lt;&gt;"",
        IF(
AND(VLOOKUP(TEXT(tblHorasJun[Data],"dddd"),tblDiaUtil[],3,FALSE)="Sim",IF(tblHorasJun[Evento 
(1º Período)]&lt;&gt;"",IF(VLOOKUP(tblHorasJun[Evento 
(1º Período)],tblEvento[],Tabelas!$E$1,FALSE)="Sim",FALSE,TRUE),TRUE),IF(tblHorasJun[Evento 
(2º Período)]&lt;&gt;"",IF(VLOOKUP(tblHorasJun[Evento 
(2º Período)],tblEvento[],Tabelas!$E$1,FALSE)="Sim",FALSE,TRUE),TRUE)),
              IF(VLOOKUP(tblHorasJun[Dia],tblDiaUtil[[Abreviatura]:[1º Período]],3,FALSE)&gt;0,VLOOKUP(tblHorasJun[Dia],tblDiaUtil[[Abreviatura]:[1º Período]],3,FALSE),JORNADA),
              ""),
         "")</f>
        <v/>
      </c>
      <c r="N23" s="14">
        <f>IF(OR(tblHorasJun[Horas Trabalhadas (1º Período)]&lt;&gt;0,tblHorasJun[Horas Trabalhadas (2º Período)]&lt;&gt;0),
        IF(ISNUMBER(tblHorasJun[Jornada Diária]),
              IF(tblHorasJun[Jornada Diária]&gt;(tblHorasJun[Horas Trabalhadas (2º Período)]+tblHorasJun[Horas Trabalhadas (1º Período)]),
                     IF(ROUND((tblHorasJun[Jornada Diária]-(tblHorasJun[Horas Trabalhadas (2º Período)]+tblHorasJun[Horas Trabalhadas (1º Período)])),6)&gt;ROUND(CARENCIA,6),
                           -tblHorasJun[Jornada Diária]+(tblHorasJun[Horas Trabalhadas (2º Período)]+tblHorasJun[Horas Trabalhadas (1º Período)]),
                           0),
                      IF(ROUND((tblHorasJun[Jornada Diária]-(tblHorasJun[Horas Trabalhadas (2º Período)]+tblHorasJun[Horas Trabalhadas (1º Período)])),6)&lt;ROUND(-CARENCIA,6),
                           -tblHorasJun[Jornada Diária]+(tblHorasJun[Horas Trabalhadas (2º Período)]+tblHorasJun[Horas Trabalhadas (1º Período)]),
                           0)),
              tblHorasJun[Horas Trabalhadas (2º Período)]+tblHorasJun[Horas Trabalhadas (1º Período)]),
         IF(AND(IF(ISERROR(VLOOKUP(tblHorasJun[Evento 
(1º Período)],tblEvento[[Evento]:[Libera o Período]],4,FALSE)),FALSE,IF(VLOOKUP(tblHorasJun[Evento 
(1º Período)],tblEvento[[Evento]:[Libera o Período]],4,FALSE)="Não",TRUE,FALSE)),IF(ISERROR(VLOOKUP(tblHorasJun[Evento 
(2º Período)],tblEvento[[Evento]:[Libera o Período]],4,FALSE)),FALSE,IF(VLOOKUP(tblHorasJun[Evento 
(2º Período)],tblEvento[[Evento]:[Libera o Período]],4,FALSE)="Não",TRUE,FALSE))),
-IF(VLOOKUP(tblHorasJun[Dia],tblDiaUtil[[Abreviatura]:[Total Jornada]],5,FALSE)&lt;&gt;"",VLOOKUP(tblHorasJun[Dia],tblDiaUtil[[Abreviatura]:[Total Jornada]],5,FALSE),JORNADA),
IF(IF(ISERROR(VLOOKUP(tblHorasJun[Evento 
(1º Período)],tblEvento[[Evento]:[Libera o Período]],4,FALSE)),FALSE,
IF(VLOOKUP(tblHorasJun[Evento 
(1º Período)],tblEvento[[Evento]:[Libera o Período]],4,FALSE)="Não",TRUE,FALSE)
),
-IF(VLOOKUP(tblHorasJun[Dia],tblDiaUtil[[Abreviatura]:[1º Período]],3,FALSE)&lt;&gt;"",VLOOKUP(tblHorasJun[Dia],tblDiaUtil[[Abreviatura]:[1º Período]],3,FALSE),JORNADA_PERIODO_1),
IF(IF(ISERROR(VLOOKUP(tblHorasJun[Evento 
(2º Período)],tblEvento[[Evento]:[Libera o Período]],4,FALSE)),FALSE,IF(VLOOKUP(tblHorasJun[Evento 
(2º Período)],tblEvento[[Evento]:[Libera o Período]],4,FALSE)="Não",TRUE,FALSE)),
-IF(VLOOKUP(tblHorasJun[Dia],tblDiaUtil[[Abreviatura]:[2º Período]],4,FALSE)&lt;&gt;"",VLOOKUP(tblHorasJun[Dia],tblDiaUtil[[Abreviatura]:[2º Período]],4,FALSE),JORNADA_PERIODO_2),0))))</f>
        <v>0</v>
      </c>
      <c r="O23" s="14">
        <f>IF(tblHorasJun[Horas Trabalhadas Além Jornada]&gt;0,
        IF(ISNUMBER(tblHorasJun[Jornada Diária]),
              IF(HOUR(tblHorasJun[Horas Trabalhadas Além Jornada])&gt;=VLOOKUP(LIMITE,tblLimiteHora[],Tabelas!$I$1,FALSE),
                    VLOOKUP(LIMITE,tblLimiteHora[],Tabelas!$J$1,FALSE),
                    tblHorasJun[Horas Trabalhadas Além Jornada]),
              tblHorasJun[Horas Trabalhadas Além Jornada]),
        tblHorasJun[Horas Trabalhadas Além Jornada])+O22</f>
        <v>0</v>
      </c>
      <c r="P23" s="14" t="str">
        <f>IF(tblHorasJun[Horas Trabalhadas Além Jornada]&lt;0,IF(OR(tblHorasJun[Evento 
(1º Período)]="",tblHorasJun[Evento 
(2º Período)]=""),tblHorasJun[Horas Trabalhadas Além Jornada],""),"")</f>
        <v/>
      </c>
      <c r="Q23" s="14" t="str">
        <f>IF(tblHorasJun[Jornada Diária]&lt;&gt;"",IF((N(tblHorasJun[Jornada Diária])-ABS(N(tblHorasJun[Horas Trabalhadas Além Jornada])))=0,1,""),"")</f>
        <v/>
      </c>
      <c r="R23" s="14" t="str">
        <f>IF(tblHorasJun[Horas Trabalhadas Além Jornada]&gt;0,
IF(AND(VLOOKUP(TEXT(tblHorasJun[Data],"dddd"),tblDiaUtil[],3,FALSE)="Sim",IF(tblHorasJun[Evento 
(1º Período)]&lt;&gt;"",IF(VLOOKUP(tblHorasJun[Evento 
(1º Período)],tblEvento[],Tabelas!$E$1,FALSE)="Sim",FALSE,TRUE),TRUE),IF(tblHorasJun[Evento 
(2º Período)]&lt;&gt;"",IF(VLOOKUP(tblHorasJun[Evento 
(2º Período)],tblEvento[],Tabelas!$E$1,FALSE)="Sim",FALSE,TRUE),TRUE)),
tblHorasJun[Horas Trabalhadas Além Jornada],""),"")</f>
        <v/>
      </c>
      <c r="S23" s="14" t="str">
        <f>IF(tblHorasJun[Horas Trabalhadas Além Jornada]&gt;0,
IF(OR(VLOOKUP(TEXT(tblHorasJun[Data],"dddd"),tblDiaUtil[],3,FALSE)="Não",IF(tblHorasJun[Evento 
(1º Período)]&lt;&gt;"",IF(VLOOKUP(tblHorasJun[Evento 
(1º Período)],tblEvento[],Tabelas!$E$1,FALSE)="Sim",TRUE,FALSE),FALSE),IF(tblHorasJun[Evento 
(2º Período)]&lt;&gt;"",IF(VLOOKUP(tblHorasJun[Evento 
(2º Período)],tblEvento[],Tabelas!$E$1,FALSE)="Sim",TRUE,FALSE),FALSE)),
tblHorasJun[Horas Trabalhadas Além Jornada],""),"")</f>
        <v/>
      </c>
      <c r="T23" s="15" t="str">
        <f>IF(tblHorasJun[Evento 
(1º Período)]&lt;&gt;""," - " &amp;VLOOKUP(tblHorasJun[Evento 
(1º Período)],tblEvento[],Tabelas!$F$1,FALSE),"")&amp;IF(AND(tblHorasJun[Evento 
(2º Período)]&lt;&gt;"",tblHorasJun[Evento 
(2º Período)]&lt;&gt;tblHorasJun[Evento 
(1º Período)])," - " &amp; VLOOKUP(tblHorasJun[Evento 
(2º Período)],tblEvento[],Tabelas!$F$1,FALSE),"")</f>
        <v/>
      </c>
    </row>
    <row r="24" spans="2:20" x14ac:dyDescent="0.25">
      <c r="B24" s="11" t="str">
        <f t="shared" si="0"/>
        <v/>
      </c>
      <c r="C24" s="12" t="str">
        <f>TEXT(tblHorasJun[Data],"ddd")</f>
        <v/>
      </c>
      <c r="D24" s="25"/>
      <c r="E24" s="1"/>
      <c r="F24" s="1"/>
      <c r="G24" s="1"/>
      <c r="H24" s="1"/>
      <c r="I24" s="53"/>
      <c r="J24" s="4">
        <f>IF($B$6&lt;&gt;"",
IF(AND(tblHorasJun[Evento 
(1º Período)]&lt;&gt;"",IF(ISERROR(VLOOKUP(tblHorasJun[Evento 
(1º Período)],tblEvento[],Tabelas!$D$1,FALSE)),FALSE,VLOOKUP(tblHorasJun[Evento 
(1º Período)],tblEvento[],Tabelas!$D$1,FALSE)="Sim")),
        IF(JORNADA_PERIODO_1&lt;&gt;"",
IF(VLOOKUP(tblHorasJun[Dia],tblDiaUtil[[Abreviatura]:[1º Período]],3,FALSE)&gt;0,VLOOKUP(tblHorasJun[Dia],tblDiaUtil[[Abreviatura]:[1º Período]],3,FALSE),JORNADA_PERIODO_1),
IF(VLOOKUP(tblHorasJun[Dia],tblDiaUtil[[Abreviatura]:[1º Período]],3,FALSE)&gt;0,VLOOKUP(tblHorasJun[Dia],tblDiaUtil[[Abreviatura]:[1º Período]],3,FALSE),JORNADA/2)),
        IF(AND(ISNUMBER(tblHorasJun[Saída - 1 (Almoço)]),ISNUMBER(tblHorasJun[Entrada - 1])),
              IF(OR(AND(tblHorasJun[Evento 
(1º Período)]&lt;&gt;"",IF(ISERROR(VLOOKUP(tblHorasJun[Evento 
(1º Período)],tblEvento[],Tabelas!$E$1,FALSE)),FALSE,VLOOKUP(tblHorasJun[Evento 
(1º Período)],tblEvento[],Tabelas!$E$1,FALSE)="Sim")),IF(VLOOKUP(TEXT(tblHorasJun[Data],"dddd"),tblDiaUtil[],2,FALSE)="Não",TRUE,FALSE)),
                   tblHorasJun[Saída - 1 (Almoço)]-tblHorasJun[Entrada - 1],
                   IF(OR(HOUR(tblHorasJun[Saída - 1 (Almoço)]-tblHorasJun[Entrada - 1])&gt;0,ROUND(tblHorasJun[Saída - 1 (Almoço)]-tblHorasJun[Entrada - 1],6)&gt;ROUND(CARENCIA,6)),
                          tblHorasJun[Saída - 1 (Almoço)]-tblHorasJun[Entrada - 1],
                          0)),
                    0)),0)</f>
        <v>0</v>
      </c>
      <c r="K24" s="4">
        <f>IF($B$6&lt;&gt;"",
IF(AND(tblHorasJun[Evento 
(2º Período)]&lt;&gt;"",IF(ISERROR(VLOOKUP(tblHorasJun[Evento 
(2º Período)],tblEvento[],Tabelas!$D$1,FALSE)),FALSE,VLOOKUP(tblHorasJun[Evento 
(2º Período)],tblEvento[],Tabelas!$D$1,FALSE)="Sim")),
        IF(JORNADA_PERIODO_2&lt;&gt;"",
IF(VLOOKUP(tblHorasJun[Dia],tblDiaUtil[[Abreviatura]:[2º Período]],4,FALSE)&gt;0,VLOOKUP(tblHorasJun[Dia],tblDiaUtil[[Abreviatura]:[2º Período]],4,FALSE),JORNADA_PERIODO_2),
IF(VLOOKUP(tblHorasJun[Dia],tblDiaUtil[[Abreviatura]:[2º Período]],4,FALSE)&gt;0,VLOOKUP(tblHorasJun[Dia],tblDiaUtil[[Abreviatura]:[2º Período]],4,FALSE),JORNADA/2)),
        IF(AND(ISNUMBER(tblHorasJun[Saída - 2]),ISNUMBER(tblHorasJun[Entrada - 2 (Almoço)])),
              IF(OR(AND(tblHorasJun[Evento 
(2º Período)]&lt;&gt;"",IF(ISERROR(VLOOKUP(tblHorasJun[Evento 
(2º Período)],tblEvento[],Tabelas!$E$1,FALSE)),FALSE,VLOOKUP(tblHorasJun[Evento 
(2º Período)],tblEvento[],Tabelas!$E$1,FALSE)="Sim")),IF(VLOOKUP(TEXT(tblHorasJun[Data],"dddd"),tblDiaUtil[],2,FALSE)="Não",TRUE,FALSE)),
                   tblHorasJun[Saída - 2]-tblHorasJun[Entrada - 2 (Almoço)],
                   IF(OR(HOUR(tblHorasJun[Saída - 2]-tblHorasJun[Entrada - 2 (Almoço)])&gt;0,MINUTE(tblHorasJun[Saída - 2]-tblHorasJun[Entrada - 2 (Almoço)])&gt;CARENCIA),
                         tblHorasJun[Saída - 2]-tblHorasJun[Entrada - 2 (Almoço)],
                         0)),
       0)),0)</f>
        <v>0</v>
      </c>
      <c r="L24" s="4">
        <f>tblHorasJun[Horas Trabalhadas (1º Período)]+tblHorasJun[Horas Trabalhadas (2º Período)]</f>
        <v>0</v>
      </c>
      <c r="M24" s="4" t="str">
        <f>IF(tblHorasJun[Data]&lt;&gt;"",
        IF(
AND(VLOOKUP(TEXT(tblHorasJun[Data],"dddd"),tblDiaUtil[],3,FALSE)="Sim",IF(tblHorasJun[Evento 
(1º Período)]&lt;&gt;"",IF(VLOOKUP(tblHorasJun[Evento 
(1º Período)],tblEvento[],Tabelas!$E$1,FALSE)="Sim",FALSE,TRUE),TRUE),IF(tblHorasJun[Evento 
(2º Período)]&lt;&gt;"",IF(VLOOKUP(tblHorasJun[Evento 
(2º Período)],tblEvento[],Tabelas!$E$1,FALSE)="Sim",FALSE,TRUE),TRUE)),
              IF(VLOOKUP(tblHorasJun[Dia],tblDiaUtil[[Abreviatura]:[1º Período]],3,FALSE)&gt;0,VLOOKUP(tblHorasJun[Dia],tblDiaUtil[[Abreviatura]:[1º Período]],3,FALSE),JORNADA),
              ""),
         "")</f>
        <v/>
      </c>
      <c r="N24" s="14">
        <f>IF(OR(tblHorasJun[Horas Trabalhadas (1º Período)]&lt;&gt;0,tblHorasJun[Horas Trabalhadas (2º Período)]&lt;&gt;0),
        IF(ISNUMBER(tblHorasJun[Jornada Diária]),
              IF(tblHorasJun[Jornada Diária]&gt;(tblHorasJun[Horas Trabalhadas (2º Período)]+tblHorasJun[Horas Trabalhadas (1º Período)]),
                     IF(ROUND((tblHorasJun[Jornada Diária]-(tblHorasJun[Horas Trabalhadas (2º Período)]+tblHorasJun[Horas Trabalhadas (1º Período)])),6)&gt;ROUND(CARENCIA,6),
                           -tblHorasJun[Jornada Diária]+(tblHorasJun[Horas Trabalhadas (2º Período)]+tblHorasJun[Horas Trabalhadas (1º Período)]),
                           0),
                      IF(ROUND((tblHorasJun[Jornada Diária]-(tblHorasJun[Horas Trabalhadas (2º Período)]+tblHorasJun[Horas Trabalhadas (1º Período)])),6)&lt;ROUND(-CARENCIA,6),
                           -tblHorasJun[Jornada Diária]+(tblHorasJun[Horas Trabalhadas (2º Período)]+tblHorasJun[Horas Trabalhadas (1º Período)]),
                           0)),
              tblHorasJun[Horas Trabalhadas (2º Período)]+tblHorasJun[Horas Trabalhadas (1º Período)]),
         IF(AND(IF(ISERROR(VLOOKUP(tblHorasJun[Evento 
(1º Período)],tblEvento[[Evento]:[Libera o Período]],4,FALSE)),FALSE,IF(VLOOKUP(tblHorasJun[Evento 
(1º Período)],tblEvento[[Evento]:[Libera o Período]],4,FALSE)="Não",TRUE,FALSE)),IF(ISERROR(VLOOKUP(tblHorasJun[Evento 
(2º Período)],tblEvento[[Evento]:[Libera o Período]],4,FALSE)),FALSE,IF(VLOOKUP(tblHorasJun[Evento 
(2º Período)],tblEvento[[Evento]:[Libera o Período]],4,FALSE)="Não",TRUE,FALSE))),
-IF(VLOOKUP(tblHorasJun[Dia],tblDiaUtil[[Abreviatura]:[Total Jornada]],5,FALSE)&lt;&gt;"",VLOOKUP(tblHorasJun[Dia],tblDiaUtil[[Abreviatura]:[Total Jornada]],5,FALSE),JORNADA),
IF(IF(ISERROR(VLOOKUP(tblHorasJun[Evento 
(1º Período)],tblEvento[[Evento]:[Libera o Período]],4,FALSE)),FALSE,
IF(VLOOKUP(tblHorasJun[Evento 
(1º Período)],tblEvento[[Evento]:[Libera o Período]],4,FALSE)="Não",TRUE,FALSE)
),
-IF(VLOOKUP(tblHorasJun[Dia],tblDiaUtil[[Abreviatura]:[1º Período]],3,FALSE)&lt;&gt;"",VLOOKUP(tblHorasJun[Dia],tblDiaUtil[[Abreviatura]:[1º Período]],3,FALSE),JORNADA_PERIODO_1),
IF(IF(ISERROR(VLOOKUP(tblHorasJun[Evento 
(2º Período)],tblEvento[[Evento]:[Libera o Período]],4,FALSE)),FALSE,IF(VLOOKUP(tblHorasJun[Evento 
(2º Período)],tblEvento[[Evento]:[Libera o Período]],4,FALSE)="Não",TRUE,FALSE)),
-IF(VLOOKUP(tblHorasJun[Dia],tblDiaUtil[[Abreviatura]:[2º Período]],4,FALSE)&lt;&gt;"",VLOOKUP(tblHorasJun[Dia],tblDiaUtil[[Abreviatura]:[2º Período]],4,FALSE),JORNADA_PERIODO_2),0))))</f>
        <v>0</v>
      </c>
      <c r="O24" s="14">
        <f>IF(tblHorasJun[Horas Trabalhadas Além Jornada]&gt;0,
        IF(ISNUMBER(tblHorasJun[Jornada Diária]),
              IF(HOUR(tblHorasJun[Horas Trabalhadas Além Jornada])&gt;=VLOOKUP(LIMITE,tblLimiteHora[],Tabelas!$I$1,FALSE),
                    VLOOKUP(LIMITE,tblLimiteHora[],Tabelas!$J$1,FALSE),
                    tblHorasJun[Horas Trabalhadas Além Jornada]),
              tblHorasJun[Horas Trabalhadas Além Jornada]),
        tblHorasJun[Horas Trabalhadas Além Jornada])+O23</f>
        <v>0</v>
      </c>
      <c r="P24" s="14" t="str">
        <f>IF(tblHorasJun[Horas Trabalhadas Além Jornada]&lt;0,IF(OR(tblHorasJun[Evento 
(1º Período)]="",tblHorasJun[Evento 
(2º Período)]=""),tblHorasJun[Horas Trabalhadas Além Jornada],""),"")</f>
        <v/>
      </c>
      <c r="Q24" s="14" t="str">
        <f>IF(tblHorasJun[Jornada Diária]&lt;&gt;"",IF((N(tblHorasJun[Jornada Diária])-ABS(N(tblHorasJun[Horas Trabalhadas Além Jornada])))=0,1,""),"")</f>
        <v/>
      </c>
      <c r="R24" s="14" t="str">
        <f>IF(tblHorasJun[Horas Trabalhadas Além Jornada]&gt;0,
IF(AND(VLOOKUP(TEXT(tblHorasJun[Data],"dddd"),tblDiaUtil[],3,FALSE)="Sim",IF(tblHorasJun[Evento 
(1º Período)]&lt;&gt;"",IF(VLOOKUP(tblHorasJun[Evento 
(1º Período)],tblEvento[],Tabelas!$E$1,FALSE)="Sim",FALSE,TRUE),TRUE),IF(tblHorasJun[Evento 
(2º Período)]&lt;&gt;"",IF(VLOOKUP(tblHorasJun[Evento 
(2º Período)],tblEvento[],Tabelas!$E$1,FALSE)="Sim",FALSE,TRUE),TRUE)),
tblHorasJun[Horas Trabalhadas Além Jornada],""),"")</f>
        <v/>
      </c>
      <c r="S24" s="14" t="str">
        <f>IF(tblHorasJun[Horas Trabalhadas Além Jornada]&gt;0,
IF(OR(VLOOKUP(TEXT(tblHorasJun[Data],"dddd"),tblDiaUtil[],3,FALSE)="Não",IF(tblHorasJun[Evento 
(1º Período)]&lt;&gt;"",IF(VLOOKUP(tblHorasJun[Evento 
(1º Período)],tblEvento[],Tabelas!$E$1,FALSE)="Sim",TRUE,FALSE),FALSE),IF(tblHorasJun[Evento 
(2º Período)]&lt;&gt;"",IF(VLOOKUP(tblHorasJun[Evento 
(2º Período)],tblEvento[],Tabelas!$E$1,FALSE)="Sim",TRUE,FALSE),FALSE)),
tblHorasJun[Horas Trabalhadas Além Jornada],""),"")</f>
        <v/>
      </c>
      <c r="T24" s="15" t="str">
        <f>IF(tblHorasJun[Evento 
(1º Período)]&lt;&gt;""," - " &amp;VLOOKUP(tblHorasJun[Evento 
(1º Período)],tblEvento[],Tabelas!$F$1,FALSE),"")&amp;IF(AND(tblHorasJun[Evento 
(2º Período)]&lt;&gt;"",tblHorasJun[Evento 
(2º Período)]&lt;&gt;tblHorasJun[Evento 
(1º Período)])," - " &amp; VLOOKUP(tblHorasJun[Evento 
(2º Período)],tblEvento[],Tabelas!$F$1,FALSE),"")</f>
        <v/>
      </c>
    </row>
    <row r="25" spans="2:20" x14ac:dyDescent="0.25">
      <c r="B25" s="11" t="str">
        <f t="shared" si="0"/>
        <v/>
      </c>
      <c r="C25" s="12" t="str">
        <f>TEXT(tblHorasJun[Data],"ddd")</f>
        <v/>
      </c>
      <c r="D25" s="25"/>
      <c r="E25" s="1"/>
      <c r="F25" s="1"/>
      <c r="G25" s="1"/>
      <c r="H25" s="1"/>
      <c r="I25" s="53"/>
      <c r="J25" s="4">
        <f>IF($B$6&lt;&gt;"",
IF(AND(tblHorasJun[Evento 
(1º Período)]&lt;&gt;"",IF(ISERROR(VLOOKUP(tblHorasJun[Evento 
(1º Período)],tblEvento[],Tabelas!$D$1,FALSE)),FALSE,VLOOKUP(tblHorasJun[Evento 
(1º Período)],tblEvento[],Tabelas!$D$1,FALSE)="Sim")),
        IF(JORNADA_PERIODO_1&lt;&gt;"",
IF(VLOOKUP(tblHorasJun[Dia],tblDiaUtil[[Abreviatura]:[1º Período]],3,FALSE)&gt;0,VLOOKUP(tblHorasJun[Dia],tblDiaUtil[[Abreviatura]:[1º Período]],3,FALSE),JORNADA_PERIODO_1),
IF(VLOOKUP(tblHorasJun[Dia],tblDiaUtil[[Abreviatura]:[1º Período]],3,FALSE)&gt;0,VLOOKUP(tblHorasJun[Dia],tblDiaUtil[[Abreviatura]:[1º Período]],3,FALSE),JORNADA/2)),
        IF(AND(ISNUMBER(tblHorasJun[Saída - 1 (Almoço)]),ISNUMBER(tblHorasJun[Entrada - 1])),
              IF(OR(AND(tblHorasJun[Evento 
(1º Período)]&lt;&gt;"",IF(ISERROR(VLOOKUP(tblHorasJun[Evento 
(1º Período)],tblEvento[],Tabelas!$E$1,FALSE)),FALSE,VLOOKUP(tblHorasJun[Evento 
(1º Período)],tblEvento[],Tabelas!$E$1,FALSE)="Sim")),IF(VLOOKUP(TEXT(tblHorasJun[Data],"dddd"),tblDiaUtil[],2,FALSE)="Não",TRUE,FALSE)),
                   tblHorasJun[Saída - 1 (Almoço)]-tblHorasJun[Entrada - 1],
                   IF(OR(HOUR(tblHorasJun[Saída - 1 (Almoço)]-tblHorasJun[Entrada - 1])&gt;0,ROUND(tblHorasJun[Saída - 1 (Almoço)]-tblHorasJun[Entrada - 1],6)&gt;ROUND(CARENCIA,6)),
                          tblHorasJun[Saída - 1 (Almoço)]-tblHorasJun[Entrada - 1],
                          0)),
                    0)),0)</f>
        <v>0</v>
      </c>
      <c r="K25" s="4">
        <f>IF($B$6&lt;&gt;"",
IF(AND(tblHorasJun[Evento 
(2º Período)]&lt;&gt;"",IF(ISERROR(VLOOKUP(tblHorasJun[Evento 
(2º Período)],tblEvento[],Tabelas!$D$1,FALSE)),FALSE,VLOOKUP(tblHorasJun[Evento 
(2º Período)],tblEvento[],Tabelas!$D$1,FALSE)="Sim")),
        IF(JORNADA_PERIODO_2&lt;&gt;"",
IF(VLOOKUP(tblHorasJun[Dia],tblDiaUtil[[Abreviatura]:[2º Período]],4,FALSE)&gt;0,VLOOKUP(tblHorasJun[Dia],tblDiaUtil[[Abreviatura]:[2º Período]],4,FALSE),JORNADA_PERIODO_2),
IF(VLOOKUP(tblHorasJun[Dia],tblDiaUtil[[Abreviatura]:[2º Período]],4,FALSE)&gt;0,VLOOKUP(tblHorasJun[Dia],tblDiaUtil[[Abreviatura]:[2º Período]],4,FALSE),JORNADA/2)),
        IF(AND(ISNUMBER(tblHorasJun[Saída - 2]),ISNUMBER(tblHorasJun[Entrada - 2 (Almoço)])),
              IF(OR(AND(tblHorasJun[Evento 
(2º Período)]&lt;&gt;"",IF(ISERROR(VLOOKUP(tblHorasJun[Evento 
(2º Período)],tblEvento[],Tabelas!$E$1,FALSE)),FALSE,VLOOKUP(tblHorasJun[Evento 
(2º Período)],tblEvento[],Tabelas!$E$1,FALSE)="Sim")),IF(VLOOKUP(TEXT(tblHorasJun[Data],"dddd"),tblDiaUtil[],2,FALSE)="Não",TRUE,FALSE)),
                   tblHorasJun[Saída - 2]-tblHorasJun[Entrada - 2 (Almoço)],
                   IF(OR(HOUR(tblHorasJun[Saída - 2]-tblHorasJun[Entrada - 2 (Almoço)])&gt;0,MINUTE(tblHorasJun[Saída - 2]-tblHorasJun[Entrada - 2 (Almoço)])&gt;CARENCIA),
                         tblHorasJun[Saída - 2]-tblHorasJun[Entrada - 2 (Almoço)],
                         0)),
       0)),0)</f>
        <v>0</v>
      </c>
      <c r="L25" s="4">
        <f>tblHorasJun[Horas Trabalhadas (1º Período)]+tblHorasJun[Horas Trabalhadas (2º Período)]</f>
        <v>0</v>
      </c>
      <c r="M25" s="4" t="str">
        <f>IF(tblHorasJun[Data]&lt;&gt;"",
        IF(
AND(VLOOKUP(TEXT(tblHorasJun[Data],"dddd"),tblDiaUtil[],3,FALSE)="Sim",IF(tblHorasJun[Evento 
(1º Período)]&lt;&gt;"",IF(VLOOKUP(tblHorasJun[Evento 
(1º Período)],tblEvento[],Tabelas!$E$1,FALSE)="Sim",FALSE,TRUE),TRUE),IF(tblHorasJun[Evento 
(2º Período)]&lt;&gt;"",IF(VLOOKUP(tblHorasJun[Evento 
(2º Período)],tblEvento[],Tabelas!$E$1,FALSE)="Sim",FALSE,TRUE),TRUE)),
              IF(VLOOKUP(tblHorasJun[Dia],tblDiaUtil[[Abreviatura]:[1º Período]],3,FALSE)&gt;0,VLOOKUP(tblHorasJun[Dia],tblDiaUtil[[Abreviatura]:[1º Período]],3,FALSE),JORNADA),
              ""),
         "")</f>
        <v/>
      </c>
      <c r="N25" s="14">
        <f>IF(OR(tblHorasJun[Horas Trabalhadas (1º Período)]&lt;&gt;0,tblHorasJun[Horas Trabalhadas (2º Período)]&lt;&gt;0),
        IF(ISNUMBER(tblHorasJun[Jornada Diária]),
              IF(tblHorasJun[Jornada Diária]&gt;(tblHorasJun[Horas Trabalhadas (2º Período)]+tblHorasJun[Horas Trabalhadas (1º Período)]),
                     IF(ROUND((tblHorasJun[Jornada Diária]-(tblHorasJun[Horas Trabalhadas (2º Período)]+tblHorasJun[Horas Trabalhadas (1º Período)])),6)&gt;ROUND(CARENCIA,6),
                           -tblHorasJun[Jornada Diária]+(tblHorasJun[Horas Trabalhadas (2º Período)]+tblHorasJun[Horas Trabalhadas (1º Período)]),
                           0),
                      IF(ROUND((tblHorasJun[Jornada Diária]-(tblHorasJun[Horas Trabalhadas (2º Período)]+tblHorasJun[Horas Trabalhadas (1º Período)])),6)&lt;ROUND(-CARENCIA,6),
                           -tblHorasJun[Jornada Diária]+(tblHorasJun[Horas Trabalhadas (2º Período)]+tblHorasJun[Horas Trabalhadas (1º Período)]),
                           0)),
              tblHorasJun[Horas Trabalhadas (2º Período)]+tblHorasJun[Horas Trabalhadas (1º Período)]),
         IF(AND(IF(ISERROR(VLOOKUP(tblHorasJun[Evento 
(1º Período)],tblEvento[[Evento]:[Libera o Período]],4,FALSE)),FALSE,IF(VLOOKUP(tblHorasJun[Evento 
(1º Período)],tblEvento[[Evento]:[Libera o Período]],4,FALSE)="Não",TRUE,FALSE)),IF(ISERROR(VLOOKUP(tblHorasJun[Evento 
(2º Período)],tblEvento[[Evento]:[Libera o Período]],4,FALSE)),FALSE,IF(VLOOKUP(tblHorasJun[Evento 
(2º Período)],tblEvento[[Evento]:[Libera o Período]],4,FALSE)="Não",TRUE,FALSE))),
-IF(VLOOKUP(tblHorasJun[Dia],tblDiaUtil[[Abreviatura]:[Total Jornada]],5,FALSE)&lt;&gt;"",VLOOKUP(tblHorasJun[Dia],tblDiaUtil[[Abreviatura]:[Total Jornada]],5,FALSE),JORNADA),
IF(IF(ISERROR(VLOOKUP(tblHorasJun[Evento 
(1º Período)],tblEvento[[Evento]:[Libera o Período]],4,FALSE)),FALSE,
IF(VLOOKUP(tblHorasJun[Evento 
(1º Período)],tblEvento[[Evento]:[Libera o Período]],4,FALSE)="Não",TRUE,FALSE)
),
-IF(VLOOKUP(tblHorasJun[Dia],tblDiaUtil[[Abreviatura]:[1º Período]],3,FALSE)&lt;&gt;"",VLOOKUP(tblHorasJun[Dia],tblDiaUtil[[Abreviatura]:[1º Período]],3,FALSE),JORNADA_PERIODO_1),
IF(IF(ISERROR(VLOOKUP(tblHorasJun[Evento 
(2º Período)],tblEvento[[Evento]:[Libera o Período]],4,FALSE)),FALSE,IF(VLOOKUP(tblHorasJun[Evento 
(2º Período)],tblEvento[[Evento]:[Libera o Período]],4,FALSE)="Não",TRUE,FALSE)),
-IF(VLOOKUP(tblHorasJun[Dia],tblDiaUtil[[Abreviatura]:[2º Período]],4,FALSE)&lt;&gt;"",VLOOKUP(tblHorasJun[Dia],tblDiaUtil[[Abreviatura]:[2º Período]],4,FALSE),JORNADA_PERIODO_2),0))))</f>
        <v>0</v>
      </c>
      <c r="O25" s="14">
        <f>IF(tblHorasJun[Horas Trabalhadas Além Jornada]&gt;0,
        IF(ISNUMBER(tblHorasJun[Jornada Diária]),
              IF(HOUR(tblHorasJun[Horas Trabalhadas Além Jornada])&gt;=VLOOKUP(LIMITE,tblLimiteHora[],Tabelas!$I$1,FALSE),
                    VLOOKUP(LIMITE,tblLimiteHora[],Tabelas!$J$1,FALSE),
                    tblHorasJun[Horas Trabalhadas Além Jornada]),
              tblHorasJun[Horas Trabalhadas Além Jornada]),
        tblHorasJun[Horas Trabalhadas Além Jornada])+O24</f>
        <v>0</v>
      </c>
      <c r="P25" s="14" t="str">
        <f>IF(tblHorasJun[Horas Trabalhadas Além Jornada]&lt;0,IF(OR(tblHorasJun[Evento 
(1º Período)]="",tblHorasJun[Evento 
(2º Período)]=""),tblHorasJun[Horas Trabalhadas Além Jornada],""),"")</f>
        <v/>
      </c>
      <c r="Q25" s="14" t="str">
        <f>IF(tblHorasJun[Jornada Diária]&lt;&gt;"",IF((N(tblHorasJun[Jornada Diária])-ABS(N(tblHorasJun[Horas Trabalhadas Além Jornada])))=0,1,""),"")</f>
        <v/>
      </c>
      <c r="R25" s="14" t="str">
        <f>IF(tblHorasJun[Horas Trabalhadas Além Jornada]&gt;0,
IF(AND(VLOOKUP(TEXT(tblHorasJun[Data],"dddd"),tblDiaUtil[],3,FALSE)="Sim",IF(tblHorasJun[Evento 
(1º Período)]&lt;&gt;"",IF(VLOOKUP(tblHorasJun[Evento 
(1º Período)],tblEvento[],Tabelas!$E$1,FALSE)="Sim",FALSE,TRUE),TRUE),IF(tblHorasJun[Evento 
(2º Período)]&lt;&gt;"",IF(VLOOKUP(tblHorasJun[Evento 
(2º Período)],tblEvento[],Tabelas!$E$1,FALSE)="Sim",FALSE,TRUE),TRUE)),
tblHorasJun[Horas Trabalhadas Além Jornada],""),"")</f>
        <v/>
      </c>
      <c r="S25" s="14" t="str">
        <f>IF(tblHorasJun[Horas Trabalhadas Além Jornada]&gt;0,
IF(OR(VLOOKUP(TEXT(tblHorasJun[Data],"dddd"),tblDiaUtil[],3,FALSE)="Não",IF(tblHorasJun[Evento 
(1º Período)]&lt;&gt;"",IF(VLOOKUP(tblHorasJun[Evento 
(1º Período)],tblEvento[],Tabelas!$E$1,FALSE)="Sim",TRUE,FALSE),FALSE),IF(tblHorasJun[Evento 
(2º Período)]&lt;&gt;"",IF(VLOOKUP(tblHorasJun[Evento 
(2º Período)],tblEvento[],Tabelas!$E$1,FALSE)="Sim",TRUE,FALSE),FALSE)),
tblHorasJun[Horas Trabalhadas Além Jornada],""),"")</f>
        <v/>
      </c>
      <c r="T25" s="15" t="str">
        <f>IF(tblHorasJun[Evento 
(1º Período)]&lt;&gt;""," - " &amp;VLOOKUP(tblHorasJun[Evento 
(1º Período)],tblEvento[],Tabelas!$F$1,FALSE),"")&amp;IF(AND(tblHorasJun[Evento 
(2º Período)]&lt;&gt;"",tblHorasJun[Evento 
(2º Período)]&lt;&gt;tblHorasJun[Evento 
(1º Período)])," - " &amp; VLOOKUP(tblHorasJun[Evento 
(2º Período)],tblEvento[],Tabelas!$F$1,FALSE),"")</f>
        <v/>
      </c>
    </row>
    <row r="26" spans="2:20" x14ac:dyDescent="0.25">
      <c r="B26" s="11" t="str">
        <f t="shared" si="0"/>
        <v/>
      </c>
      <c r="C26" s="12" t="str">
        <f>TEXT(tblHorasJun[Data],"ddd")</f>
        <v/>
      </c>
      <c r="D26" s="25"/>
      <c r="E26" s="1"/>
      <c r="F26" s="1"/>
      <c r="G26" s="1"/>
      <c r="H26" s="1"/>
      <c r="I26" s="53"/>
      <c r="J26" s="4">
        <f>IF($B$6&lt;&gt;"",
IF(AND(tblHorasJun[Evento 
(1º Período)]&lt;&gt;"",IF(ISERROR(VLOOKUP(tblHorasJun[Evento 
(1º Período)],tblEvento[],Tabelas!$D$1,FALSE)),FALSE,VLOOKUP(tblHorasJun[Evento 
(1º Período)],tblEvento[],Tabelas!$D$1,FALSE)="Sim")),
        IF(JORNADA_PERIODO_1&lt;&gt;"",
IF(VLOOKUP(tblHorasJun[Dia],tblDiaUtil[[Abreviatura]:[1º Período]],3,FALSE)&gt;0,VLOOKUP(tblHorasJun[Dia],tblDiaUtil[[Abreviatura]:[1º Período]],3,FALSE),JORNADA_PERIODO_1),
IF(VLOOKUP(tblHorasJun[Dia],tblDiaUtil[[Abreviatura]:[1º Período]],3,FALSE)&gt;0,VLOOKUP(tblHorasJun[Dia],tblDiaUtil[[Abreviatura]:[1º Período]],3,FALSE),JORNADA/2)),
        IF(AND(ISNUMBER(tblHorasJun[Saída - 1 (Almoço)]),ISNUMBER(tblHorasJun[Entrada - 1])),
              IF(OR(AND(tblHorasJun[Evento 
(1º Período)]&lt;&gt;"",IF(ISERROR(VLOOKUP(tblHorasJun[Evento 
(1º Período)],tblEvento[],Tabelas!$E$1,FALSE)),FALSE,VLOOKUP(tblHorasJun[Evento 
(1º Período)],tblEvento[],Tabelas!$E$1,FALSE)="Sim")),IF(VLOOKUP(TEXT(tblHorasJun[Data],"dddd"),tblDiaUtil[],2,FALSE)="Não",TRUE,FALSE)),
                   tblHorasJun[Saída - 1 (Almoço)]-tblHorasJun[Entrada - 1],
                   IF(OR(HOUR(tblHorasJun[Saída - 1 (Almoço)]-tblHorasJun[Entrada - 1])&gt;0,ROUND(tblHorasJun[Saída - 1 (Almoço)]-tblHorasJun[Entrada - 1],6)&gt;ROUND(CARENCIA,6)),
                          tblHorasJun[Saída - 1 (Almoço)]-tblHorasJun[Entrada - 1],
                          0)),
                    0)),0)</f>
        <v>0</v>
      </c>
      <c r="K26" s="4">
        <f>IF($B$6&lt;&gt;"",
IF(AND(tblHorasJun[Evento 
(2º Período)]&lt;&gt;"",IF(ISERROR(VLOOKUP(tblHorasJun[Evento 
(2º Período)],tblEvento[],Tabelas!$D$1,FALSE)),FALSE,VLOOKUP(tblHorasJun[Evento 
(2º Período)],tblEvento[],Tabelas!$D$1,FALSE)="Sim")),
        IF(JORNADA_PERIODO_2&lt;&gt;"",
IF(VLOOKUP(tblHorasJun[Dia],tblDiaUtil[[Abreviatura]:[2º Período]],4,FALSE)&gt;0,VLOOKUP(tblHorasJun[Dia],tblDiaUtil[[Abreviatura]:[2º Período]],4,FALSE),JORNADA_PERIODO_2),
IF(VLOOKUP(tblHorasJun[Dia],tblDiaUtil[[Abreviatura]:[2º Período]],4,FALSE)&gt;0,VLOOKUP(tblHorasJun[Dia],tblDiaUtil[[Abreviatura]:[2º Período]],4,FALSE),JORNADA/2)),
        IF(AND(ISNUMBER(tblHorasJun[Saída - 2]),ISNUMBER(tblHorasJun[Entrada - 2 (Almoço)])),
              IF(OR(AND(tblHorasJun[Evento 
(2º Período)]&lt;&gt;"",IF(ISERROR(VLOOKUP(tblHorasJun[Evento 
(2º Período)],tblEvento[],Tabelas!$E$1,FALSE)),FALSE,VLOOKUP(tblHorasJun[Evento 
(2º Período)],tblEvento[],Tabelas!$E$1,FALSE)="Sim")),IF(VLOOKUP(TEXT(tblHorasJun[Data],"dddd"),tblDiaUtil[],2,FALSE)="Não",TRUE,FALSE)),
                   tblHorasJun[Saída - 2]-tblHorasJun[Entrada - 2 (Almoço)],
                   IF(OR(HOUR(tblHorasJun[Saída - 2]-tblHorasJun[Entrada - 2 (Almoço)])&gt;0,MINUTE(tblHorasJun[Saída - 2]-tblHorasJun[Entrada - 2 (Almoço)])&gt;CARENCIA),
                         tblHorasJun[Saída - 2]-tblHorasJun[Entrada - 2 (Almoço)],
                         0)),
       0)),0)</f>
        <v>0</v>
      </c>
      <c r="L26" s="4">
        <f>tblHorasJun[Horas Trabalhadas (1º Período)]+tblHorasJun[Horas Trabalhadas (2º Período)]</f>
        <v>0</v>
      </c>
      <c r="M26" s="4" t="str">
        <f>IF(tblHorasJun[Data]&lt;&gt;"",
        IF(
AND(VLOOKUP(TEXT(tblHorasJun[Data],"dddd"),tblDiaUtil[],3,FALSE)="Sim",IF(tblHorasJun[Evento 
(1º Período)]&lt;&gt;"",IF(VLOOKUP(tblHorasJun[Evento 
(1º Período)],tblEvento[],Tabelas!$E$1,FALSE)="Sim",FALSE,TRUE),TRUE),IF(tblHorasJun[Evento 
(2º Período)]&lt;&gt;"",IF(VLOOKUP(tblHorasJun[Evento 
(2º Período)],tblEvento[],Tabelas!$E$1,FALSE)="Sim",FALSE,TRUE),TRUE)),
              IF(VLOOKUP(tblHorasJun[Dia],tblDiaUtil[[Abreviatura]:[1º Período]],3,FALSE)&gt;0,VLOOKUP(tblHorasJun[Dia],tblDiaUtil[[Abreviatura]:[1º Período]],3,FALSE),JORNADA),
              ""),
         "")</f>
        <v/>
      </c>
      <c r="N26" s="14">
        <f>IF(OR(tblHorasJun[Horas Trabalhadas (1º Período)]&lt;&gt;0,tblHorasJun[Horas Trabalhadas (2º Período)]&lt;&gt;0),
        IF(ISNUMBER(tblHorasJun[Jornada Diária]),
              IF(tblHorasJun[Jornada Diária]&gt;(tblHorasJun[Horas Trabalhadas (2º Período)]+tblHorasJun[Horas Trabalhadas (1º Período)]),
                     IF(ROUND((tblHorasJun[Jornada Diária]-(tblHorasJun[Horas Trabalhadas (2º Período)]+tblHorasJun[Horas Trabalhadas (1º Período)])),6)&gt;ROUND(CARENCIA,6),
                           -tblHorasJun[Jornada Diária]+(tblHorasJun[Horas Trabalhadas (2º Período)]+tblHorasJun[Horas Trabalhadas (1º Período)]),
                           0),
                      IF(ROUND((tblHorasJun[Jornada Diária]-(tblHorasJun[Horas Trabalhadas (2º Período)]+tblHorasJun[Horas Trabalhadas (1º Período)])),6)&lt;ROUND(-CARENCIA,6),
                           -tblHorasJun[Jornada Diária]+(tblHorasJun[Horas Trabalhadas (2º Período)]+tblHorasJun[Horas Trabalhadas (1º Período)]),
                           0)),
              tblHorasJun[Horas Trabalhadas (2º Período)]+tblHorasJun[Horas Trabalhadas (1º Período)]),
         IF(AND(IF(ISERROR(VLOOKUP(tblHorasJun[Evento 
(1º Período)],tblEvento[[Evento]:[Libera o Período]],4,FALSE)),FALSE,IF(VLOOKUP(tblHorasJun[Evento 
(1º Período)],tblEvento[[Evento]:[Libera o Período]],4,FALSE)="Não",TRUE,FALSE)),IF(ISERROR(VLOOKUP(tblHorasJun[Evento 
(2º Período)],tblEvento[[Evento]:[Libera o Período]],4,FALSE)),FALSE,IF(VLOOKUP(tblHorasJun[Evento 
(2º Período)],tblEvento[[Evento]:[Libera o Período]],4,FALSE)="Não",TRUE,FALSE))),
-IF(VLOOKUP(tblHorasJun[Dia],tblDiaUtil[[Abreviatura]:[Total Jornada]],5,FALSE)&lt;&gt;"",VLOOKUP(tblHorasJun[Dia],tblDiaUtil[[Abreviatura]:[Total Jornada]],5,FALSE),JORNADA),
IF(IF(ISERROR(VLOOKUP(tblHorasJun[Evento 
(1º Período)],tblEvento[[Evento]:[Libera o Período]],4,FALSE)),FALSE,
IF(VLOOKUP(tblHorasJun[Evento 
(1º Período)],tblEvento[[Evento]:[Libera o Período]],4,FALSE)="Não",TRUE,FALSE)
),
-IF(VLOOKUP(tblHorasJun[Dia],tblDiaUtil[[Abreviatura]:[1º Período]],3,FALSE)&lt;&gt;"",VLOOKUP(tblHorasJun[Dia],tblDiaUtil[[Abreviatura]:[1º Período]],3,FALSE),JORNADA_PERIODO_1),
IF(IF(ISERROR(VLOOKUP(tblHorasJun[Evento 
(2º Período)],tblEvento[[Evento]:[Libera o Período]],4,FALSE)),FALSE,IF(VLOOKUP(tblHorasJun[Evento 
(2º Período)],tblEvento[[Evento]:[Libera o Período]],4,FALSE)="Não",TRUE,FALSE)),
-IF(VLOOKUP(tblHorasJun[Dia],tblDiaUtil[[Abreviatura]:[2º Período]],4,FALSE)&lt;&gt;"",VLOOKUP(tblHorasJun[Dia],tblDiaUtil[[Abreviatura]:[2º Período]],4,FALSE),JORNADA_PERIODO_2),0))))</f>
        <v>0</v>
      </c>
      <c r="O26" s="14">
        <f>IF(tblHorasJun[Horas Trabalhadas Além Jornada]&gt;0,
        IF(ISNUMBER(tblHorasJun[Jornada Diária]),
              IF(HOUR(tblHorasJun[Horas Trabalhadas Além Jornada])&gt;=VLOOKUP(LIMITE,tblLimiteHora[],Tabelas!$I$1,FALSE),
                    VLOOKUP(LIMITE,tblLimiteHora[],Tabelas!$J$1,FALSE),
                    tblHorasJun[Horas Trabalhadas Além Jornada]),
              tblHorasJun[Horas Trabalhadas Além Jornada]),
        tblHorasJun[Horas Trabalhadas Além Jornada])+O25</f>
        <v>0</v>
      </c>
      <c r="P26" s="14" t="str">
        <f>IF(tblHorasJun[Horas Trabalhadas Além Jornada]&lt;0,IF(OR(tblHorasJun[Evento 
(1º Período)]="",tblHorasJun[Evento 
(2º Período)]=""),tblHorasJun[Horas Trabalhadas Além Jornada],""),"")</f>
        <v/>
      </c>
      <c r="Q26" s="14" t="str">
        <f>IF(tblHorasJun[Jornada Diária]&lt;&gt;"",IF((N(tblHorasJun[Jornada Diária])-ABS(N(tblHorasJun[Horas Trabalhadas Além Jornada])))=0,1,""),"")</f>
        <v/>
      </c>
      <c r="R26" s="14" t="str">
        <f>IF(tblHorasJun[Horas Trabalhadas Além Jornada]&gt;0,
IF(AND(VLOOKUP(TEXT(tblHorasJun[Data],"dddd"),tblDiaUtil[],3,FALSE)="Sim",IF(tblHorasJun[Evento 
(1º Período)]&lt;&gt;"",IF(VLOOKUP(tblHorasJun[Evento 
(1º Período)],tblEvento[],Tabelas!$E$1,FALSE)="Sim",FALSE,TRUE),TRUE),IF(tblHorasJun[Evento 
(2º Período)]&lt;&gt;"",IF(VLOOKUP(tblHorasJun[Evento 
(2º Período)],tblEvento[],Tabelas!$E$1,FALSE)="Sim",FALSE,TRUE),TRUE)),
tblHorasJun[Horas Trabalhadas Além Jornada],""),"")</f>
        <v/>
      </c>
      <c r="S26" s="14" t="str">
        <f>IF(tblHorasJun[Horas Trabalhadas Além Jornada]&gt;0,
IF(OR(VLOOKUP(TEXT(tblHorasJun[Data],"dddd"),tblDiaUtil[],3,FALSE)="Não",IF(tblHorasJun[Evento 
(1º Período)]&lt;&gt;"",IF(VLOOKUP(tblHorasJun[Evento 
(1º Período)],tblEvento[],Tabelas!$E$1,FALSE)="Sim",TRUE,FALSE),FALSE),IF(tblHorasJun[Evento 
(2º Período)]&lt;&gt;"",IF(VLOOKUP(tblHorasJun[Evento 
(2º Período)],tblEvento[],Tabelas!$E$1,FALSE)="Sim",TRUE,FALSE),FALSE)),
tblHorasJun[Horas Trabalhadas Além Jornada],""),"")</f>
        <v/>
      </c>
      <c r="T26" s="15" t="str">
        <f>IF(tblHorasJun[Evento 
(1º Período)]&lt;&gt;""," - " &amp;VLOOKUP(tblHorasJun[Evento 
(1º Período)],tblEvento[],Tabelas!$F$1,FALSE),"")&amp;IF(AND(tblHorasJun[Evento 
(2º Período)]&lt;&gt;"",tblHorasJun[Evento 
(2º Período)]&lt;&gt;tblHorasJun[Evento 
(1º Período)])," - " &amp; VLOOKUP(tblHorasJun[Evento 
(2º Período)],tblEvento[],Tabelas!$F$1,FALSE),"")</f>
        <v/>
      </c>
    </row>
    <row r="27" spans="2:20" x14ac:dyDescent="0.25">
      <c r="B27" s="11" t="str">
        <f t="shared" si="0"/>
        <v/>
      </c>
      <c r="C27" s="12" t="str">
        <f>TEXT(tblHorasJun[Data],"ddd")</f>
        <v/>
      </c>
      <c r="D27" s="25"/>
      <c r="E27" s="1"/>
      <c r="F27" s="1"/>
      <c r="G27" s="1"/>
      <c r="H27" s="1"/>
      <c r="I27" s="53"/>
      <c r="J27" s="4">
        <f>IF($B$6&lt;&gt;"",
IF(AND(tblHorasJun[Evento 
(1º Período)]&lt;&gt;"",IF(ISERROR(VLOOKUP(tblHorasJun[Evento 
(1º Período)],tblEvento[],Tabelas!$D$1,FALSE)),FALSE,VLOOKUP(tblHorasJun[Evento 
(1º Período)],tblEvento[],Tabelas!$D$1,FALSE)="Sim")),
        IF(JORNADA_PERIODO_1&lt;&gt;"",
IF(VLOOKUP(tblHorasJun[Dia],tblDiaUtil[[Abreviatura]:[1º Período]],3,FALSE)&gt;0,VLOOKUP(tblHorasJun[Dia],tblDiaUtil[[Abreviatura]:[1º Período]],3,FALSE),JORNADA_PERIODO_1),
IF(VLOOKUP(tblHorasJun[Dia],tblDiaUtil[[Abreviatura]:[1º Período]],3,FALSE)&gt;0,VLOOKUP(tblHorasJun[Dia],tblDiaUtil[[Abreviatura]:[1º Período]],3,FALSE),JORNADA/2)),
        IF(AND(ISNUMBER(tblHorasJun[Saída - 1 (Almoço)]),ISNUMBER(tblHorasJun[Entrada - 1])),
              IF(OR(AND(tblHorasJun[Evento 
(1º Período)]&lt;&gt;"",IF(ISERROR(VLOOKUP(tblHorasJun[Evento 
(1º Período)],tblEvento[],Tabelas!$E$1,FALSE)),FALSE,VLOOKUP(tblHorasJun[Evento 
(1º Período)],tblEvento[],Tabelas!$E$1,FALSE)="Sim")),IF(VLOOKUP(TEXT(tblHorasJun[Data],"dddd"),tblDiaUtil[],2,FALSE)="Não",TRUE,FALSE)),
                   tblHorasJun[Saída - 1 (Almoço)]-tblHorasJun[Entrada - 1],
                   IF(OR(HOUR(tblHorasJun[Saída - 1 (Almoço)]-tblHorasJun[Entrada - 1])&gt;0,ROUND(tblHorasJun[Saída - 1 (Almoço)]-tblHorasJun[Entrada - 1],6)&gt;ROUND(CARENCIA,6)),
                          tblHorasJun[Saída - 1 (Almoço)]-tblHorasJun[Entrada - 1],
                          0)),
                    0)),0)</f>
        <v>0</v>
      </c>
      <c r="K27" s="4">
        <f>IF($B$6&lt;&gt;"",
IF(AND(tblHorasJun[Evento 
(2º Período)]&lt;&gt;"",IF(ISERROR(VLOOKUP(tblHorasJun[Evento 
(2º Período)],tblEvento[],Tabelas!$D$1,FALSE)),FALSE,VLOOKUP(tblHorasJun[Evento 
(2º Período)],tblEvento[],Tabelas!$D$1,FALSE)="Sim")),
        IF(JORNADA_PERIODO_2&lt;&gt;"",
IF(VLOOKUP(tblHorasJun[Dia],tblDiaUtil[[Abreviatura]:[2º Período]],4,FALSE)&gt;0,VLOOKUP(tblHorasJun[Dia],tblDiaUtil[[Abreviatura]:[2º Período]],4,FALSE),JORNADA_PERIODO_2),
IF(VLOOKUP(tblHorasJun[Dia],tblDiaUtil[[Abreviatura]:[2º Período]],4,FALSE)&gt;0,VLOOKUP(tblHorasJun[Dia],tblDiaUtil[[Abreviatura]:[2º Período]],4,FALSE),JORNADA/2)),
        IF(AND(ISNUMBER(tblHorasJun[Saída - 2]),ISNUMBER(tblHorasJun[Entrada - 2 (Almoço)])),
              IF(OR(AND(tblHorasJun[Evento 
(2º Período)]&lt;&gt;"",IF(ISERROR(VLOOKUP(tblHorasJun[Evento 
(2º Período)],tblEvento[],Tabelas!$E$1,FALSE)),FALSE,VLOOKUP(tblHorasJun[Evento 
(2º Período)],tblEvento[],Tabelas!$E$1,FALSE)="Sim")),IF(VLOOKUP(TEXT(tblHorasJun[Data],"dddd"),tblDiaUtil[],2,FALSE)="Não",TRUE,FALSE)),
                   tblHorasJun[Saída - 2]-tblHorasJun[Entrada - 2 (Almoço)],
                   IF(OR(HOUR(tblHorasJun[Saída - 2]-tblHorasJun[Entrada - 2 (Almoço)])&gt;0,MINUTE(tblHorasJun[Saída - 2]-tblHorasJun[Entrada - 2 (Almoço)])&gt;CARENCIA),
                         tblHorasJun[Saída - 2]-tblHorasJun[Entrada - 2 (Almoço)],
                         0)),
       0)),0)</f>
        <v>0</v>
      </c>
      <c r="L27" s="4">
        <f>tblHorasJun[Horas Trabalhadas (1º Período)]+tblHorasJun[Horas Trabalhadas (2º Período)]</f>
        <v>0</v>
      </c>
      <c r="M27" s="4" t="str">
        <f>IF(tblHorasJun[Data]&lt;&gt;"",
        IF(
AND(VLOOKUP(TEXT(tblHorasJun[Data],"dddd"),tblDiaUtil[],3,FALSE)="Sim",IF(tblHorasJun[Evento 
(1º Período)]&lt;&gt;"",IF(VLOOKUP(tblHorasJun[Evento 
(1º Período)],tblEvento[],Tabelas!$E$1,FALSE)="Sim",FALSE,TRUE),TRUE),IF(tblHorasJun[Evento 
(2º Período)]&lt;&gt;"",IF(VLOOKUP(tblHorasJun[Evento 
(2º Período)],tblEvento[],Tabelas!$E$1,FALSE)="Sim",FALSE,TRUE),TRUE)),
              IF(VLOOKUP(tblHorasJun[Dia],tblDiaUtil[[Abreviatura]:[1º Período]],3,FALSE)&gt;0,VLOOKUP(tblHorasJun[Dia],tblDiaUtil[[Abreviatura]:[1º Período]],3,FALSE),JORNADA),
              ""),
         "")</f>
        <v/>
      </c>
      <c r="N27" s="14">
        <f>IF(OR(tblHorasJun[Horas Trabalhadas (1º Período)]&lt;&gt;0,tblHorasJun[Horas Trabalhadas (2º Período)]&lt;&gt;0),
        IF(ISNUMBER(tblHorasJun[Jornada Diária]),
              IF(tblHorasJun[Jornada Diária]&gt;(tblHorasJun[Horas Trabalhadas (2º Período)]+tblHorasJun[Horas Trabalhadas (1º Período)]),
                     IF(ROUND((tblHorasJun[Jornada Diária]-(tblHorasJun[Horas Trabalhadas (2º Período)]+tblHorasJun[Horas Trabalhadas (1º Período)])),6)&gt;ROUND(CARENCIA,6),
                           -tblHorasJun[Jornada Diária]+(tblHorasJun[Horas Trabalhadas (2º Período)]+tblHorasJun[Horas Trabalhadas (1º Período)]),
                           0),
                      IF(ROUND((tblHorasJun[Jornada Diária]-(tblHorasJun[Horas Trabalhadas (2º Período)]+tblHorasJun[Horas Trabalhadas (1º Período)])),6)&lt;ROUND(-CARENCIA,6),
                           -tblHorasJun[Jornada Diária]+(tblHorasJun[Horas Trabalhadas (2º Período)]+tblHorasJun[Horas Trabalhadas (1º Período)]),
                           0)),
              tblHorasJun[Horas Trabalhadas (2º Período)]+tblHorasJun[Horas Trabalhadas (1º Período)]),
         IF(AND(IF(ISERROR(VLOOKUP(tblHorasJun[Evento 
(1º Período)],tblEvento[[Evento]:[Libera o Período]],4,FALSE)),FALSE,IF(VLOOKUP(tblHorasJun[Evento 
(1º Período)],tblEvento[[Evento]:[Libera o Período]],4,FALSE)="Não",TRUE,FALSE)),IF(ISERROR(VLOOKUP(tblHorasJun[Evento 
(2º Período)],tblEvento[[Evento]:[Libera o Período]],4,FALSE)),FALSE,IF(VLOOKUP(tblHorasJun[Evento 
(2º Período)],tblEvento[[Evento]:[Libera o Período]],4,FALSE)="Não",TRUE,FALSE))),
-IF(VLOOKUP(tblHorasJun[Dia],tblDiaUtil[[Abreviatura]:[Total Jornada]],5,FALSE)&lt;&gt;"",VLOOKUP(tblHorasJun[Dia],tblDiaUtil[[Abreviatura]:[Total Jornada]],5,FALSE),JORNADA),
IF(IF(ISERROR(VLOOKUP(tblHorasJun[Evento 
(1º Período)],tblEvento[[Evento]:[Libera o Período]],4,FALSE)),FALSE,
IF(VLOOKUP(tblHorasJun[Evento 
(1º Período)],tblEvento[[Evento]:[Libera o Período]],4,FALSE)="Não",TRUE,FALSE)
),
-IF(VLOOKUP(tblHorasJun[Dia],tblDiaUtil[[Abreviatura]:[1º Período]],3,FALSE)&lt;&gt;"",VLOOKUP(tblHorasJun[Dia],tblDiaUtil[[Abreviatura]:[1º Período]],3,FALSE),JORNADA_PERIODO_1),
IF(IF(ISERROR(VLOOKUP(tblHorasJun[Evento 
(2º Período)],tblEvento[[Evento]:[Libera o Período]],4,FALSE)),FALSE,IF(VLOOKUP(tblHorasJun[Evento 
(2º Período)],tblEvento[[Evento]:[Libera o Período]],4,FALSE)="Não",TRUE,FALSE)),
-IF(VLOOKUP(tblHorasJun[Dia],tblDiaUtil[[Abreviatura]:[2º Período]],4,FALSE)&lt;&gt;"",VLOOKUP(tblHorasJun[Dia],tblDiaUtil[[Abreviatura]:[2º Período]],4,FALSE),JORNADA_PERIODO_2),0))))</f>
        <v>0</v>
      </c>
      <c r="O27" s="14">
        <f>IF(tblHorasJun[Horas Trabalhadas Além Jornada]&gt;0,
        IF(ISNUMBER(tblHorasJun[Jornada Diária]),
              IF(HOUR(tblHorasJun[Horas Trabalhadas Além Jornada])&gt;=VLOOKUP(LIMITE,tblLimiteHora[],Tabelas!$I$1,FALSE),
                    VLOOKUP(LIMITE,tblLimiteHora[],Tabelas!$J$1,FALSE),
                    tblHorasJun[Horas Trabalhadas Além Jornada]),
              tblHorasJun[Horas Trabalhadas Além Jornada]),
        tblHorasJun[Horas Trabalhadas Além Jornada])+O26</f>
        <v>0</v>
      </c>
      <c r="P27" s="14" t="str">
        <f>IF(tblHorasJun[Horas Trabalhadas Além Jornada]&lt;0,IF(OR(tblHorasJun[Evento 
(1º Período)]="",tblHorasJun[Evento 
(2º Período)]=""),tblHorasJun[Horas Trabalhadas Além Jornada],""),"")</f>
        <v/>
      </c>
      <c r="Q27" s="14" t="str">
        <f>IF(tblHorasJun[Jornada Diária]&lt;&gt;"",IF((N(tblHorasJun[Jornada Diária])-ABS(N(tblHorasJun[Horas Trabalhadas Além Jornada])))=0,1,""),"")</f>
        <v/>
      </c>
      <c r="R27" s="14" t="str">
        <f>IF(tblHorasJun[Horas Trabalhadas Além Jornada]&gt;0,
IF(AND(VLOOKUP(TEXT(tblHorasJun[Data],"dddd"),tblDiaUtil[],3,FALSE)="Sim",IF(tblHorasJun[Evento 
(1º Período)]&lt;&gt;"",IF(VLOOKUP(tblHorasJun[Evento 
(1º Período)],tblEvento[],Tabelas!$E$1,FALSE)="Sim",FALSE,TRUE),TRUE),IF(tblHorasJun[Evento 
(2º Período)]&lt;&gt;"",IF(VLOOKUP(tblHorasJun[Evento 
(2º Período)],tblEvento[],Tabelas!$E$1,FALSE)="Sim",FALSE,TRUE),TRUE)),
tblHorasJun[Horas Trabalhadas Além Jornada],""),"")</f>
        <v/>
      </c>
      <c r="S27" s="14" t="str">
        <f>IF(tblHorasJun[Horas Trabalhadas Além Jornada]&gt;0,
IF(OR(VLOOKUP(TEXT(tblHorasJun[Data],"dddd"),tblDiaUtil[],3,FALSE)="Não",IF(tblHorasJun[Evento 
(1º Período)]&lt;&gt;"",IF(VLOOKUP(tblHorasJun[Evento 
(1º Período)],tblEvento[],Tabelas!$E$1,FALSE)="Sim",TRUE,FALSE),FALSE),IF(tblHorasJun[Evento 
(2º Período)]&lt;&gt;"",IF(VLOOKUP(tblHorasJun[Evento 
(2º Período)],tblEvento[],Tabelas!$E$1,FALSE)="Sim",TRUE,FALSE),FALSE)),
tblHorasJun[Horas Trabalhadas Além Jornada],""),"")</f>
        <v/>
      </c>
      <c r="T27" s="15" t="str">
        <f>IF(tblHorasJun[Evento 
(1º Período)]&lt;&gt;""," - " &amp;VLOOKUP(tblHorasJun[Evento 
(1º Período)],tblEvento[],Tabelas!$F$1,FALSE),"")&amp;IF(AND(tblHorasJun[Evento 
(2º Período)]&lt;&gt;"",tblHorasJun[Evento 
(2º Período)]&lt;&gt;tblHorasJun[Evento 
(1º Período)])," - " &amp; VLOOKUP(tblHorasJun[Evento 
(2º Período)],tblEvento[],Tabelas!$F$1,FALSE),"")</f>
        <v/>
      </c>
    </row>
    <row r="28" spans="2:20" x14ac:dyDescent="0.25">
      <c r="B28" s="11" t="str">
        <f t="shared" si="0"/>
        <v/>
      </c>
      <c r="C28" s="12" t="str">
        <f>TEXT(tblHorasJun[Data],"ddd")</f>
        <v/>
      </c>
      <c r="D28" s="25"/>
      <c r="E28" s="1"/>
      <c r="F28" s="1"/>
      <c r="G28" s="1"/>
      <c r="H28" s="1"/>
      <c r="I28" s="53"/>
      <c r="J28" s="4">
        <f>IF($B$6&lt;&gt;"",
IF(AND(tblHorasJun[Evento 
(1º Período)]&lt;&gt;"",IF(ISERROR(VLOOKUP(tblHorasJun[Evento 
(1º Período)],tblEvento[],Tabelas!$D$1,FALSE)),FALSE,VLOOKUP(tblHorasJun[Evento 
(1º Período)],tblEvento[],Tabelas!$D$1,FALSE)="Sim")),
        IF(JORNADA_PERIODO_1&lt;&gt;"",
IF(VLOOKUP(tblHorasJun[Dia],tblDiaUtil[[Abreviatura]:[1º Período]],3,FALSE)&gt;0,VLOOKUP(tblHorasJun[Dia],tblDiaUtil[[Abreviatura]:[1º Período]],3,FALSE),JORNADA_PERIODO_1),
IF(VLOOKUP(tblHorasJun[Dia],tblDiaUtil[[Abreviatura]:[1º Período]],3,FALSE)&gt;0,VLOOKUP(tblHorasJun[Dia],tblDiaUtil[[Abreviatura]:[1º Período]],3,FALSE),JORNADA/2)),
        IF(AND(ISNUMBER(tblHorasJun[Saída - 1 (Almoço)]),ISNUMBER(tblHorasJun[Entrada - 1])),
              IF(OR(AND(tblHorasJun[Evento 
(1º Período)]&lt;&gt;"",IF(ISERROR(VLOOKUP(tblHorasJun[Evento 
(1º Período)],tblEvento[],Tabelas!$E$1,FALSE)),FALSE,VLOOKUP(tblHorasJun[Evento 
(1º Período)],tblEvento[],Tabelas!$E$1,FALSE)="Sim")),IF(VLOOKUP(TEXT(tblHorasJun[Data],"dddd"),tblDiaUtil[],2,FALSE)="Não",TRUE,FALSE)),
                   tblHorasJun[Saída - 1 (Almoço)]-tblHorasJun[Entrada - 1],
                   IF(OR(HOUR(tblHorasJun[Saída - 1 (Almoço)]-tblHorasJun[Entrada - 1])&gt;0,ROUND(tblHorasJun[Saída - 1 (Almoço)]-tblHorasJun[Entrada - 1],6)&gt;ROUND(CARENCIA,6)),
                          tblHorasJun[Saída - 1 (Almoço)]-tblHorasJun[Entrada - 1],
                          0)),
                    0)),0)</f>
        <v>0</v>
      </c>
      <c r="K28" s="4">
        <f>IF($B$6&lt;&gt;"",
IF(AND(tblHorasJun[Evento 
(2º Período)]&lt;&gt;"",IF(ISERROR(VLOOKUP(tblHorasJun[Evento 
(2º Período)],tblEvento[],Tabelas!$D$1,FALSE)),FALSE,VLOOKUP(tblHorasJun[Evento 
(2º Período)],tblEvento[],Tabelas!$D$1,FALSE)="Sim")),
        IF(JORNADA_PERIODO_2&lt;&gt;"",
IF(VLOOKUP(tblHorasJun[Dia],tblDiaUtil[[Abreviatura]:[2º Período]],4,FALSE)&gt;0,VLOOKUP(tblHorasJun[Dia],tblDiaUtil[[Abreviatura]:[2º Período]],4,FALSE),JORNADA_PERIODO_2),
IF(VLOOKUP(tblHorasJun[Dia],tblDiaUtil[[Abreviatura]:[2º Período]],4,FALSE)&gt;0,VLOOKUP(tblHorasJun[Dia],tblDiaUtil[[Abreviatura]:[2º Período]],4,FALSE),JORNADA/2)),
        IF(AND(ISNUMBER(tblHorasJun[Saída - 2]),ISNUMBER(tblHorasJun[Entrada - 2 (Almoço)])),
              IF(OR(AND(tblHorasJun[Evento 
(2º Período)]&lt;&gt;"",IF(ISERROR(VLOOKUP(tblHorasJun[Evento 
(2º Período)],tblEvento[],Tabelas!$E$1,FALSE)),FALSE,VLOOKUP(tblHorasJun[Evento 
(2º Período)],tblEvento[],Tabelas!$E$1,FALSE)="Sim")),IF(VLOOKUP(TEXT(tblHorasJun[Data],"dddd"),tblDiaUtil[],2,FALSE)="Não",TRUE,FALSE)),
                   tblHorasJun[Saída - 2]-tblHorasJun[Entrada - 2 (Almoço)],
                   IF(OR(HOUR(tblHorasJun[Saída - 2]-tblHorasJun[Entrada - 2 (Almoço)])&gt;0,MINUTE(tblHorasJun[Saída - 2]-tblHorasJun[Entrada - 2 (Almoço)])&gt;CARENCIA),
                         tblHorasJun[Saída - 2]-tblHorasJun[Entrada - 2 (Almoço)],
                         0)),
       0)),0)</f>
        <v>0</v>
      </c>
      <c r="L28" s="4">
        <f>tblHorasJun[Horas Trabalhadas (1º Período)]+tblHorasJun[Horas Trabalhadas (2º Período)]</f>
        <v>0</v>
      </c>
      <c r="M28" s="4" t="str">
        <f>IF(tblHorasJun[Data]&lt;&gt;"",
        IF(
AND(VLOOKUP(TEXT(tblHorasJun[Data],"dddd"),tblDiaUtil[],3,FALSE)="Sim",IF(tblHorasJun[Evento 
(1º Período)]&lt;&gt;"",IF(VLOOKUP(tblHorasJun[Evento 
(1º Período)],tblEvento[],Tabelas!$E$1,FALSE)="Sim",FALSE,TRUE),TRUE),IF(tblHorasJun[Evento 
(2º Período)]&lt;&gt;"",IF(VLOOKUP(tblHorasJun[Evento 
(2º Período)],tblEvento[],Tabelas!$E$1,FALSE)="Sim",FALSE,TRUE),TRUE)),
              IF(VLOOKUP(tblHorasJun[Dia],tblDiaUtil[[Abreviatura]:[1º Período]],3,FALSE)&gt;0,VLOOKUP(tblHorasJun[Dia],tblDiaUtil[[Abreviatura]:[1º Período]],3,FALSE),JORNADA),
              ""),
         "")</f>
        <v/>
      </c>
      <c r="N28" s="14">
        <f>IF(OR(tblHorasJun[Horas Trabalhadas (1º Período)]&lt;&gt;0,tblHorasJun[Horas Trabalhadas (2º Período)]&lt;&gt;0),
        IF(ISNUMBER(tblHorasJun[Jornada Diária]),
              IF(tblHorasJun[Jornada Diária]&gt;(tblHorasJun[Horas Trabalhadas (2º Período)]+tblHorasJun[Horas Trabalhadas (1º Período)]),
                     IF(ROUND((tblHorasJun[Jornada Diária]-(tblHorasJun[Horas Trabalhadas (2º Período)]+tblHorasJun[Horas Trabalhadas (1º Período)])),6)&gt;ROUND(CARENCIA,6),
                           -tblHorasJun[Jornada Diária]+(tblHorasJun[Horas Trabalhadas (2º Período)]+tblHorasJun[Horas Trabalhadas (1º Período)]),
                           0),
                      IF(ROUND((tblHorasJun[Jornada Diária]-(tblHorasJun[Horas Trabalhadas (2º Período)]+tblHorasJun[Horas Trabalhadas (1º Período)])),6)&lt;ROUND(-CARENCIA,6),
                           -tblHorasJun[Jornada Diária]+(tblHorasJun[Horas Trabalhadas (2º Período)]+tblHorasJun[Horas Trabalhadas (1º Período)]),
                           0)),
              tblHorasJun[Horas Trabalhadas (2º Período)]+tblHorasJun[Horas Trabalhadas (1º Período)]),
         IF(AND(IF(ISERROR(VLOOKUP(tblHorasJun[Evento 
(1º Período)],tblEvento[[Evento]:[Libera o Período]],4,FALSE)),FALSE,IF(VLOOKUP(tblHorasJun[Evento 
(1º Período)],tblEvento[[Evento]:[Libera o Período]],4,FALSE)="Não",TRUE,FALSE)),IF(ISERROR(VLOOKUP(tblHorasJun[Evento 
(2º Período)],tblEvento[[Evento]:[Libera o Período]],4,FALSE)),FALSE,IF(VLOOKUP(tblHorasJun[Evento 
(2º Período)],tblEvento[[Evento]:[Libera o Período]],4,FALSE)="Não",TRUE,FALSE))),
-IF(VLOOKUP(tblHorasJun[Dia],tblDiaUtil[[Abreviatura]:[Total Jornada]],5,FALSE)&lt;&gt;"",VLOOKUP(tblHorasJun[Dia],tblDiaUtil[[Abreviatura]:[Total Jornada]],5,FALSE),JORNADA),
IF(IF(ISERROR(VLOOKUP(tblHorasJun[Evento 
(1º Período)],tblEvento[[Evento]:[Libera o Período]],4,FALSE)),FALSE,
IF(VLOOKUP(tblHorasJun[Evento 
(1º Período)],tblEvento[[Evento]:[Libera o Período]],4,FALSE)="Não",TRUE,FALSE)
),
-IF(VLOOKUP(tblHorasJun[Dia],tblDiaUtil[[Abreviatura]:[1º Período]],3,FALSE)&lt;&gt;"",VLOOKUP(tblHorasJun[Dia],tblDiaUtil[[Abreviatura]:[1º Período]],3,FALSE),JORNADA_PERIODO_1),
IF(IF(ISERROR(VLOOKUP(tblHorasJun[Evento 
(2º Período)],tblEvento[[Evento]:[Libera o Período]],4,FALSE)),FALSE,IF(VLOOKUP(tblHorasJun[Evento 
(2º Período)],tblEvento[[Evento]:[Libera o Período]],4,FALSE)="Não",TRUE,FALSE)),
-IF(VLOOKUP(tblHorasJun[Dia],tblDiaUtil[[Abreviatura]:[2º Período]],4,FALSE)&lt;&gt;"",VLOOKUP(tblHorasJun[Dia],tblDiaUtil[[Abreviatura]:[2º Período]],4,FALSE),JORNADA_PERIODO_2),0))))</f>
        <v>0</v>
      </c>
      <c r="O28" s="14">
        <f>IF(tblHorasJun[Horas Trabalhadas Além Jornada]&gt;0,
        IF(ISNUMBER(tblHorasJun[Jornada Diária]),
              IF(HOUR(tblHorasJun[Horas Trabalhadas Além Jornada])&gt;=VLOOKUP(LIMITE,tblLimiteHora[],Tabelas!$I$1,FALSE),
                    VLOOKUP(LIMITE,tblLimiteHora[],Tabelas!$J$1,FALSE),
                    tblHorasJun[Horas Trabalhadas Além Jornada]),
              tblHorasJun[Horas Trabalhadas Além Jornada]),
        tblHorasJun[Horas Trabalhadas Além Jornada])+O27</f>
        <v>0</v>
      </c>
      <c r="P28" s="14" t="str">
        <f>IF(tblHorasJun[Horas Trabalhadas Além Jornada]&lt;0,IF(OR(tblHorasJun[Evento 
(1º Período)]="",tblHorasJun[Evento 
(2º Período)]=""),tblHorasJun[Horas Trabalhadas Além Jornada],""),"")</f>
        <v/>
      </c>
      <c r="Q28" s="14" t="str">
        <f>IF(tblHorasJun[Jornada Diária]&lt;&gt;"",IF((N(tblHorasJun[Jornada Diária])-ABS(N(tblHorasJun[Horas Trabalhadas Além Jornada])))=0,1,""),"")</f>
        <v/>
      </c>
      <c r="R28" s="14" t="str">
        <f>IF(tblHorasJun[Horas Trabalhadas Além Jornada]&gt;0,
IF(AND(VLOOKUP(TEXT(tblHorasJun[Data],"dddd"),tblDiaUtil[],3,FALSE)="Sim",IF(tblHorasJun[Evento 
(1º Período)]&lt;&gt;"",IF(VLOOKUP(tblHorasJun[Evento 
(1º Período)],tblEvento[],Tabelas!$E$1,FALSE)="Sim",FALSE,TRUE),TRUE),IF(tblHorasJun[Evento 
(2º Período)]&lt;&gt;"",IF(VLOOKUP(tblHorasJun[Evento 
(2º Período)],tblEvento[],Tabelas!$E$1,FALSE)="Sim",FALSE,TRUE),TRUE)),
tblHorasJun[Horas Trabalhadas Além Jornada],""),"")</f>
        <v/>
      </c>
      <c r="S28" s="14" t="str">
        <f>IF(tblHorasJun[Horas Trabalhadas Além Jornada]&gt;0,
IF(OR(VLOOKUP(TEXT(tblHorasJun[Data],"dddd"),tblDiaUtil[],3,FALSE)="Não",IF(tblHorasJun[Evento 
(1º Período)]&lt;&gt;"",IF(VLOOKUP(tblHorasJun[Evento 
(1º Período)],tblEvento[],Tabelas!$E$1,FALSE)="Sim",TRUE,FALSE),FALSE),IF(tblHorasJun[Evento 
(2º Período)]&lt;&gt;"",IF(VLOOKUP(tblHorasJun[Evento 
(2º Período)],tblEvento[],Tabelas!$E$1,FALSE)="Sim",TRUE,FALSE),FALSE)),
tblHorasJun[Horas Trabalhadas Além Jornada],""),"")</f>
        <v/>
      </c>
      <c r="T28" s="15" t="str">
        <f>IF(tblHorasJun[Evento 
(1º Período)]&lt;&gt;""," - " &amp;VLOOKUP(tblHorasJun[Evento 
(1º Período)],tblEvento[],Tabelas!$F$1,FALSE),"")&amp;IF(AND(tblHorasJun[Evento 
(2º Período)]&lt;&gt;"",tblHorasJun[Evento 
(2º Período)]&lt;&gt;tblHorasJun[Evento 
(1º Período)])," - " &amp; VLOOKUP(tblHorasJun[Evento 
(2º Período)],tblEvento[],Tabelas!$F$1,FALSE),"")</f>
        <v/>
      </c>
    </row>
    <row r="29" spans="2:20" x14ac:dyDescent="0.25">
      <c r="B29" s="11" t="str">
        <f t="shared" si="0"/>
        <v/>
      </c>
      <c r="C29" s="12" t="str">
        <f>TEXT(tblHorasJun[Data],"ddd")</f>
        <v/>
      </c>
      <c r="D29" s="25"/>
      <c r="E29" s="1"/>
      <c r="F29" s="1"/>
      <c r="G29" s="1"/>
      <c r="H29" s="1"/>
      <c r="I29" s="53"/>
      <c r="J29" s="4">
        <f>IF($B$6&lt;&gt;"",
IF(AND(tblHorasJun[Evento 
(1º Período)]&lt;&gt;"",IF(ISERROR(VLOOKUP(tblHorasJun[Evento 
(1º Período)],tblEvento[],Tabelas!$D$1,FALSE)),FALSE,VLOOKUP(tblHorasJun[Evento 
(1º Período)],tblEvento[],Tabelas!$D$1,FALSE)="Sim")),
        IF(JORNADA_PERIODO_1&lt;&gt;"",
IF(VLOOKUP(tblHorasJun[Dia],tblDiaUtil[[Abreviatura]:[1º Período]],3,FALSE)&gt;0,VLOOKUP(tblHorasJun[Dia],tblDiaUtil[[Abreviatura]:[1º Período]],3,FALSE),JORNADA_PERIODO_1),
IF(VLOOKUP(tblHorasJun[Dia],tblDiaUtil[[Abreviatura]:[1º Período]],3,FALSE)&gt;0,VLOOKUP(tblHorasJun[Dia],tblDiaUtil[[Abreviatura]:[1º Período]],3,FALSE),JORNADA/2)),
        IF(AND(ISNUMBER(tblHorasJun[Saída - 1 (Almoço)]),ISNUMBER(tblHorasJun[Entrada - 1])),
              IF(OR(AND(tblHorasJun[Evento 
(1º Período)]&lt;&gt;"",IF(ISERROR(VLOOKUP(tblHorasJun[Evento 
(1º Período)],tblEvento[],Tabelas!$E$1,FALSE)),FALSE,VLOOKUP(tblHorasJun[Evento 
(1º Período)],tblEvento[],Tabelas!$E$1,FALSE)="Sim")),IF(VLOOKUP(TEXT(tblHorasJun[Data],"dddd"),tblDiaUtil[],2,FALSE)="Não",TRUE,FALSE)),
                   tblHorasJun[Saída - 1 (Almoço)]-tblHorasJun[Entrada - 1],
                   IF(OR(HOUR(tblHorasJun[Saída - 1 (Almoço)]-tblHorasJun[Entrada - 1])&gt;0,ROUND(tblHorasJun[Saída - 1 (Almoço)]-tblHorasJun[Entrada - 1],6)&gt;ROUND(CARENCIA,6)),
                          tblHorasJun[Saída - 1 (Almoço)]-tblHorasJun[Entrada - 1],
                          0)),
                    0)),0)</f>
        <v>0</v>
      </c>
      <c r="K29" s="4">
        <f>IF($B$6&lt;&gt;"",
IF(AND(tblHorasJun[Evento 
(2º Período)]&lt;&gt;"",IF(ISERROR(VLOOKUP(tblHorasJun[Evento 
(2º Período)],tblEvento[],Tabelas!$D$1,FALSE)),FALSE,VLOOKUP(tblHorasJun[Evento 
(2º Período)],tblEvento[],Tabelas!$D$1,FALSE)="Sim")),
        IF(JORNADA_PERIODO_2&lt;&gt;"",
IF(VLOOKUP(tblHorasJun[Dia],tblDiaUtil[[Abreviatura]:[2º Período]],4,FALSE)&gt;0,VLOOKUP(tblHorasJun[Dia],tblDiaUtil[[Abreviatura]:[2º Período]],4,FALSE),JORNADA_PERIODO_2),
IF(VLOOKUP(tblHorasJun[Dia],tblDiaUtil[[Abreviatura]:[2º Período]],4,FALSE)&gt;0,VLOOKUP(tblHorasJun[Dia],tblDiaUtil[[Abreviatura]:[2º Período]],4,FALSE),JORNADA/2)),
        IF(AND(ISNUMBER(tblHorasJun[Saída - 2]),ISNUMBER(tblHorasJun[Entrada - 2 (Almoço)])),
              IF(OR(AND(tblHorasJun[Evento 
(2º Período)]&lt;&gt;"",IF(ISERROR(VLOOKUP(tblHorasJun[Evento 
(2º Período)],tblEvento[],Tabelas!$E$1,FALSE)),FALSE,VLOOKUP(tblHorasJun[Evento 
(2º Período)],tblEvento[],Tabelas!$E$1,FALSE)="Sim")),IF(VLOOKUP(TEXT(tblHorasJun[Data],"dddd"),tblDiaUtil[],2,FALSE)="Não",TRUE,FALSE)),
                   tblHorasJun[Saída - 2]-tblHorasJun[Entrada - 2 (Almoço)],
                   IF(OR(HOUR(tblHorasJun[Saída - 2]-tblHorasJun[Entrada - 2 (Almoço)])&gt;0,MINUTE(tblHorasJun[Saída - 2]-tblHorasJun[Entrada - 2 (Almoço)])&gt;CARENCIA),
                         tblHorasJun[Saída - 2]-tblHorasJun[Entrada - 2 (Almoço)],
                         0)),
       0)),0)</f>
        <v>0</v>
      </c>
      <c r="L29" s="4">
        <f>tblHorasJun[Horas Trabalhadas (1º Período)]+tblHorasJun[Horas Trabalhadas (2º Período)]</f>
        <v>0</v>
      </c>
      <c r="M29" s="4" t="str">
        <f>IF(tblHorasJun[Data]&lt;&gt;"",
        IF(
AND(VLOOKUP(TEXT(tblHorasJun[Data],"dddd"),tblDiaUtil[],3,FALSE)="Sim",IF(tblHorasJun[Evento 
(1º Período)]&lt;&gt;"",IF(VLOOKUP(tblHorasJun[Evento 
(1º Período)],tblEvento[],Tabelas!$E$1,FALSE)="Sim",FALSE,TRUE),TRUE),IF(tblHorasJun[Evento 
(2º Período)]&lt;&gt;"",IF(VLOOKUP(tblHorasJun[Evento 
(2º Período)],tblEvento[],Tabelas!$E$1,FALSE)="Sim",FALSE,TRUE),TRUE)),
              IF(VLOOKUP(tblHorasJun[Dia],tblDiaUtil[[Abreviatura]:[1º Período]],3,FALSE)&gt;0,VLOOKUP(tblHorasJun[Dia],tblDiaUtil[[Abreviatura]:[1º Período]],3,FALSE),JORNADA),
              ""),
         "")</f>
        <v/>
      </c>
      <c r="N29" s="14">
        <f>IF(OR(tblHorasJun[Horas Trabalhadas (1º Período)]&lt;&gt;0,tblHorasJun[Horas Trabalhadas (2º Período)]&lt;&gt;0),
        IF(ISNUMBER(tblHorasJun[Jornada Diária]),
              IF(tblHorasJun[Jornada Diária]&gt;(tblHorasJun[Horas Trabalhadas (2º Período)]+tblHorasJun[Horas Trabalhadas (1º Período)]),
                     IF(ROUND((tblHorasJun[Jornada Diária]-(tblHorasJun[Horas Trabalhadas (2º Período)]+tblHorasJun[Horas Trabalhadas (1º Período)])),6)&gt;ROUND(CARENCIA,6),
                           -tblHorasJun[Jornada Diária]+(tblHorasJun[Horas Trabalhadas (2º Período)]+tblHorasJun[Horas Trabalhadas (1º Período)]),
                           0),
                      IF(ROUND((tblHorasJun[Jornada Diária]-(tblHorasJun[Horas Trabalhadas (2º Período)]+tblHorasJun[Horas Trabalhadas (1º Período)])),6)&lt;ROUND(-CARENCIA,6),
                           -tblHorasJun[Jornada Diária]+(tblHorasJun[Horas Trabalhadas (2º Período)]+tblHorasJun[Horas Trabalhadas (1º Período)]),
                           0)),
              tblHorasJun[Horas Trabalhadas (2º Período)]+tblHorasJun[Horas Trabalhadas (1º Período)]),
         IF(AND(IF(ISERROR(VLOOKUP(tblHorasJun[Evento 
(1º Período)],tblEvento[[Evento]:[Libera o Período]],4,FALSE)),FALSE,IF(VLOOKUP(tblHorasJun[Evento 
(1º Período)],tblEvento[[Evento]:[Libera o Período]],4,FALSE)="Não",TRUE,FALSE)),IF(ISERROR(VLOOKUP(tblHorasJun[Evento 
(2º Período)],tblEvento[[Evento]:[Libera o Período]],4,FALSE)),FALSE,IF(VLOOKUP(tblHorasJun[Evento 
(2º Período)],tblEvento[[Evento]:[Libera o Período]],4,FALSE)="Não",TRUE,FALSE))),
-IF(VLOOKUP(tblHorasJun[Dia],tblDiaUtil[[Abreviatura]:[Total Jornada]],5,FALSE)&lt;&gt;"",VLOOKUP(tblHorasJun[Dia],tblDiaUtil[[Abreviatura]:[Total Jornada]],5,FALSE),JORNADA),
IF(IF(ISERROR(VLOOKUP(tblHorasJun[Evento 
(1º Período)],tblEvento[[Evento]:[Libera o Período]],4,FALSE)),FALSE,
IF(VLOOKUP(tblHorasJun[Evento 
(1º Período)],tblEvento[[Evento]:[Libera o Período]],4,FALSE)="Não",TRUE,FALSE)
),
-IF(VLOOKUP(tblHorasJun[Dia],tblDiaUtil[[Abreviatura]:[1º Período]],3,FALSE)&lt;&gt;"",VLOOKUP(tblHorasJun[Dia],tblDiaUtil[[Abreviatura]:[1º Período]],3,FALSE),JORNADA_PERIODO_1),
IF(IF(ISERROR(VLOOKUP(tblHorasJun[Evento 
(2º Período)],tblEvento[[Evento]:[Libera o Período]],4,FALSE)),FALSE,IF(VLOOKUP(tblHorasJun[Evento 
(2º Período)],tblEvento[[Evento]:[Libera o Período]],4,FALSE)="Não",TRUE,FALSE)),
-IF(VLOOKUP(tblHorasJun[Dia],tblDiaUtil[[Abreviatura]:[2º Período]],4,FALSE)&lt;&gt;"",VLOOKUP(tblHorasJun[Dia],tblDiaUtil[[Abreviatura]:[2º Período]],4,FALSE),JORNADA_PERIODO_2),0))))</f>
        <v>0</v>
      </c>
      <c r="O29" s="14">
        <f>IF(tblHorasJun[Horas Trabalhadas Além Jornada]&gt;0,
        IF(ISNUMBER(tblHorasJun[Jornada Diária]),
              IF(HOUR(tblHorasJun[Horas Trabalhadas Além Jornada])&gt;=VLOOKUP(LIMITE,tblLimiteHora[],Tabelas!$I$1,FALSE),
                    VLOOKUP(LIMITE,tblLimiteHora[],Tabelas!$J$1,FALSE),
                    tblHorasJun[Horas Trabalhadas Além Jornada]),
              tblHorasJun[Horas Trabalhadas Além Jornada]),
        tblHorasJun[Horas Trabalhadas Além Jornada])+O28</f>
        <v>0</v>
      </c>
      <c r="P29" s="14" t="str">
        <f>IF(tblHorasJun[Horas Trabalhadas Além Jornada]&lt;0,IF(OR(tblHorasJun[Evento 
(1º Período)]="",tblHorasJun[Evento 
(2º Período)]=""),tblHorasJun[Horas Trabalhadas Além Jornada],""),"")</f>
        <v/>
      </c>
      <c r="Q29" s="14" t="str">
        <f>IF(tblHorasJun[Jornada Diária]&lt;&gt;"",IF((N(tblHorasJun[Jornada Diária])-ABS(N(tblHorasJun[Horas Trabalhadas Além Jornada])))=0,1,""),"")</f>
        <v/>
      </c>
      <c r="R29" s="14" t="str">
        <f>IF(tblHorasJun[Horas Trabalhadas Além Jornada]&gt;0,
IF(AND(VLOOKUP(TEXT(tblHorasJun[Data],"dddd"),tblDiaUtil[],3,FALSE)="Sim",IF(tblHorasJun[Evento 
(1º Período)]&lt;&gt;"",IF(VLOOKUP(tblHorasJun[Evento 
(1º Período)],tblEvento[],Tabelas!$E$1,FALSE)="Sim",FALSE,TRUE),TRUE),IF(tblHorasJun[Evento 
(2º Período)]&lt;&gt;"",IF(VLOOKUP(tblHorasJun[Evento 
(2º Período)],tblEvento[],Tabelas!$E$1,FALSE)="Sim",FALSE,TRUE),TRUE)),
tblHorasJun[Horas Trabalhadas Além Jornada],""),"")</f>
        <v/>
      </c>
      <c r="S29" s="14" t="str">
        <f>IF(tblHorasJun[Horas Trabalhadas Além Jornada]&gt;0,
IF(OR(VLOOKUP(TEXT(tblHorasJun[Data],"dddd"),tblDiaUtil[],3,FALSE)="Não",IF(tblHorasJun[Evento 
(1º Período)]&lt;&gt;"",IF(VLOOKUP(tblHorasJun[Evento 
(1º Período)],tblEvento[],Tabelas!$E$1,FALSE)="Sim",TRUE,FALSE),FALSE),IF(tblHorasJun[Evento 
(2º Período)]&lt;&gt;"",IF(VLOOKUP(tblHorasJun[Evento 
(2º Período)],tblEvento[],Tabelas!$E$1,FALSE)="Sim",TRUE,FALSE),FALSE)),
tblHorasJun[Horas Trabalhadas Além Jornada],""),"")</f>
        <v/>
      </c>
      <c r="T29" s="15" t="str">
        <f>IF(tblHorasJun[Evento 
(1º Período)]&lt;&gt;""," - " &amp;VLOOKUP(tblHorasJun[Evento 
(1º Período)],tblEvento[],Tabelas!$F$1,FALSE),"")&amp;IF(AND(tblHorasJun[Evento 
(2º Período)]&lt;&gt;"",tblHorasJun[Evento 
(2º Período)]&lt;&gt;tblHorasJun[Evento 
(1º Período)])," - " &amp; VLOOKUP(tblHorasJun[Evento 
(2º Período)],tblEvento[],Tabelas!$F$1,FALSE),"")</f>
        <v/>
      </c>
    </row>
    <row r="30" spans="2:20" x14ac:dyDescent="0.25">
      <c r="B30" s="11" t="str">
        <f t="shared" si="0"/>
        <v/>
      </c>
      <c r="C30" s="12" t="str">
        <f>TEXT(tblHorasJun[Data],"ddd")</f>
        <v/>
      </c>
      <c r="D30" s="25"/>
      <c r="E30" s="1"/>
      <c r="F30" s="1"/>
      <c r="G30" s="1"/>
      <c r="H30" s="1"/>
      <c r="I30" s="53"/>
      <c r="J30" s="4">
        <f>IF($B$6&lt;&gt;"",
IF(AND(tblHorasJun[Evento 
(1º Período)]&lt;&gt;"",IF(ISERROR(VLOOKUP(tblHorasJun[Evento 
(1º Período)],tblEvento[],Tabelas!$D$1,FALSE)),FALSE,VLOOKUP(tblHorasJun[Evento 
(1º Período)],tblEvento[],Tabelas!$D$1,FALSE)="Sim")),
        IF(JORNADA_PERIODO_1&lt;&gt;"",
IF(VLOOKUP(tblHorasJun[Dia],tblDiaUtil[[Abreviatura]:[1º Período]],3,FALSE)&gt;0,VLOOKUP(tblHorasJun[Dia],tblDiaUtil[[Abreviatura]:[1º Período]],3,FALSE),JORNADA_PERIODO_1),
IF(VLOOKUP(tblHorasJun[Dia],tblDiaUtil[[Abreviatura]:[1º Período]],3,FALSE)&gt;0,VLOOKUP(tblHorasJun[Dia],tblDiaUtil[[Abreviatura]:[1º Período]],3,FALSE),JORNADA/2)),
        IF(AND(ISNUMBER(tblHorasJun[Saída - 1 (Almoço)]),ISNUMBER(tblHorasJun[Entrada - 1])),
              IF(OR(AND(tblHorasJun[Evento 
(1º Período)]&lt;&gt;"",IF(ISERROR(VLOOKUP(tblHorasJun[Evento 
(1º Período)],tblEvento[],Tabelas!$E$1,FALSE)),FALSE,VLOOKUP(tblHorasJun[Evento 
(1º Período)],tblEvento[],Tabelas!$E$1,FALSE)="Sim")),IF(VLOOKUP(TEXT(tblHorasJun[Data],"dddd"),tblDiaUtil[],2,FALSE)="Não",TRUE,FALSE)),
                   tblHorasJun[Saída - 1 (Almoço)]-tblHorasJun[Entrada - 1],
                   IF(OR(HOUR(tblHorasJun[Saída - 1 (Almoço)]-tblHorasJun[Entrada - 1])&gt;0,ROUND(tblHorasJun[Saída - 1 (Almoço)]-tblHorasJun[Entrada - 1],6)&gt;ROUND(CARENCIA,6)),
                          tblHorasJun[Saída - 1 (Almoço)]-tblHorasJun[Entrada - 1],
                          0)),
                    0)),0)</f>
        <v>0</v>
      </c>
      <c r="K30" s="4">
        <f>IF($B$6&lt;&gt;"",
IF(AND(tblHorasJun[Evento 
(2º Período)]&lt;&gt;"",IF(ISERROR(VLOOKUP(tblHorasJun[Evento 
(2º Período)],tblEvento[],Tabelas!$D$1,FALSE)),FALSE,VLOOKUP(tblHorasJun[Evento 
(2º Período)],tblEvento[],Tabelas!$D$1,FALSE)="Sim")),
        IF(JORNADA_PERIODO_2&lt;&gt;"",
IF(VLOOKUP(tblHorasJun[Dia],tblDiaUtil[[Abreviatura]:[2º Período]],4,FALSE)&gt;0,VLOOKUP(tblHorasJun[Dia],tblDiaUtil[[Abreviatura]:[2º Período]],4,FALSE),JORNADA_PERIODO_2),
IF(VLOOKUP(tblHorasJun[Dia],tblDiaUtil[[Abreviatura]:[2º Período]],4,FALSE)&gt;0,VLOOKUP(tblHorasJun[Dia],tblDiaUtil[[Abreviatura]:[2º Período]],4,FALSE),JORNADA/2)),
        IF(AND(ISNUMBER(tblHorasJun[Saída - 2]),ISNUMBER(tblHorasJun[Entrada - 2 (Almoço)])),
              IF(OR(AND(tblHorasJun[Evento 
(2º Período)]&lt;&gt;"",IF(ISERROR(VLOOKUP(tblHorasJun[Evento 
(2º Período)],tblEvento[],Tabelas!$E$1,FALSE)),FALSE,VLOOKUP(tblHorasJun[Evento 
(2º Período)],tblEvento[],Tabelas!$E$1,FALSE)="Sim")),IF(VLOOKUP(TEXT(tblHorasJun[Data],"dddd"),tblDiaUtil[],2,FALSE)="Não",TRUE,FALSE)),
                   tblHorasJun[Saída - 2]-tblHorasJun[Entrada - 2 (Almoço)],
                   IF(OR(HOUR(tblHorasJun[Saída - 2]-tblHorasJun[Entrada - 2 (Almoço)])&gt;0,MINUTE(tblHorasJun[Saída - 2]-tblHorasJun[Entrada - 2 (Almoço)])&gt;CARENCIA),
                         tblHorasJun[Saída - 2]-tblHorasJun[Entrada - 2 (Almoço)],
                         0)),
       0)),0)</f>
        <v>0</v>
      </c>
      <c r="L30" s="4">
        <f>tblHorasJun[Horas Trabalhadas (1º Período)]+tblHorasJun[Horas Trabalhadas (2º Período)]</f>
        <v>0</v>
      </c>
      <c r="M30" s="4" t="str">
        <f>IF(tblHorasJun[Data]&lt;&gt;"",
        IF(
AND(VLOOKUP(TEXT(tblHorasJun[Data],"dddd"),tblDiaUtil[],3,FALSE)="Sim",IF(tblHorasJun[Evento 
(1º Período)]&lt;&gt;"",IF(VLOOKUP(tblHorasJun[Evento 
(1º Período)],tblEvento[],Tabelas!$E$1,FALSE)="Sim",FALSE,TRUE),TRUE),IF(tblHorasJun[Evento 
(2º Período)]&lt;&gt;"",IF(VLOOKUP(tblHorasJun[Evento 
(2º Período)],tblEvento[],Tabelas!$E$1,FALSE)="Sim",FALSE,TRUE),TRUE)),
              IF(VLOOKUP(tblHorasJun[Dia],tblDiaUtil[[Abreviatura]:[1º Período]],3,FALSE)&gt;0,VLOOKUP(tblHorasJun[Dia],tblDiaUtil[[Abreviatura]:[1º Período]],3,FALSE),JORNADA),
              ""),
         "")</f>
        <v/>
      </c>
      <c r="N30" s="14">
        <f>IF(OR(tblHorasJun[Horas Trabalhadas (1º Período)]&lt;&gt;0,tblHorasJun[Horas Trabalhadas (2º Período)]&lt;&gt;0),
        IF(ISNUMBER(tblHorasJun[Jornada Diária]),
              IF(tblHorasJun[Jornada Diária]&gt;(tblHorasJun[Horas Trabalhadas (2º Período)]+tblHorasJun[Horas Trabalhadas (1º Período)]),
                     IF(ROUND((tblHorasJun[Jornada Diária]-(tblHorasJun[Horas Trabalhadas (2º Período)]+tblHorasJun[Horas Trabalhadas (1º Período)])),6)&gt;ROUND(CARENCIA,6),
                           -tblHorasJun[Jornada Diária]+(tblHorasJun[Horas Trabalhadas (2º Período)]+tblHorasJun[Horas Trabalhadas (1º Período)]),
                           0),
                      IF(ROUND((tblHorasJun[Jornada Diária]-(tblHorasJun[Horas Trabalhadas (2º Período)]+tblHorasJun[Horas Trabalhadas (1º Período)])),6)&lt;ROUND(-CARENCIA,6),
                           -tblHorasJun[Jornada Diária]+(tblHorasJun[Horas Trabalhadas (2º Período)]+tblHorasJun[Horas Trabalhadas (1º Período)]),
                           0)),
              tblHorasJun[Horas Trabalhadas (2º Período)]+tblHorasJun[Horas Trabalhadas (1º Período)]),
         IF(AND(IF(ISERROR(VLOOKUP(tblHorasJun[Evento 
(1º Período)],tblEvento[[Evento]:[Libera o Período]],4,FALSE)),FALSE,IF(VLOOKUP(tblHorasJun[Evento 
(1º Período)],tblEvento[[Evento]:[Libera o Período]],4,FALSE)="Não",TRUE,FALSE)),IF(ISERROR(VLOOKUP(tblHorasJun[Evento 
(2º Período)],tblEvento[[Evento]:[Libera o Período]],4,FALSE)),FALSE,IF(VLOOKUP(tblHorasJun[Evento 
(2º Período)],tblEvento[[Evento]:[Libera o Período]],4,FALSE)="Não",TRUE,FALSE))),
-IF(VLOOKUP(tblHorasJun[Dia],tblDiaUtil[[Abreviatura]:[Total Jornada]],5,FALSE)&lt;&gt;"",VLOOKUP(tblHorasJun[Dia],tblDiaUtil[[Abreviatura]:[Total Jornada]],5,FALSE),JORNADA),
IF(IF(ISERROR(VLOOKUP(tblHorasJun[Evento 
(1º Período)],tblEvento[[Evento]:[Libera o Período]],4,FALSE)),FALSE,
IF(VLOOKUP(tblHorasJun[Evento 
(1º Período)],tblEvento[[Evento]:[Libera o Período]],4,FALSE)="Não",TRUE,FALSE)
),
-IF(VLOOKUP(tblHorasJun[Dia],tblDiaUtil[[Abreviatura]:[1º Período]],3,FALSE)&lt;&gt;"",VLOOKUP(tblHorasJun[Dia],tblDiaUtil[[Abreviatura]:[1º Período]],3,FALSE),JORNADA_PERIODO_1),
IF(IF(ISERROR(VLOOKUP(tblHorasJun[Evento 
(2º Período)],tblEvento[[Evento]:[Libera o Período]],4,FALSE)),FALSE,IF(VLOOKUP(tblHorasJun[Evento 
(2º Período)],tblEvento[[Evento]:[Libera o Período]],4,FALSE)="Não",TRUE,FALSE)),
-IF(VLOOKUP(tblHorasJun[Dia],tblDiaUtil[[Abreviatura]:[2º Período]],4,FALSE)&lt;&gt;"",VLOOKUP(tblHorasJun[Dia],tblDiaUtil[[Abreviatura]:[2º Período]],4,FALSE),JORNADA_PERIODO_2),0))))</f>
        <v>0</v>
      </c>
      <c r="O30" s="14">
        <f>IF(tblHorasJun[Horas Trabalhadas Além Jornada]&gt;0,
        IF(ISNUMBER(tblHorasJun[Jornada Diária]),
              IF(HOUR(tblHorasJun[Horas Trabalhadas Além Jornada])&gt;=VLOOKUP(LIMITE,tblLimiteHora[],Tabelas!$I$1,FALSE),
                    VLOOKUP(LIMITE,tblLimiteHora[],Tabelas!$J$1,FALSE),
                    tblHorasJun[Horas Trabalhadas Além Jornada]),
              tblHorasJun[Horas Trabalhadas Além Jornada]),
        tblHorasJun[Horas Trabalhadas Além Jornada])+O29</f>
        <v>0</v>
      </c>
      <c r="P30" s="14" t="str">
        <f>IF(tblHorasJun[Horas Trabalhadas Além Jornada]&lt;0,IF(OR(tblHorasJun[Evento 
(1º Período)]="",tblHorasJun[Evento 
(2º Período)]=""),tblHorasJun[Horas Trabalhadas Além Jornada],""),"")</f>
        <v/>
      </c>
      <c r="Q30" s="14" t="str">
        <f>IF(tblHorasJun[Jornada Diária]&lt;&gt;"",IF((N(tblHorasJun[Jornada Diária])-ABS(N(tblHorasJun[Horas Trabalhadas Além Jornada])))=0,1,""),"")</f>
        <v/>
      </c>
      <c r="R30" s="14" t="str">
        <f>IF(tblHorasJun[Horas Trabalhadas Além Jornada]&gt;0,
IF(AND(VLOOKUP(TEXT(tblHorasJun[Data],"dddd"),tblDiaUtil[],3,FALSE)="Sim",IF(tblHorasJun[Evento 
(1º Período)]&lt;&gt;"",IF(VLOOKUP(tblHorasJun[Evento 
(1º Período)],tblEvento[],Tabelas!$E$1,FALSE)="Sim",FALSE,TRUE),TRUE),IF(tblHorasJun[Evento 
(2º Período)]&lt;&gt;"",IF(VLOOKUP(tblHorasJun[Evento 
(2º Período)],tblEvento[],Tabelas!$E$1,FALSE)="Sim",FALSE,TRUE),TRUE)),
tblHorasJun[Horas Trabalhadas Além Jornada],""),"")</f>
        <v/>
      </c>
      <c r="S30" s="14" t="str">
        <f>IF(tblHorasJun[Horas Trabalhadas Além Jornada]&gt;0,
IF(OR(VLOOKUP(TEXT(tblHorasJun[Data],"dddd"),tblDiaUtil[],3,FALSE)="Não",IF(tblHorasJun[Evento 
(1º Período)]&lt;&gt;"",IF(VLOOKUP(tblHorasJun[Evento 
(1º Período)],tblEvento[],Tabelas!$E$1,FALSE)="Sim",TRUE,FALSE),FALSE),IF(tblHorasJun[Evento 
(2º Período)]&lt;&gt;"",IF(VLOOKUP(tblHorasJun[Evento 
(2º Período)],tblEvento[],Tabelas!$E$1,FALSE)="Sim",TRUE,FALSE),FALSE)),
tblHorasJun[Horas Trabalhadas Além Jornada],""),"")</f>
        <v/>
      </c>
      <c r="T30" s="15" t="str">
        <f>IF(tblHorasJun[Evento 
(1º Período)]&lt;&gt;""," - " &amp;VLOOKUP(tblHorasJun[Evento 
(1º Período)],tblEvento[],Tabelas!$F$1,FALSE),"")&amp;IF(AND(tblHorasJun[Evento 
(2º Período)]&lt;&gt;"",tblHorasJun[Evento 
(2º Período)]&lt;&gt;tblHorasJun[Evento 
(1º Período)])," - " &amp; VLOOKUP(tblHorasJun[Evento 
(2º Período)],tblEvento[],Tabelas!$F$1,FALSE),"")</f>
        <v/>
      </c>
    </row>
    <row r="31" spans="2:20" x14ac:dyDescent="0.25">
      <c r="B31" s="11" t="str">
        <f t="shared" si="0"/>
        <v/>
      </c>
      <c r="C31" s="12" t="str">
        <f>TEXT(tblHorasJun[Data],"ddd")</f>
        <v/>
      </c>
      <c r="D31" s="25"/>
      <c r="E31" s="1"/>
      <c r="F31" s="1"/>
      <c r="G31" s="1"/>
      <c r="H31" s="1"/>
      <c r="I31" s="53"/>
      <c r="J31" s="4">
        <f>IF($B$6&lt;&gt;"",
IF(AND(tblHorasJun[Evento 
(1º Período)]&lt;&gt;"",IF(ISERROR(VLOOKUP(tblHorasJun[Evento 
(1º Período)],tblEvento[],Tabelas!$D$1,FALSE)),FALSE,VLOOKUP(tblHorasJun[Evento 
(1º Período)],tblEvento[],Tabelas!$D$1,FALSE)="Sim")),
        IF(JORNADA_PERIODO_1&lt;&gt;"",
IF(VLOOKUP(tblHorasJun[Dia],tblDiaUtil[[Abreviatura]:[1º Período]],3,FALSE)&gt;0,VLOOKUP(tblHorasJun[Dia],tblDiaUtil[[Abreviatura]:[1º Período]],3,FALSE),JORNADA_PERIODO_1),
IF(VLOOKUP(tblHorasJun[Dia],tblDiaUtil[[Abreviatura]:[1º Período]],3,FALSE)&gt;0,VLOOKUP(tblHorasJun[Dia],tblDiaUtil[[Abreviatura]:[1º Período]],3,FALSE),JORNADA/2)),
        IF(AND(ISNUMBER(tblHorasJun[Saída - 1 (Almoço)]),ISNUMBER(tblHorasJun[Entrada - 1])),
              IF(OR(AND(tblHorasJun[Evento 
(1º Período)]&lt;&gt;"",IF(ISERROR(VLOOKUP(tblHorasJun[Evento 
(1º Período)],tblEvento[],Tabelas!$E$1,FALSE)),FALSE,VLOOKUP(tblHorasJun[Evento 
(1º Período)],tblEvento[],Tabelas!$E$1,FALSE)="Sim")),IF(VLOOKUP(TEXT(tblHorasJun[Data],"dddd"),tblDiaUtil[],2,FALSE)="Não",TRUE,FALSE)),
                   tblHorasJun[Saída - 1 (Almoço)]-tblHorasJun[Entrada - 1],
                   IF(OR(HOUR(tblHorasJun[Saída - 1 (Almoço)]-tblHorasJun[Entrada - 1])&gt;0,ROUND(tblHorasJun[Saída - 1 (Almoço)]-tblHorasJun[Entrada - 1],6)&gt;ROUND(CARENCIA,6)),
                          tblHorasJun[Saída - 1 (Almoço)]-tblHorasJun[Entrada - 1],
                          0)),
                    0)),0)</f>
        <v>0</v>
      </c>
      <c r="K31" s="4">
        <f>IF($B$6&lt;&gt;"",
IF(AND(tblHorasJun[Evento 
(2º Período)]&lt;&gt;"",IF(ISERROR(VLOOKUP(tblHorasJun[Evento 
(2º Período)],tblEvento[],Tabelas!$D$1,FALSE)),FALSE,VLOOKUP(tblHorasJun[Evento 
(2º Período)],tblEvento[],Tabelas!$D$1,FALSE)="Sim")),
        IF(JORNADA_PERIODO_2&lt;&gt;"",
IF(VLOOKUP(tblHorasJun[Dia],tblDiaUtil[[Abreviatura]:[2º Período]],4,FALSE)&gt;0,VLOOKUP(tblHorasJun[Dia],tblDiaUtil[[Abreviatura]:[2º Período]],4,FALSE),JORNADA_PERIODO_2),
IF(VLOOKUP(tblHorasJun[Dia],tblDiaUtil[[Abreviatura]:[2º Período]],4,FALSE)&gt;0,VLOOKUP(tblHorasJun[Dia],tblDiaUtil[[Abreviatura]:[2º Período]],4,FALSE),JORNADA/2)),
        IF(AND(ISNUMBER(tblHorasJun[Saída - 2]),ISNUMBER(tblHorasJun[Entrada - 2 (Almoço)])),
              IF(OR(AND(tblHorasJun[Evento 
(2º Período)]&lt;&gt;"",IF(ISERROR(VLOOKUP(tblHorasJun[Evento 
(2º Período)],tblEvento[],Tabelas!$E$1,FALSE)),FALSE,VLOOKUP(tblHorasJun[Evento 
(2º Período)],tblEvento[],Tabelas!$E$1,FALSE)="Sim")),IF(VLOOKUP(TEXT(tblHorasJun[Data],"dddd"),tblDiaUtil[],2,FALSE)="Não",TRUE,FALSE)),
                   tblHorasJun[Saída - 2]-tblHorasJun[Entrada - 2 (Almoço)],
                   IF(OR(HOUR(tblHorasJun[Saída - 2]-tblHorasJun[Entrada - 2 (Almoço)])&gt;0,MINUTE(tblHorasJun[Saída - 2]-tblHorasJun[Entrada - 2 (Almoço)])&gt;CARENCIA),
                         tblHorasJun[Saída - 2]-tblHorasJun[Entrada - 2 (Almoço)],
                         0)),
       0)),0)</f>
        <v>0</v>
      </c>
      <c r="L31" s="4">
        <f>tblHorasJun[Horas Trabalhadas (1º Período)]+tblHorasJun[Horas Trabalhadas (2º Período)]</f>
        <v>0</v>
      </c>
      <c r="M31" s="4" t="str">
        <f>IF(tblHorasJun[Data]&lt;&gt;"",
        IF(
AND(VLOOKUP(TEXT(tblHorasJun[Data],"dddd"),tblDiaUtil[],3,FALSE)="Sim",IF(tblHorasJun[Evento 
(1º Período)]&lt;&gt;"",IF(VLOOKUP(tblHorasJun[Evento 
(1º Período)],tblEvento[],Tabelas!$E$1,FALSE)="Sim",FALSE,TRUE),TRUE),IF(tblHorasJun[Evento 
(2º Período)]&lt;&gt;"",IF(VLOOKUP(tblHorasJun[Evento 
(2º Período)],tblEvento[],Tabelas!$E$1,FALSE)="Sim",FALSE,TRUE),TRUE)),
              IF(VLOOKUP(tblHorasJun[Dia],tblDiaUtil[[Abreviatura]:[1º Período]],3,FALSE)&gt;0,VLOOKUP(tblHorasJun[Dia],tblDiaUtil[[Abreviatura]:[1º Período]],3,FALSE),JORNADA),
              ""),
         "")</f>
        <v/>
      </c>
      <c r="N31" s="14">
        <f>IF(OR(tblHorasJun[Horas Trabalhadas (1º Período)]&lt;&gt;0,tblHorasJun[Horas Trabalhadas (2º Período)]&lt;&gt;0),
        IF(ISNUMBER(tblHorasJun[Jornada Diária]),
              IF(tblHorasJun[Jornada Diária]&gt;(tblHorasJun[Horas Trabalhadas (2º Período)]+tblHorasJun[Horas Trabalhadas (1º Período)]),
                     IF(ROUND((tblHorasJun[Jornada Diária]-(tblHorasJun[Horas Trabalhadas (2º Período)]+tblHorasJun[Horas Trabalhadas (1º Período)])),6)&gt;ROUND(CARENCIA,6),
                           -tblHorasJun[Jornada Diária]+(tblHorasJun[Horas Trabalhadas (2º Período)]+tblHorasJun[Horas Trabalhadas (1º Período)]),
                           0),
                      IF(ROUND((tblHorasJun[Jornada Diária]-(tblHorasJun[Horas Trabalhadas (2º Período)]+tblHorasJun[Horas Trabalhadas (1º Período)])),6)&lt;ROUND(-CARENCIA,6),
                           -tblHorasJun[Jornada Diária]+(tblHorasJun[Horas Trabalhadas (2º Período)]+tblHorasJun[Horas Trabalhadas (1º Período)]),
                           0)),
              tblHorasJun[Horas Trabalhadas (2º Período)]+tblHorasJun[Horas Trabalhadas (1º Período)]),
         IF(AND(IF(ISERROR(VLOOKUP(tblHorasJun[Evento 
(1º Período)],tblEvento[[Evento]:[Libera o Período]],4,FALSE)),FALSE,IF(VLOOKUP(tblHorasJun[Evento 
(1º Período)],tblEvento[[Evento]:[Libera o Período]],4,FALSE)="Não",TRUE,FALSE)),IF(ISERROR(VLOOKUP(tblHorasJun[Evento 
(2º Período)],tblEvento[[Evento]:[Libera o Período]],4,FALSE)),FALSE,IF(VLOOKUP(tblHorasJun[Evento 
(2º Período)],tblEvento[[Evento]:[Libera o Período]],4,FALSE)="Não",TRUE,FALSE))),
-IF(VLOOKUP(tblHorasJun[Dia],tblDiaUtil[[Abreviatura]:[Total Jornada]],5,FALSE)&lt;&gt;"",VLOOKUP(tblHorasJun[Dia],tblDiaUtil[[Abreviatura]:[Total Jornada]],5,FALSE),JORNADA),
IF(IF(ISERROR(VLOOKUP(tblHorasJun[Evento 
(1º Período)],tblEvento[[Evento]:[Libera o Período]],4,FALSE)),FALSE,
IF(VLOOKUP(tblHorasJun[Evento 
(1º Período)],tblEvento[[Evento]:[Libera o Período]],4,FALSE)="Não",TRUE,FALSE)
),
-IF(VLOOKUP(tblHorasJun[Dia],tblDiaUtil[[Abreviatura]:[1º Período]],3,FALSE)&lt;&gt;"",VLOOKUP(tblHorasJun[Dia],tblDiaUtil[[Abreviatura]:[1º Período]],3,FALSE),JORNADA_PERIODO_1),
IF(IF(ISERROR(VLOOKUP(tblHorasJun[Evento 
(2º Período)],tblEvento[[Evento]:[Libera o Período]],4,FALSE)),FALSE,IF(VLOOKUP(tblHorasJun[Evento 
(2º Período)],tblEvento[[Evento]:[Libera o Período]],4,FALSE)="Não",TRUE,FALSE)),
-IF(VLOOKUP(tblHorasJun[Dia],tblDiaUtil[[Abreviatura]:[2º Período]],4,FALSE)&lt;&gt;"",VLOOKUP(tblHorasJun[Dia],tblDiaUtil[[Abreviatura]:[2º Período]],4,FALSE),JORNADA_PERIODO_2),0))))</f>
        <v>0</v>
      </c>
      <c r="O31" s="14">
        <f>IF(tblHorasJun[Horas Trabalhadas Além Jornada]&gt;0,
        IF(ISNUMBER(tblHorasJun[Jornada Diária]),
              IF(HOUR(tblHorasJun[Horas Trabalhadas Além Jornada])&gt;=VLOOKUP(LIMITE,tblLimiteHora[],Tabelas!$I$1,FALSE),
                    VLOOKUP(LIMITE,tblLimiteHora[],Tabelas!$J$1,FALSE),
                    tblHorasJun[Horas Trabalhadas Além Jornada]),
              tblHorasJun[Horas Trabalhadas Além Jornada]),
        tblHorasJun[Horas Trabalhadas Além Jornada])+O30</f>
        <v>0</v>
      </c>
      <c r="P31" s="14" t="str">
        <f>IF(tblHorasJun[Horas Trabalhadas Além Jornada]&lt;0,IF(OR(tblHorasJun[Evento 
(1º Período)]="",tblHorasJun[Evento 
(2º Período)]=""),tblHorasJun[Horas Trabalhadas Além Jornada],""),"")</f>
        <v/>
      </c>
      <c r="Q31" s="14" t="str">
        <f>IF(tblHorasJun[Jornada Diária]&lt;&gt;"",IF((N(tblHorasJun[Jornada Diária])-ABS(N(tblHorasJun[Horas Trabalhadas Além Jornada])))=0,1,""),"")</f>
        <v/>
      </c>
      <c r="R31" s="14" t="str">
        <f>IF(tblHorasJun[Horas Trabalhadas Além Jornada]&gt;0,
IF(AND(VLOOKUP(TEXT(tblHorasJun[Data],"dddd"),tblDiaUtil[],3,FALSE)="Sim",IF(tblHorasJun[Evento 
(1º Período)]&lt;&gt;"",IF(VLOOKUP(tblHorasJun[Evento 
(1º Período)],tblEvento[],Tabelas!$E$1,FALSE)="Sim",FALSE,TRUE),TRUE),IF(tblHorasJun[Evento 
(2º Período)]&lt;&gt;"",IF(VLOOKUP(tblHorasJun[Evento 
(2º Período)],tblEvento[],Tabelas!$E$1,FALSE)="Sim",FALSE,TRUE),TRUE)),
tblHorasJun[Horas Trabalhadas Além Jornada],""),"")</f>
        <v/>
      </c>
      <c r="S31" s="14" t="str">
        <f>IF(tblHorasJun[Horas Trabalhadas Além Jornada]&gt;0,
IF(OR(VLOOKUP(TEXT(tblHorasJun[Data],"dddd"),tblDiaUtil[],3,FALSE)="Não",IF(tblHorasJun[Evento 
(1º Período)]&lt;&gt;"",IF(VLOOKUP(tblHorasJun[Evento 
(1º Período)],tblEvento[],Tabelas!$E$1,FALSE)="Sim",TRUE,FALSE),FALSE),IF(tblHorasJun[Evento 
(2º Período)]&lt;&gt;"",IF(VLOOKUP(tblHorasJun[Evento 
(2º Período)],tblEvento[],Tabelas!$E$1,FALSE)="Sim",TRUE,FALSE),FALSE)),
tblHorasJun[Horas Trabalhadas Além Jornada],""),"")</f>
        <v/>
      </c>
      <c r="T31" s="15" t="str">
        <f>IF(tblHorasJun[Evento 
(1º Período)]&lt;&gt;""," - " &amp;VLOOKUP(tblHorasJun[Evento 
(1º Período)],tblEvento[],Tabelas!$F$1,FALSE),"")&amp;IF(AND(tblHorasJun[Evento 
(2º Período)]&lt;&gt;"",tblHorasJun[Evento 
(2º Período)]&lt;&gt;tblHorasJun[Evento 
(1º Período)])," - " &amp; VLOOKUP(tblHorasJun[Evento 
(2º Período)],tblEvento[],Tabelas!$F$1,FALSE),"")</f>
        <v/>
      </c>
    </row>
    <row r="32" spans="2:20" x14ac:dyDescent="0.25">
      <c r="B32" s="11" t="str">
        <f t="shared" si="0"/>
        <v/>
      </c>
      <c r="C32" s="12" t="str">
        <f>TEXT(tblHorasJun[Data],"ddd")</f>
        <v/>
      </c>
      <c r="D32" s="25"/>
      <c r="E32" s="1"/>
      <c r="F32" s="1"/>
      <c r="G32" s="1"/>
      <c r="H32" s="1"/>
      <c r="I32" s="53"/>
      <c r="J32" s="4">
        <f>IF($B$6&lt;&gt;"",
IF(AND(tblHorasJun[Evento 
(1º Período)]&lt;&gt;"",IF(ISERROR(VLOOKUP(tblHorasJun[Evento 
(1º Período)],tblEvento[],Tabelas!$D$1,FALSE)),FALSE,VLOOKUP(tblHorasJun[Evento 
(1º Período)],tblEvento[],Tabelas!$D$1,FALSE)="Sim")),
        IF(JORNADA_PERIODO_1&lt;&gt;"",
IF(VLOOKUP(tblHorasJun[Dia],tblDiaUtil[[Abreviatura]:[1º Período]],3,FALSE)&gt;0,VLOOKUP(tblHorasJun[Dia],tblDiaUtil[[Abreviatura]:[1º Período]],3,FALSE),JORNADA_PERIODO_1),
IF(VLOOKUP(tblHorasJun[Dia],tblDiaUtil[[Abreviatura]:[1º Período]],3,FALSE)&gt;0,VLOOKUP(tblHorasJun[Dia],tblDiaUtil[[Abreviatura]:[1º Período]],3,FALSE),JORNADA/2)),
        IF(AND(ISNUMBER(tblHorasJun[Saída - 1 (Almoço)]),ISNUMBER(tblHorasJun[Entrada - 1])),
              IF(OR(AND(tblHorasJun[Evento 
(1º Período)]&lt;&gt;"",IF(ISERROR(VLOOKUP(tblHorasJun[Evento 
(1º Período)],tblEvento[],Tabelas!$E$1,FALSE)),FALSE,VLOOKUP(tblHorasJun[Evento 
(1º Período)],tblEvento[],Tabelas!$E$1,FALSE)="Sim")),IF(VLOOKUP(TEXT(tblHorasJun[Data],"dddd"),tblDiaUtil[],2,FALSE)="Não",TRUE,FALSE)),
                   tblHorasJun[Saída - 1 (Almoço)]-tblHorasJun[Entrada - 1],
                   IF(OR(HOUR(tblHorasJun[Saída - 1 (Almoço)]-tblHorasJun[Entrada - 1])&gt;0,ROUND(tblHorasJun[Saída - 1 (Almoço)]-tblHorasJun[Entrada - 1],6)&gt;ROUND(CARENCIA,6)),
                          tblHorasJun[Saída - 1 (Almoço)]-tblHorasJun[Entrada - 1],
                          0)),
                    0)),0)</f>
        <v>0</v>
      </c>
      <c r="K32" s="4">
        <f>IF($B$6&lt;&gt;"",
IF(AND(tblHorasJun[Evento 
(2º Período)]&lt;&gt;"",IF(ISERROR(VLOOKUP(tblHorasJun[Evento 
(2º Período)],tblEvento[],Tabelas!$D$1,FALSE)),FALSE,VLOOKUP(tblHorasJun[Evento 
(2º Período)],tblEvento[],Tabelas!$D$1,FALSE)="Sim")),
        IF(JORNADA_PERIODO_2&lt;&gt;"",
IF(VLOOKUP(tblHorasJun[Dia],tblDiaUtil[[Abreviatura]:[2º Período]],4,FALSE)&gt;0,VLOOKUP(tblHorasJun[Dia],tblDiaUtil[[Abreviatura]:[2º Período]],4,FALSE),JORNADA_PERIODO_2),
IF(VLOOKUP(tblHorasJun[Dia],tblDiaUtil[[Abreviatura]:[2º Período]],4,FALSE)&gt;0,VLOOKUP(tblHorasJun[Dia],tblDiaUtil[[Abreviatura]:[2º Período]],4,FALSE),JORNADA/2)),
        IF(AND(ISNUMBER(tblHorasJun[Saída - 2]),ISNUMBER(tblHorasJun[Entrada - 2 (Almoço)])),
              IF(OR(AND(tblHorasJun[Evento 
(2º Período)]&lt;&gt;"",IF(ISERROR(VLOOKUP(tblHorasJun[Evento 
(2º Período)],tblEvento[],Tabelas!$E$1,FALSE)),FALSE,VLOOKUP(tblHorasJun[Evento 
(2º Período)],tblEvento[],Tabelas!$E$1,FALSE)="Sim")),IF(VLOOKUP(TEXT(tblHorasJun[Data],"dddd"),tblDiaUtil[],2,FALSE)="Não",TRUE,FALSE)),
                   tblHorasJun[Saída - 2]-tblHorasJun[Entrada - 2 (Almoço)],
                   IF(OR(HOUR(tblHorasJun[Saída - 2]-tblHorasJun[Entrada - 2 (Almoço)])&gt;0,MINUTE(tblHorasJun[Saída - 2]-tblHorasJun[Entrada - 2 (Almoço)])&gt;CARENCIA),
                         tblHorasJun[Saída - 2]-tblHorasJun[Entrada - 2 (Almoço)],
                         0)),
       0)),0)</f>
        <v>0</v>
      </c>
      <c r="L32" s="4">
        <f>tblHorasJun[Horas Trabalhadas (1º Período)]+tblHorasJun[Horas Trabalhadas (2º Período)]</f>
        <v>0</v>
      </c>
      <c r="M32" s="4" t="str">
        <f>IF(tblHorasJun[Data]&lt;&gt;"",
        IF(
AND(VLOOKUP(TEXT(tblHorasJun[Data],"dddd"),tblDiaUtil[],3,FALSE)="Sim",IF(tblHorasJun[Evento 
(1º Período)]&lt;&gt;"",IF(VLOOKUP(tblHorasJun[Evento 
(1º Período)],tblEvento[],Tabelas!$E$1,FALSE)="Sim",FALSE,TRUE),TRUE),IF(tblHorasJun[Evento 
(2º Período)]&lt;&gt;"",IF(VLOOKUP(tblHorasJun[Evento 
(2º Período)],tblEvento[],Tabelas!$E$1,FALSE)="Sim",FALSE,TRUE),TRUE)),
              IF(VLOOKUP(tblHorasJun[Dia],tblDiaUtil[[Abreviatura]:[1º Período]],3,FALSE)&gt;0,VLOOKUP(tblHorasJun[Dia],tblDiaUtil[[Abreviatura]:[1º Período]],3,FALSE),JORNADA),
              ""),
         "")</f>
        <v/>
      </c>
      <c r="N32" s="14">
        <f>IF(OR(tblHorasJun[Horas Trabalhadas (1º Período)]&lt;&gt;0,tblHorasJun[Horas Trabalhadas (2º Período)]&lt;&gt;0),
        IF(ISNUMBER(tblHorasJun[Jornada Diária]),
              IF(tblHorasJun[Jornada Diária]&gt;(tblHorasJun[Horas Trabalhadas (2º Período)]+tblHorasJun[Horas Trabalhadas (1º Período)]),
                     IF(ROUND((tblHorasJun[Jornada Diária]-(tblHorasJun[Horas Trabalhadas (2º Período)]+tblHorasJun[Horas Trabalhadas (1º Período)])),6)&gt;ROUND(CARENCIA,6),
                           -tblHorasJun[Jornada Diária]+(tblHorasJun[Horas Trabalhadas (2º Período)]+tblHorasJun[Horas Trabalhadas (1º Período)]),
                           0),
                      IF(ROUND((tblHorasJun[Jornada Diária]-(tblHorasJun[Horas Trabalhadas (2º Período)]+tblHorasJun[Horas Trabalhadas (1º Período)])),6)&lt;ROUND(-CARENCIA,6),
                           -tblHorasJun[Jornada Diária]+(tblHorasJun[Horas Trabalhadas (2º Período)]+tblHorasJun[Horas Trabalhadas (1º Período)]),
                           0)),
              tblHorasJun[Horas Trabalhadas (2º Período)]+tblHorasJun[Horas Trabalhadas (1º Período)]),
         IF(AND(IF(ISERROR(VLOOKUP(tblHorasJun[Evento 
(1º Período)],tblEvento[[Evento]:[Libera o Período]],4,FALSE)),FALSE,IF(VLOOKUP(tblHorasJun[Evento 
(1º Período)],tblEvento[[Evento]:[Libera o Período]],4,FALSE)="Não",TRUE,FALSE)),IF(ISERROR(VLOOKUP(tblHorasJun[Evento 
(2º Período)],tblEvento[[Evento]:[Libera o Período]],4,FALSE)),FALSE,IF(VLOOKUP(tblHorasJun[Evento 
(2º Período)],tblEvento[[Evento]:[Libera o Período]],4,FALSE)="Não",TRUE,FALSE))),
-IF(VLOOKUP(tblHorasJun[Dia],tblDiaUtil[[Abreviatura]:[Total Jornada]],5,FALSE)&lt;&gt;"",VLOOKUP(tblHorasJun[Dia],tblDiaUtil[[Abreviatura]:[Total Jornada]],5,FALSE),JORNADA),
IF(IF(ISERROR(VLOOKUP(tblHorasJun[Evento 
(1º Período)],tblEvento[[Evento]:[Libera o Período]],4,FALSE)),FALSE,
IF(VLOOKUP(tblHorasJun[Evento 
(1º Período)],tblEvento[[Evento]:[Libera o Período]],4,FALSE)="Não",TRUE,FALSE)
),
-IF(VLOOKUP(tblHorasJun[Dia],tblDiaUtil[[Abreviatura]:[1º Período]],3,FALSE)&lt;&gt;"",VLOOKUP(tblHorasJun[Dia],tblDiaUtil[[Abreviatura]:[1º Período]],3,FALSE),JORNADA_PERIODO_1),
IF(IF(ISERROR(VLOOKUP(tblHorasJun[Evento 
(2º Período)],tblEvento[[Evento]:[Libera o Período]],4,FALSE)),FALSE,IF(VLOOKUP(tblHorasJun[Evento 
(2º Período)],tblEvento[[Evento]:[Libera o Período]],4,FALSE)="Não",TRUE,FALSE)),
-IF(VLOOKUP(tblHorasJun[Dia],tblDiaUtil[[Abreviatura]:[2º Período]],4,FALSE)&lt;&gt;"",VLOOKUP(tblHorasJun[Dia],tblDiaUtil[[Abreviatura]:[2º Período]],4,FALSE),JORNADA_PERIODO_2),0))))</f>
        <v>0</v>
      </c>
      <c r="O32" s="14">
        <f>IF(tblHorasJun[Horas Trabalhadas Além Jornada]&gt;0,
        IF(ISNUMBER(tblHorasJun[Jornada Diária]),
              IF(HOUR(tblHorasJun[Horas Trabalhadas Além Jornada])&gt;=VLOOKUP(LIMITE,tblLimiteHora[],Tabelas!$I$1,FALSE),
                    VLOOKUP(LIMITE,tblLimiteHora[],Tabelas!$J$1,FALSE),
                    tblHorasJun[Horas Trabalhadas Além Jornada]),
              tblHorasJun[Horas Trabalhadas Além Jornada]),
        tblHorasJun[Horas Trabalhadas Além Jornada])+O31</f>
        <v>0</v>
      </c>
      <c r="P32" s="14" t="str">
        <f>IF(tblHorasJun[Horas Trabalhadas Além Jornada]&lt;0,IF(OR(tblHorasJun[Evento 
(1º Período)]="",tblHorasJun[Evento 
(2º Período)]=""),tblHorasJun[Horas Trabalhadas Além Jornada],""),"")</f>
        <v/>
      </c>
      <c r="Q32" s="14" t="str">
        <f>IF(tblHorasJun[Jornada Diária]&lt;&gt;"",IF((N(tblHorasJun[Jornada Diária])-ABS(N(tblHorasJun[Horas Trabalhadas Além Jornada])))=0,1,""),"")</f>
        <v/>
      </c>
      <c r="R32" s="14" t="str">
        <f>IF(tblHorasJun[Horas Trabalhadas Além Jornada]&gt;0,
IF(AND(VLOOKUP(TEXT(tblHorasJun[Data],"dddd"),tblDiaUtil[],3,FALSE)="Sim",IF(tblHorasJun[Evento 
(1º Período)]&lt;&gt;"",IF(VLOOKUP(tblHorasJun[Evento 
(1º Período)],tblEvento[],Tabelas!$E$1,FALSE)="Sim",FALSE,TRUE),TRUE),IF(tblHorasJun[Evento 
(2º Período)]&lt;&gt;"",IF(VLOOKUP(tblHorasJun[Evento 
(2º Período)],tblEvento[],Tabelas!$E$1,FALSE)="Sim",FALSE,TRUE),TRUE)),
tblHorasJun[Horas Trabalhadas Além Jornada],""),"")</f>
        <v/>
      </c>
      <c r="S32" s="14" t="str">
        <f>IF(tblHorasJun[Horas Trabalhadas Além Jornada]&gt;0,
IF(OR(VLOOKUP(TEXT(tblHorasJun[Data],"dddd"),tblDiaUtil[],3,FALSE)="Não",IF(tblHorasJun[Evento 
(1º Período)]&lt;&gt;"",IF(VLOOKUP(tblHorasJun[Evento 
(1º Período)],tblEvento[],Tabelas!$E$1,FALSE)="Sim",TRUE,FALSE),FALSE),IF(tblHorasJun[Evento 
(2º Período)]&lt;&gt;"",IF(VLOOKUP(tblHorasJun[Evento 
(2º Período)],tblEvento[],Tabelas!$E$1,FALSE)="Sim",TRUE,FALSE),FALSE)),
tblHorasJun[Horas Trabalhadas Além Jornada],""),"")</f>
        <v/>
      </c>
      <c r="T32" s="15" t="str">
        <f>IF(tblHorasJun[Evento 
(1º Período)]&lt;&gt;""," - " &amp;VLOOKUP(tblHorasJun[Evento 
(1º Período)],tblEvento[],Tabelas!$F$1,FALSE),"")&amp;IF(AND(tblHorasJun[Evento 
(2º Período)]&lt;&gt;"",tblHorasJun[Evento 
(2º Período)]&lt;&gt;tblHorasJun[Evento 
(1º Período)])," - " &amp; VLOOKUP(tblHorasJun[Evento 
(2º Período)],tblEvento[],Tabelas!$F$1,FALSE),"")</f>
        <v/>
      </c>
    </row>
    <row r="33" spans="2:21" x14ac:dyDescent="0.25">
      <c r="B33" s="11" t="str">
        <f t="shared" si="0"/>
        <v/>
      </c>
      <c r="C33" s="12" t="str">
        <f>TEXT(tblHorasJun[Data],"ddd")</f>
        <v/>
      </c>
      <c r="D33" s="25"/>
      <c r="E33" s="1"/>
      <c r="F33" s="1"/>
      <c r="G33" s="1"/>
      <c r="H33" s="1"/>
      <c r="I33" s="53"/>
      <c r="J33" s="4">
        <f>IF($B$6&lt;&gt;"",
IF(AND(tblHorasJun[Evento 
(1º Período)]&lt;&gt;"",IF(ISERROR(VLOOKUP(tblHorasJun[Evento 
(1º Período)],tblEvento[],Tabelas!$D$1,FALSE)),FALSE,VLOOKUP(tblHorasJun[Evento 
(1º Período)],tblEvento[],Tabelas!$D$1,FALSE)="Sim")),
        IF(JORNADA_PERIODO_1&lt;&gt;"",
IF(VLOOKUP(tblHorasJun[Dia],tblDiaUtil[[Abreviatura]:[1º Período]],3,FALSE)&gt;0,VLOOKUP(tblHorasJun[Dia],tblDiaUtil[[Abreviatura]:[1º Período]],3,FALSE),JORNADA_PERIODO_1),
IF(VLOOKUP(tblHorasJun[Dia],tblDiaUtil[[Abreviatura]:[1º Período]],3,FALSE)&gt;0,VLOOKUP(tblHorasJun[Dia],tblDiaUtil[[Abreviatura]:[1º Período]],3,FALSE),JORNADA/2)),
        IF(AND(ISNUMBER(tblHorasJun[Saída - 1 (Almoço)]),ISNUMBER(tblHorasJun[Entrada - 1])),
              IF(OR(AND(tblHorasJun[Evento 
(1º Período)]&lt;&gt;"",IF(ISERROR(VLOOKUP(tblHorasJun[Evento 
(1º Período)],tblEvento[],Tabelas!$E$1,FALSE)),FALSE,VLOOKUP(tblHorasJun[Evento 
(1º Período)],tblEvento[],Tabelas!$E$1,FALSE)="Sim")),IF(VLOOKUP(TEXT(tblHorasJun[Data],"dddd"),tblDiaUtil[],2,FALSE)="Não",TRUE,FALSE)),
                   tblHorasJun[Saída - 1 (Almoço)]-tblHorasJun[Entrada - 1],
                   IF(OR(HOUR(tblHorasJun[Saída - 1 (Almoço)]-tblHorasJun[Entrada - 1])&gt;0,ROUND(tblHorasJun[Saída - 1 (Almoço)]-tblHorasJun[Entrada - 1],6)&gt;ROUND(CARENCIA,6)),
                          tblHorasJun[Saída - 1 (Almoço)]-tblHorasJun[Entrada - 1],
                          0)),
                    0)),0)</f>
        <v>0</v>
      </c>
      <c r="K33" s="4">
        <f>IF($B$6&lt;&gt;"",
IF(AND(tblHorasJun[Evento 
(2º Período)]&lt;&gt;"",IF(ISERROR(VLOOKUP(tblHorasJun[Evento 
(2º Período)],tblEvento[],Tabelas!$D$1,FALSE)),FALSE,VLOOKUP(tblHorasJun[Evento 
(2º Período)],tblEvento[],Tabelas!$D$1,FALSE)="Sim")),
        IF(JORNADA_PERIODO_2&lt;&gt;"",
IF(VLOOKUP(tblHorasJun[Dia],tblDiaUtil[[Abreviatura]:[2º Período]],4,FALSE)&gt;0,VLOOKUP(tblHorasJun[Dia],tblDiaUtil[[Abreviatura]:[2º Período]],4,FALSE),JORNADA_PERIODO_2),
IF(VLOOKUP(tblHorasJun[Dia],tblDiaUtil[[Abreviatura]:[2º Período]],4,FALSE)&gt;0,VLOOKUP(tblHorasJun[Dia],tblDiaUtil[[Abreviatura]:[2º Período]],4,FALSE),JORNADA/2)),
        IF(AND(ISNUMBER(tblHorasJun[Saída - 2]),ISNUMBER(tblHorasJun[Entrada - 2 (Almoço)])),
              IF(OR(AND(tblHorasJun[Evento 
(2º Período)]&lt;&gt;"",IF(ISERROR(VLOOKUP(tblHorasJun[Evento 
(2º Período)],tblEvento[],Tabelas!$E$1,FALSE)),FALSE,VLOOKUP(tblHorasJun[Evento 
(2º Período)],tblEvento[],Tabelas!$E$1,FALSE)="Sim")),IF(VLOOKUP(TEXT(tblHorasJun[Data],"dddd"),tblDiaUtil[],2,FALSE)="Não",TRUE,FALSE)),
                   tblHorasJun[Saída - 2]-tblHorasJun[Entrada - 2 (Almoço)],
                   IF(OR(HOUR(tblHorasJun[Saída - 2]-tblHorasJun[Entrada - 2 (Almoço)])&gt;0,MINUTE(tblHorasJun[Saída - 2]-tblHorasJun[Entrada - 2 (Almoço)])&gt;CARENCIA),
                         tblHorasJun[Saída - 2]-tblHorasJun[Entrada - 2 (Almoço)],
                         0)),
       0)),0)</f>
        <v>0</v>
      </c>
      <c r="L33" s="4">
        <f>tblHorasJun[Horas Trabalhadas (1º Período)]+tblHorasJun[Horas Trabalhadas (2º Período)]</f>
        <v>0</v>
      </c>
      <c r="M33" s="4" t="str">
        <f>IF(tblHorasJun[Data]&lt;&gt;"",
        IF(
AND(VLOOKUP(TEXT(tblHorasJun[Data],"dddd"),tblDiaUtil[],3,FALSE)="Sim",IF(tblHorasJun[Evento 
(1º Período)]&lt;&gt;"",IF(VLOOKUP(tblHorasJun[Evento 
(1º Período)],tblEvento[],Tabelas!$E$1,FALSE)="Sim",FALSE,TRUE),TRUE),IF(tblHorasJun[Evento 
(2º Período)]&lt;&gt;"",IF(VLOOKUP(tblHorasJun[Evento 
(2º Período)],tblEvento[],Tabelas!$E$1,FALSE)="Sim",FALSE,TRUE),TRUE)),
              IF(VLOOKUP(tblHorasJun[Dia],tblDiaUtil[[Abreviatura]:[1º Período]],3,FALSE)&gt;0,VLOOKUP(tblHorasJun[Dia],tblDiaUtil[[Abreviatura]:[1º Período]],3,FALSE),JORNADA),
              ""),
         "")</f>
        <v/>
      </c>
      <c r="N33" s="14">
        <f>IF(OR(tblHorasJun[Horas Trabalhadas (1º Período)]&lt;&gt;0,tblHorasJun[Horas Trabalhadas (2º Período)]&lt;&gt;0),
        IF(ISNUMBER(tblHorasJun[Jornada Diária]),
              IF(tblHorasJun[Jornada Diária]&gt;(tblHorasJun[Horas Trabalhadas (2º Período)]+tblHorasJun[Horas Trabalhadas (1º Período)]),
                     IF(ROUND((tblHorasJun[Jornada Diária]-(tblHorasJun[Horas Trabalhadas (2º Período)]+tblHorasJun[Horas Trabalhadas (1º Período)])),6)&gt;ROUND(CARENCIA,6),
                           -tblHorasJun[Jornada Diária]+(tblHorasJun[Horas Trabalhadas (2º Período)]+tblHorasJun[Horas Trabalhadas (1º Período)]),
                           0),
                      IF(ROUND((tblHorasJun[Jornada Diária]-(tblHorasJun[Horas Trabalhadas (2º Período)]+tblHorasJun[Horas Trabalhadas (1º Período)])),6)&lt;ROUND(-CARENCIA,6),
                           -tblHorasJun[Jornada Diária]+(tblHorasJun[Horas Trabalhadas (2º Período)]+tblHorasJun[Horas Trabalhadas (1º Período)]),
                           0)),
              tblHorasJun[Horas Trabalhadas (2º Período)]+tblHorasJun[Horas Trabalhadas (1º Período)]),
         IF(AND(IF(ISERROR(VLOOKUP(tblHorasJun[Evento 
(1º Período)],tblEvento[[Evento]:[Libera o Período]],4,FALSE)),FALSE,IF(VLOOKUP(tblHorasJun[Evento 
(1º Período)],tblEvento[[Evento]:[Libera o Período]],4,FALSE)="Não",TRUE,FALSE)),IF(ISERROR(VLOOKUP(tblHorasJun[Evento 
(2º Período)],tblEvento[[Evento]:[Libera o Período]],4,FALSE)),FALSE,IF(VLOOKUP(tblHorasJun[Evento 
(2º Período)],tblEvento[[Evento]:[Libera o Período]],4,FALSE)="Não",TRUE,FALSE))),
-IF(VLOOKUP(tblHorasJun[Dia],tblDiaUtil[[Abreviatura]:[Total Jornada]],5,FALSE)&lt;&gt;"",VLOOKUP(tblHorasJun[Dia],tblDiaUtil[[Abreviatura]:[Total Jornada]],5,FALSE),JORNADA),
IF(IF(ISERROR(VLOOKUP(tblHorasJun[Evento 
(1º Período)],tblEvento[[Evento]:[Libera o Período]],4,FALSE)),FALSE,
IF(VLOOKUP(tblHorasJun[Evento 
(1º Período)],tblEvento[[Evento]:[Libera o Período]],4,FALSE)="Não",TRUE,FALSE)
),
-IF(VLOOKUP(tblHorasJun[Dia],tblDiaUtil[[Abreviatura]:[1º Período]],3,FALSE)&lt;&gt;"",VLOOKUP(tblHorasJun[Dia],tblDiaUtil[[Abreviatura]:[1º Período]],3,FALSE),JORNADA_PERIODO_1),
IF(IF(ISERROR(VLOOKUP(tblHorasJun[Evento 
(2º Período)],tblEvento[[Evento]:[Libera o Período]],4,FALSE)),FALSE,IF(VLOOKUP(tblHorasJun[Evento 
(2º Período)],tblEvento[[Evento]:[Libera o Período]],4,FALSE)="Não",TRUE,FALSE)),
-IF(VLOOKUP(tblHorasJun[Dia],tblDiaUtil[[Abreviatura]:[2º Período]],4,FALSE)&lt;&gt;"",VLOOKUP(tblHorasJun[Dia],tblDiaUtil[[Abreviatura]:[2º Período]],4,FALSE),JORNADA_PERIODO_2),0))))</f>
        <v>0</v>
      </c>
      <c r="O33" s="14">
        <f>IF(tblHorasJun[Horas Trabalhadas Além Jornada]&gt;0,
        IF(ISNUMBER(tblHorasJun[Jornada Diária]),
              IF(HOUR(tblHorasJun[Horas Trabalhadas Além Jornada])&gt;=VLOOKUP(LIMITE,tblLimiteHora[],Tabelas!$I$1,FALSE),
                    VLOOKUP(LIMITE,tblLimiteHora[],Tabelas!$J$1,FALSE),
                    tblHorasJun[Horas Trabalhadas Além Jornada]),
              tblHorasJun[Horas Trabalhadas Além Jornada]),
        tblHorasJun[Horas Trabalhadas Além Jornada])+O32</f>
        <v>0</v>
      </c>
      <c r="P33" s="14" t="str">
        <f>IF(tblHorasJun[Horas Trabalhadas Além Jornada]&lt;0,IF(OR(tblHorasJun[Evento 
(1º Período)]="",tblHorasJun[Evento 
(2º Período)]=""),tblHorasJun[Horas Trabalhadas Além Jornada],""),"")</f>
        <v/>
      </c>
      <c r="Q33" s="14" t="str">
        <f>IF(tblHorasJun[Jornada Diária]&lt;&gt;"",IF((N(tblHorasJun[Jornada Diária])-ABS(N(tblHorasJun[Horas Trabalhadas Além Jornada])))=0,1,""),"")</f>
        <v/>
      </c>
      <c r="R33" s="14" t="str">
        <f>IF(tblHorasJun[Horas Trabalhadas Além Jornada]&gt;0,
IF(AND(VLOOKUP(TEXT(tblHorasJun[Data],"dddd"),tblDiaUtil[],3,FALSE)="Sim",IF(tblHorasJun[Evento 
(1º Período)]&lt;&gt;"",IF(VLOOKUP(tblHorasJun[Evento 
(1º Período)],tblEvento[],Tabelas!$E$1,FALSE)="Sim",FALSE,TRUE),TRUE),IF(tblHorasJun[Evento 
(2º Período)]&lt;&gt;"",IF(VLOOKUP(tblHorasJun[Evento 
(2º Período)],tblEvento[],Tabelas!$E$1,FALSE)="Sim",FALSE,TRUE),TRUE)),
tblHorasJun[Horas Trabalhadas Além Jornada],""),"")</f>
        <v/>
      </c>
      <c r="S33" s="14" t="str">
        <f>IF(tblHorasJun[Horas Trabalhadas Além Jornada]&gt;0,
IF(OR(VLOOKUP(TEXT(tblHorasJun[Data],"dddd"),tblDiaUtil[],3,FALSE)="Não",IF(tblHorasJun[Evento 
(1º Período)]&lt;&gt;"",IF(VLOOKUP(tblHorasJun[Evento 
(1º Período)],tblEvento[],Tabelas!$E$1,FALSE)="Sim",TRUE,FALSE),FALSE),IF(tblHorasJun[Evento 
(2º Período)]&lt;&gt;"",IF(VLOOKUP(tblHorasJun[Evento 
(2º Período)],tblEvento[],Tabelas!$E$1,FALSE)="Sim",TRUE,FALSE),FALSE)),
tblHorasJun[Horas Trabalhadas Além Jornada],""),"")</f>
        <v/>
      </c>
      <c r="T33" s="15" t="str">
        <f>IF(tblHorasJun[Evento 
(1º Período)]&lt;&gt;""," - " &amp;VLOOKUP(tblHorasJun[Evento 
(1º Período)],tblEvento[],Tabelas!$F$1,FALSE),"")&amp;IF(AND(tblHorasJun[Evento 
(2º Período)]&lt;&gt;"",tblHorasJun[Evento 
(2º Período)]&lt;&gt;tblHorasJun[Evento 
(1º Período)])," - " &amp; VLOOKUP(tblHorasJun[Evento 
(2º Período)],tblEvento[],Tabelas!$F$1,FALSE),"")</f>
        <v/>
      </c>
    </row>
    <row r="34" spans="2:21" x14ac:dyDescent="0.25">
      <c r="B34" s="11" t="str">
        <f t="shared" si="0"/>
        <v/>
      </c>
      <c r="C34" s="12" t="str">
        <f>TEXT(tblHorasJun[Data],"ddd")</f>
        <v/>
      </c>
      <c r="D34" s="25"/>
      <c r="E34" s="1"/>
      <c r="F34" s="1"/>
      <c r="G34" s="1"/>
      <c r="H34" s="1"/>
      <c r="I34" s="53"/>
      <c r="J34" s="4">
        <f>IF($B$6&lt;&gt;"",
IF(AND(tblHorasJun[Evento 
(1º Período)]&lt;&gt;"",IF(ISERROR(VLOOKUP(tblHorasJun[Evento 
(1º Período)],tblEvento[],Tabelas!$D$1,FALSE)),FALSE,VLOOKUP(tblHorasJun[Evento 
(1º Período)],tblEvento[],Tabelas!$D$1,FALSE)="Sim")),
        IF(JORNADA_PERIODO_1&lt;&gt;"",
IF(VLOOKUP(tblHorasJun[Dia],tblDiaUtil[[Abreviatura]:[1º Período]],3,FALSE)&gt;0,VLOOKUP(tblHorasJun[Dia],tblDiaUtil[[Abreviatura]:[1º Período]],3,FALSE),JORNADA_PERIODO_1),
IF(VLOOKUP(tblHorasJun[Dia],tblDiaUtil[[Abreviatura]:[1º Período]],3,FALSE)&gt;0,VLOOKUP(tblHorasJun[Dia],tblDiaUtil[[Abreviatura]:[1º Período]],3,FALSE),JORNADA/2)),
        IF(AND(ISNUMBER(tblHorasJun[Saída - 1 (Almoço)]),ISNUMBER(tblHorasJun[Entrada - 1])),
              IF(OR(AND(tblHorasJun[Evento 
(1º Período)]&lt;&gt;"",IF(ISERROR(VLOOKUP(tblHorasJun[Evento 
(1º Período)],tblEvento[],Tabelas!$E$1,FALSE)),FALSE,VLOOKUP(tblHorasJun[Evento 
(1º Período)],tblEvento[],Tabelas!$E$1,FALSE)="Sim")),IF(VLOOKUP(TEXT(tblHorasJun[Data],"dddd"),tblDiaUtil[],2,FALSE)="Não",TRUE,FALSE)),
                   tblHorasJun[Saída - 1 (Almoço)]-tblHorasJun[Entrada - 1],
                   IF(OR(HOUR(tblHorasJun[Saída - 1 (Almoço)]-tblHorasJun[Entrada - 1])&gt;0,ROUND(tblHorasJun[Saída - 1 (Almoço)]-tblHorasJun[Entrada - 1],6)&gt;ROUND(CARENCIA,6)),
                          tblHorasJun[Saída - 1 (Almoço)]-tblHorasJun[Entrada - 1],
                          0)),
                    0)),0)</f>
        <v>0</v>
      </c>
      <c r="K34" s="4">
        <f>IF($B$6&lt;&gt;"",
IF(AND(tblHorasJun[Evento 
(2º Período)]&lt;&gt;"",IF(ISERROR(VLOOKUP(tblHorasJun[Evento 
(2º Período)],tblEvento[],Tabelas!$D$1,FALSE)),FALSE,VLOOKUP(tblHorasJun[Evento 
(2º Período)],tblEvento[],Tabelas!$D$1,FALSE)="Sim")),
        IF(JORNADA_PERIODO_2&lt;&gt;"",
IF(VLOOKUP(tblHorasJun[Dia],tblDiaUtil[[Abreviatura]:[2º Período]],4,FALSE)&gt;0,VLOOKUP(tblHorasJun[Dia],tblDiaUtil[[Abreviatura]:[2º Período]],4,FALSE),JORNADA_PERIODO_2),
IF(VLOOKUP(tblHorasJun[Dia],tblDiaUtil[[Abreviatura]:[2º Período]],4,FALSE)&gt;0,VLOOKUP(tblHorasJun[Dia],tblDiaUtil[[Abreviatura]:[2º Período]],4,FALSE),JORNADA/2)),
        IF(AND(ISNUMBER(tblHorasJun[Saída - 2]),ISNUMBER(tblHorasJun[Entrada - 2 (Almoço)])),
              IF(OR(AND(tblHorasJun[Evento 
(2º Período)]&lt;&gt;"",IF(ISERROR(VLOOKUP(tblHorasJun[Evento 
(2º Período)],tblEvento[],Tabelas!$E$1,FALSE)),FALSE,VLOOKUP(tblHorasJun[Evento 
(2º Período)],tblEvento[],Tabelas!$E$1,FALSE)="Sim")),IF(VLOOKUP(TEXT(tblHorasJun[Data],"dddd"),tblDiaUtil[],2,FALSE)="Não",TRUE,FALSE)),
                   tblHorasJun[Saída - 2]-tblHorasJun[Entrada - 2 (Almoço)],
                   IF(OR(HOUR(tblHorasJun[Saída - 2]-tblHorasJun[Entrada - 2 (Almoço)])&gt;0,MINUTE(tblHorasJun[Saída - 2]-tblHorasJun[Entrada - 2 (Almoço)])&gt;CARENCIA),
                         tblHorasJun[Saída - 2]-tblHorasJun[Entrada - 2 (Almoço)],
                         0)),
       0)),0)</f>
        <v>0</v>
      </c>
      <c r="L34" s="4">
        <f>tblHorasJun[Horas Trabalhadas (1º Período)]+tblHorasJun[Horas Trabalhadas (2º Período)]</f>
        <v>0</v>
      </c>
      <c r="M34" s="4" t="str">
        <f>IF(tblHorasJun[Data]&lt;&gt;"",
        IF(
AND(VLOOKUP(TEXT(tblHorasJun[Data],"dddd"),tblDiaUtil[],3,FALSE)="Sim",IF(tblHorasJun[Evento 
(1º Período)]&lt;&gt;"",IF(VLOOKUP(tblHorasJun[Evento 
(1º Período)],tblEvento[],Tabelas!$E$1,FALSE)="Sim",FALSE,TRUE),TRUE),IF(tblHorasJun[Evento 
(2º Período)]&lt;&gt;"",IF(VLOOKUP(tblHorasJun[Evento 
(2º Período)],tblEvento[],Tabelas!$E$1,FALSE)="Sim",FALSE,TRUE),TRUE)),
              IF(VLOOKUP(tblHorasJun[Dia],tblDiaUtil[[Abreviatura]:[1º Período]],3,FALSE)&gt;0,VLOOKUP(tblHorasJun[Dia],tblDiaUtil[[Abreviatura]:[1º Período]],3,FALSE),JORNADA),
              ""),
         "")</f>
        <v/>
      </c>
      <c r="N34" s="14">
        <f>IF(OR(tblHorasJun[Horas Trabalhadas (1º Período)]&lt;&gt;0,tblHorasJun[Horas Trabalhadas (2º Período)]&lt;&gt;0),
        IF(ISNUMBER(tblHorasJun[Jornada Diária]),
              IF(tblHorasJun[Jornada Diária]&gt;(tblHorasJun[Horas Trabalhadas (2º Período)]+tblHorasJun[Horas Trabalhadas (1º Período)]),
                     IF(ROUND((tblHorasJun[Jornada Diária]-(tblHorasJun[Horas Trabalhadas (2º Período)]+tblHorasJun[Horas Trabalhadas (1º Período)])),6)&gt;ROUND(CARENCIA,6),
                           -tblHorasJun[Jornada Diária]+(tblHorasJun[Horas Trabalhadas (2º Período)]+tblHorasJun[Horas Trabalhadas (1º Período)]),
                           0),
                      IF(ROUND((tblHorasJun[Jornada Diária]-(tblHorasJun[Horas Trabalhadas (2º Período)]+tblHorasJun[Horas Trabalhadas (1º Período)])),6)&lt;ROUND(-CARENCIA,6),
                           -tblHorasJun[Jornada Diária]+(tblHorasJun[Horas Trabalhadas (2º Período)]+tblHorasJun[Horas Trabalhadas (1º Período)]),
                           0)),
              tblHorasJun[Horas Trabalhadas (2º Período)]+tblHorasJun[Horas Trabalhadas (1º Período)]),
         IF(AND(IF(ISERROR(VLOOKUP(tblHorasJun[Evento 
(1º Período)],tblEvento[[Evento]:[Libera o Período]],4,FALSE)),FALSE,IF(VLOOKUP(tblHorasJun[Evento 
(1º Período)],tblEvento[[Evento]:[Libera o Período]],4,FALSE)="Não",TRUE,FALSE)),IF(ISERROR(VLOOKUP(tblHorasJun[Evento 
(2º Período)],tblEvento[[Evento]:[Libera o Período]],4,FALSE)),FALSE,IF(VLOOKUP(tblHorasJun[Evento 
(2º Período)],tblEvento[[Evento]:[Libera o Período]],4,FALSE)="Não",TRUE,FALSE))),
-IF(VLOOKUP(tblHorasJun[Dia],tblDiaUtil[[Abreviatura]:[Total Jornada]],5,FALSE)&lt;&gt;"",VLOOKUP(tblHorasJun[Dia],tblDiaUtil[[Abreviatura]:[Total Jornada]],5,FALSE),JORNADA),
IF(IF(ISERROR(VLOOKUP(tblHorasJun[Evento 
(1º Período)],tblEvento[[Evento]:[Libera o Período]],4,FALSE)),FALSE,
IF(VLOOKUP(tblHorasJun[Evento 
(1º Período)],tblEvento[[Evento]:[Libera o Período]],4,FALSE)="Não",TRUE,FALSE)
),
-IF(VLOOKUP(tblHorasJun[Dia],tblDiaUtil[[Abreviatura]:[1º Período]],3,FALSE)&lt;&gt;"",VLOOKUP(tblHorasJun[Dia],tblDiaUtil[[Abreviatura]:[1º Período]],3,FALSE),JORNADA_PERIODO_1),
IF(IF(ISERROR(VLOOKUP(tblHorasJun[Evento 
(2º Período)],tblEvento[[Evento]:[Libera o Período]],4,FALSE)),FALSE,IF(VLOOKUP(tblHorasJun[Evento 
(2º Período)],tblEvento[[Evento]:[Libera o Período]],4,FALSE)="Não",TRUE,FALSE)),
-IF(VLOOKUP(tblHorasJun[Dia],tblDiaUtil[[Abreviatura]:[2º Período]],4,FALSE)&lt;&gt;"",VLOOKUP(tblHorasJun[Dia],tblDiaUtil[[Abreviatura]:[2º Período]],4,FALSE),JORNADA_PERIODO_2),0))))</f>
        <v>0</v>
      </c>
      <c r="O34" s="14">
        <f>IF(tblHorasJun[Horas Trabalhadas Além Jornada]&gt;0,
        IF(ISNUMBER(tblHorasJun[Jornada Diária]),
              IF(HOUR(tblHorasJun[Horas Trabalhadas Além Jornada])&gt;=VLOOKUP(LIMITE,tblLimiteHora[],Tabelas!$I$1,FALSE),
                    VLOOKUP(LIMITE,tblLimiteHora[],Tabelas!$J$1,FALSE),
                    tblHorasJun[Horas Trabalhadas Além Jornada]),
              tblHorasJun[Horas Trabalhadas Além Jornada]),
        tblHorasJun[Horas Trabalhadas Além Jornada])+O33</f>
        <v>0</v>
      </c>
      <c r="P34" s="14" t="str">
        <f>IF(tblHorasJun[Horas Trabalhadas Além Jornada]&lt;0,IF(OR(tblHorasJun[Evento 
(1º Período)]="",tblHorasJun[Evento 
(2º Período)]=""),tblHorasJun[Horas Trabalhadas Além Jornada],""),"")</f>
        <v/>
      </c>
      <c r="Q34" s="14" t="str">
        <f>IF(tblHorasJun[Jornada Diária]&lt;&gt;"",IF((N(tblHorasJun[Jornada Diária])-ABS(N(tblHorasJun[Horas Trabalhadas Além Jornada])))=0,1,""),"")</f>
        <v/>
      </c>
      <c r="R34" s="14" t="str">
        <f>IF(tblHorasJun[Horas Trabalhadas Além Jornada]&gt;0,
IF(AND(VLOOKUP(TEXT(tblHorasJun[Data],"dddd"),tblDiaUtil[],3,FALSE)="Sim",IF(tblHorasJun[Evento 
(1º Período)]&lt;&gt;"",IF(VLOOKUP(tblHorasJun[Evento 
(1º Período)],tblEvento[],Tabelas!$E$1,FALSE)="Sim",FALSE,TRUE),TRUE),IF(tblHorasJun[Evento 
(2º Período)]&lt;&gt;"",IF(VLOOKUP(tblHorasJun[Evento 
(2º Período)],tblEvento[],Tabelas!$E$1,FALSE)="Sim",FALSE,TRUE),TRUE)),
tblHorasJun[Horas Trabalhadas Além Jornada],""),"")</f>
        <v/>
      </c>
      <c r="S34" s="14" t="str">
        <f>IF(tblHorasJun[Horas Trabalhadas Além Jornada]&gt;0,
IF(OR(VLOOKUP(TEXT(tblHorasJun[Data],"dddd"),tblDiaUtil[],3,FALSE)="Não",IF(tblHorasJun[Evento 
(1º Período)]&lt;&gt;"",IF(VLOOKUP(tblHorasJun[Evento 
(1º Período)],tblEvento[],Tabelas!$E$1,FALSE)="Sim",TRUE,FALSE),FALSE),IF(tblHorasJun[Evento 
(2º Período)]&lt;&gt;"",IF(VLOOKUP(tblHorasJun[Evento 
(2º Período)],tblEvento[],Tabelas!$E$1,FALSE)="Sim",TRUE,FALSE),FALSE)),
tblHorasJun[Horas Trabalhadas Além Jornada],""),"")</f>
        <v/>
      </c>
      <c r="T34" s="15" t="str">
        <f>IF(tblHorasJun[Evento 
(1º Período)]&lt;&gt;""," - " &amp;VLOOKUP(tblHorasJun[Evento 
(1º Período)],tblEvento[],Tabelas!$F$1,FALSE),"")&amp;IF(AND(tblHorasJun[Evento 
(2º Período)]&lt;&gt;"",tblHorasJun[Evento 
(2º Período)]&lt;&gt;tblHorasJun[Evento 
(1º Período)])," - " &amp; VLOOKUP(tblHorasJun[Evento 
(2º Período)],tblEvento[],Tabelas!$F$1,FALSE),"")</f>
        <v/>
      </c>
    </row>
    <row r="35" spans="2:21" x14ac:dyDescent="0.25">
      <c r="B35" s="11" t="str">
        <f t="shared" si="0"/>
        <v/>
      </c>
      <c r="C35" s="12" t="str">
        <f>TEXT(tblHorasJun[Data],"ddd")</f>
        <v/>
      </c>
      <c r="D35" s="25"/>
      <c r="E35" s="1"/>
      <c r="F35" s="1"/>
      <c r="G35" s="1"/>
      <c r="H35" s="1"/>
      <c r="I35" s="53"/>
      <c r="J35" s="4">
        <f>IF($B$6&lt;&gt;"",
IF(AND(tblHorasJun[Evento 
(1º Período)]&lt;&gt;"",IF(ISERROR(VLOOKUP(tblHorasJun[Evento 
(1º Período)],tblEvento[],Tabelas!$D$1,FALSE)),FALSE,VLOOKUP(tblHorasJun[Evento 
(1º Período)],tblEvento[],Tabelas!$D$1,FALSE)="Sim")),
        IF(JORNADA_PERIODO_1&lt;&gt;"",
IF(VLOOKUP(tblHorasJun[Dia],tblDiaUtil[[Abreviatura]:[1º Período]],3,FALSE)&gt;0,VLOOKUP(tblHorasJun[Dia],tblDiaUtil[[Abreviatura]:[1º Período]],3,FALSE),JORNADA_PERIODO_1),
IF(VLOOKUP(tblHorasJun[Dia],tblDiaUtil[[Abreviatura]:[1º Período]],3,FALSE)&gt;0,VLOOKUP(tblHorasJun[Dia],tblDiaUtil[[Abreviatura]:[1º Período]],3,FALSE),JORNADA/2)),
        IF(AND(ISNUMBER(tblHorasJun[Saída - 1 (Almoço)]),ISNUMBER(tblHorasJun[Entrada - 1])),
              IF(OR(AND(tblHorasJun[Evento 
(1º Período)]&lt;&gt;"",IF(ISERROR(VLOOKUP(tblHorasJun[Evento 
(1º Período)],tblEvento[],Tabelas!$E$1,FALSE)),FALSE,VLOOKUP(tblHorasJun[Evento 
(1º Período)],tblEvento[],Tabelas!$E$1,FALSE)="Sim")),IF(VLOOKUP(TEXT(tblHorasJun[Data],"dddd"),tblDiaUtil[],2,FALSE)="Não",TRUE,FALSE)),
                   tblHorasJun[Saída - 1 (Almoço)]-tblHorasJun[Entrada - 1],
                   IF(OR(HOUR(tblHorasJun[Saída - 1 (Almoço)]-tblHorasJun[Entrada - 1])&gt;0,ROUND(tblHorasJun[Saída - 1 (Almoço)]-tblHorasJun[Entrada - 1],6)&gt;ROUND(CARENCIA,6)),
                          tblHorasJun[Saída - 1 (Almoço)]-tblHorasJun[Entrada - 1],
                          0)),
                    0)),0)</f>
        <v>0</v>
      </c>
      <c r="K35" s="4">
        <f>IF($B$6&lt;&gt;"",
IF(AND(tblHorasJun[Evento 
(2º Período)]&lt;&gt;"",IF(ISERROR(VLOOKUP(tblHorasJun[Evento 
(2º Período)],tblEvento[],Tabelas!$D$1,FALSE)),FALSE,VLOOKUP(tblHorasJun[Evento 
(2º Período)],tblEvento[],Tabelas!$D$1,FALSE)="Sim")),
        IF(JORNADA_PERIODO_2&lt;&gt;"",
IF(VLOOKUP(tblHorasJun[Dia],tblDiaUtil[[Abreviatura]:[2º Período]],4,FALSE)&gt;0,VLOOKUP(tblHorasJun[Dia],tblDiaUtil[[Abreviatura]:[2º Período]],4,FALSE),JORNADA_PERIODO_2),
IF(VLOOKUP(tblHorasJun[Dia],tblDiaUtil[[Abreviatura]:[2º Período]],4,FALSE)&gt;0,VLOOKUP(tblHorasJun[Dia],tblDiaUtil[[Abreviatura]:[2º Período]],4,FALSE),JORNADA/2)),
        IF(AND(ISNUMBER(tblHorasJun[Saída - 2]),ISNUMBER(tblHorasJun[Entrada - 2 (Almoço)])),
              IF(OR(AND(tblHorasJun[Evento 
(2º Período)]&lt;&gt;"",IF(ISERROR(VLOOKUP(tblHorasJun[Evento 
(2º Período)],tblEvento[],Tabelas!$E$1,FALSE)),FALSE,VLOOKUP(tblHorasJun[Evento 
(2º Período)],tblEvento[],Tabelas!$E$1,FALSE)="Sim")),IF(VLOOKUP(TEXT(tblHorasJun[Data],"dddd"),tblDiaUtil[],2,FALSE)="Não",TRUE,FALSE)),
                   tblHorasJun[Saída - 2]-tblHorasJun[Entrada - 2 (Almoço)],
                   IF(OR(HOUR(tblHorasJun[Saída - 2]-tblHorasJun[Entrada - 2 (Almoço)])&gt;0,MINUTE(tblHorasJun[Saída - 2]-tblHorasJun[Entrada - 2 (Almoço)])&gt;CARENCIA),
                         tblHorasJun[Saída - 2]-tblHorasJun[Entrada - 2 (Almoço)],
                         0)),
       0)),0)</f>
        <v>0</v>
      </c>
      <c r="L35" s="4">
        <f>tblHorasJun[Horas Trabalhadas (1º Período)]+tblHorasJun[Horas Trabalhadas (2º Período)]</f>
        <v>0</v>
      </c>
      <c r="M35" s="4" t="str">
        <f>IF(tblHorasJun[Data]&lt;&gt;"",
        IF(
AND(VLOOKUP(TEXT(tblHorasJun[Data],"dddd"),tblDiaUtil[],3,FALSE)="Sim",IF(tblHorasJun[Evento 
(1º Período)]&lt;&gt;"",IF(VLOOKUP(tblHorasJun[Evento 
(1º Período)],tblEvento[],Tabelas!$E$1,FALSE)="Sim",FALSE,TRUE),TRUE),IF(tblHorasJun[Evento 
(2º Período)]&lt;&gt;"",IF(VLOOKUP(tblHorasJun[Evento 
(2º Período)],tblEvento[],Tabelas!$E$1,FALSE)="Sim",FALSE,TRUE),TRUE)),
              IF(VLOOKUP(tblHorasJun[Dia],tblDiaUtil[[Abreviatura]:[1º Período]],3,FALSE)&gt;0,VLOOKUP(tblHorasJun[Dia],tblDiaUtil[[Abreviatura]:[1º Período]],3,FALSE),JORNADA),
              ""),
         "")</f>
        <v/>
      </c>
      <c r="N35" s="14">
        <f>IF(OR(tblHorasJun[Horas Trabalhadas (1º Período)]&lt;&gt;0,tblHorasJun[Horas Trabalhadas (2º Período)]&lt;&gt;0),
        IF(ISNUMBER(tblHorasJun[Jornada Diária]),
              IF(tblHorasJun[Jornada Diária]&gt;(tblHorasJun[Horas Trabalhadas (2º Período)]+tblHorasJun[Horas Trabalhadas (1º Período)]),
                     IF(ROUND((tblHorasJun[Jornada Diária]-(tblHorasJun[Horas Trabalhadas (2º Período)]+tblHorasJun[Horas Trabalhadas (1º Período)])),6)&gt;ROUND(CARENCIA,6),
                           -tblHorasJun[Jornada Diária]+(tblHorasJun[Horas Trabalhadas (2º Período)]+tblHorasJun[Horas Trabalhadas (1º Período)]),
                           0),
                      IF(ROUND((tblHorasJun[Jornada Diária]-(tblHorasJun[Horas Trabalhadas (2º Período)]+tblHorasJun[Horas Trabalhadas (1º Período)])),6)&lt;ROUND(-CARENCIA,6),
                           -tblHorasJun[Jornada Diária]+(tblHorasJun[Horas Trabalhadas (2º Período)]+tblHorasJun[Horas Trabalhadas (1º Período)]),
                           0)),
              tblHorasJun[Horas Trabalhadas (2º Período)]+tblHorasJun[Horas Trabalhadas (1º Período)]),
         IF(AND(IF(ISERROR(VLOOKUP(tblHorasJun[Evento 
(1º Período)],tblEvento[[Evento]:[Libera o Período]],4,FALSE)),FALSE,IF(VLOOKUP(tblHorasJun[Evento 
(1º Período)],tblEvento[[Evento]:[Libera o Período]],4,FALSE)="Não",TRUE,FALSE)),IF(ISERROR(VLOOKUP(tblHorasJun[Evento 
(2º Período)],tblEvento[[Evento]:[Libera o Período]],4,FALSE)),FALSE,IF(VLOOKUP(tblHorasJun[Evento 
(2º Período)],tblEvento[[Evento]:[Libera o Período]],4,FALSE)="Não",TRUE,FALSE))),
-IF(VLOOKUP(tblHorasJun[Dia],tblDiaUtil[[Abreviatura]:[Total Jornada]],5,FALSE)&lt;&gt;"",VLOOKUP(tblHorasJun[Dia],tblDiaUtil[[Abreviatura]:[Total Jornada]],5,FALSE),JORNADA),
IF(IF(ISERROR(VLOOKUP(tblHorasJun[Evento 
(1º Período)],tblEvento[[Evento]:[Libera o Período]],4,FALSE)),FALSE,
IF(VLOOKUP(tblHorasJun[Evento 
(1º Período)],tblEvento[[Evento]:[Libera o Período]],4,FALSE)="Não",TRUE,FALSE)
),
-IF(VLOOKUP(tblHorasJun[Dia],tblDiaUtil[[Abreviatura]:[1º Período]],3,FALSE)&lt;&gt;"",VLOOKUP(tblHorasJun[Dia],tblDiaUtil[[Abreviatura]:[1º Período]],3,FALSE),JORNADA_PERIODO_1),
IF(IF(ISERROR(VLOOKUP(tblHorasJun[Evento 
(2º Período)],tblEvento[[Evento]:[Libera o Período]],4,FALSE)),FALSE,IF(VLOOKUP(tblHorasJun[Evento 
(2º Período)],tblEvento[[Evento]:[Libera o Período]],4,FALSE)="Não",TRUE,FALSE)),
-IF(VLOOKUP(tblHorasJun[Dia],tblDiaUtil[[Abreviatura]:[2º Período]],4,FALSE)&lt;&gt;"",VLOOKUP(tblHorasJun[Dia],tblDiaUtil[[Abreviatura]:[2º Período]],4,FALSE),JORNADA_PERIODO_2),0))))</f>
        <v>0</v>
      </c>
      <c r="O35" s="14">
        <f>IF(tblHorasJun[Horas Trabalhadas Além Jornada]&gt;0,
        IF(ISNUMBER(tblHorasJun[Jornada Diária]),
              IF(HOUR(tblHorasJun[Horas Trabalhadas Além Jornada])&gt;=VLOOKUP(LIMITE,tblLimiteHora[],Tabelas!$I$1,FALSE),
                    VLOOKUP(LIMITE,tblLimiteHora[],Tabelas!$J$1,FALSE),
                    tblHorasJun[Horas Trabalhadas Além Jornada]),
              tblHorasJun[Horas Trabalhadas Além Jornada]),
        tblHorasJun[Horas Trabalhadas Além Jornada])+O34</f>
        <v>0</v>
      </c>
      <c r="P35" s="14" t="str">
        <f>IF(tblHorasJun[Horas Trabalhadas Além Jornada]&lt;0,IF(OR(tblHorasJun[Evento 
(1º Período)]="",tblHorasJun[Evento 
(2º Período)]=""),tblHorasJun[Horas Trabalhadas Além Jornada],""),"")</f>
        <v/>
      </c>
      <c r="Q35" s="14" t="str">
        <f>IF(tblHorasJun[Jornada Diária]&lt;&gt;"",IF((N(tblHorasJun[Jornada Diária])-ABS(N(tblHorasJun[Horas Trabalhadas Além Jornada])))=0,1,""),"")</f>
        <v/>
      </c>
      <c r="R35" s="14" t="str">
        <f>IF(tblHorasJun[Horas Trabalhadas Além Jornada]&gt;0,
IF(AND(VLOOKUP(TEXT(tblHorasJun[Data],"dddd"),tblDiaUtil[],3,FALSE)="Sim",IF(tblHorasJun[Evento 
(1º Período)]&lt;&gt;"",IF(VLOOKUP(tblHorasJun[Evento 
(1º Período)],tblEvento[],Tabelas!$E$1,FALSE)="Sim",FALSE,TRUE),TRUE),IF(tblHorasJun[Evento 
(2º Período)]&lt;&gt;"",IF(VLOOKUP(tblHorasJun[Evento 
(2º Período)],tblEvento[],Tabelas!$E$1,FALSE)="Sim",FALSE,TRUE),TRUE)),
tblHorasJun[Horas Trabalhadas Além Jornada],""),"")</f>
        <v/>
      </c>
      <c r="S35" s="14" t="str">
        <f>IF(tblHorasJun[Horas Trabalhadas Além Jornada]&gt;0,
IF(OR(VLOOKUP(TEXT(tblHorasJun[Data],"dddd"),tblDiaUtil[],3,FALSE)="Não",IF(tblHorasJun[Evento 
(1º Período)]&lt;&gt;"",IF(VLOOKUP(tblHorasJun[Evento 
(1º Período)],tblEvento[],Tabelas!$E$1,FALSE)="Sim",TRUE,FALSE),FALSE),IF(tblHorasJun[Evento 
(2º Período)]&lt;&gt;"",IF(VLOOKUP(tblHorasJun[Evento 
(2º Período)],tblEvento[],Tabelas!$E$1,FALSE)="Sim",TRUE,FALSE),FALSE)),
tblHorasJun[Horas Trabalhadas Além Jornada],""),"")</f>
        <v/>
      </c>
      <c r="T35" s="15" t="str">
        <f>IF(tblHorasJun[Evento 
(1º Período)]&lt;&gt;""," - " &amp;VLOOKUP(tblHorasJun[Evento 
(1º Período)],tblEvento[],Tabelas!$F$1,FALSE),"")&amp;IF(AND(tblHorasJun[Evento 
(2º Período)]&lt;&gt;"",tblHorasJun[Evento 
(2º Período)]&lt;&gt;tblHorasJun[Evento 
(1º Período)])," - " &amp; VLOOKUP(tblHorasJun[Evento 
(2º Período)],tblEvento[],Tabelas!$F$1,FALSE),"")</f>
        <v/>
      </c>
    </row>
    <row r="36" spans="2:21" x14ac:dyDescent="0.25">
      <c r="B36" s="11" t="str">
        <f t="shared" si="0"/>
        <v/>
      </c>
      <c r="C36" s="12" t="str">
        <f>TEXT(tblHorasJun[Data],"ddd")</f>
        <v/>
      </c>
      <c r="D36" s="25"/>
      <c r="E36" s="1"/>
      <c r="F36" s="1"/>
      <c r="G36" s="1"/>
      <c r="H36" s="1"/>
      <c r="I36" s="53"/>
      <c r="J36" s="4">
        <f>IF($B$6&lt;&gt;"",
IF(AND(tblHorasJun[Evento 
(1º Período)]&lt;&gt;"",IF(ISERROR(VLOOKUP(tblHorasJun[Evento 
(1º Período)],tblEvento[],Tabelas!$D$1,FALSE)),FALSE,VLOOKUP(tblHorasJun[Evento 
(1º Período)],tblEvento[],Tabelas!$D$1,FALSE)="Sim")),
        IF(JORNADA_PERIODO_1&lt;&gt;"",
IF(VLOOKUP(tblHorasJun[Dia],tblDiaUtil[[Abreviatura]:[1º Período]],3,FALSE)&gt;0,VLOOKUP(tblHorasJun[Dia],tblDiaUtil[[Abreviatura]:[1º Período]],3,FALSE),JORNADA_PERIODO_1),
IF(VLOOKUP(tblHorasJun[Dia],tblDiaUtil[[Abreviatura]:[1º Período]],3,FALSE)&gt;0,VLOOKUP(tblHorasJun[Dia],tblDiaUtil[[Abreviatura]:[1º Período]],3,FALSE),JORNADA/2)),
        IF(AND(ISNUMBER(tblHorasJun[Saída - 1 (Almoço)]),ISNUMBER(tblHorasJun[Entrada - 1])),
              IF(OR(AND(tblHorasJun[Evento 
(1º Período)]&lt;&gt;"",IF(ISERROR(VLOOKUP(tblHorasJun[Evento 
(1º Período)],tblEvento[],Tabelas!$E$1,FALSE)),FALSE,VLOOKUP(tblHorasJun[Evento 
(1º Período)],tblEvento[],Tabelas!$E$1,FALSE)="Sim")),IF(VLOOKUP(TEXT(tblHorasJun[Data],"dddd"),tblDiaUtil[],2,FALSE)="Não",TRUE,FALSE)),
                   tblHorasJun[Saída - 1 (Almoço)]-tblHorasJun[Entrada - 1],
                   IF(OR(HOUR(tblHorasJun[Saída - 1 (Almoço)]-tblHorasJun[Entrada - 1])&gt;0,ROUND(tblHorasJun[Saída - 1 (Almoço)]-tblHorasJun[Entrada - 1],6)&gt;ROUND(CARENCIA,6)),
                          tblHorasJun[Saída - 1 (Almoço)]-tblHorasJun[Entrada - 1],
                          0)),
                    0)),0)</f>
        <v>0</v>
      </c>
      <c r="K36" s="4">
        <f>IF($B$6&lt;&gt;"",
IF(AND(tblHorasJun[Evento 
(2º Período)]&lt;&gt;"",IF(ISERROR(VLOOKUP(tblHorasJun[Evento 
(2º Período)],tblEvento[],Tabelas!$D$1,FALSE)),FALSE,VLOOKUP(tblHorasJun[Evento 
(2º Período)],tblEvento[],Tabelas!$D$1,FALSE)="Sim")),
        IF(JORNADA_PERIODO_2&lt;&gt;"",
IF(VLOOKUP(tblHorasJun[Dia],tblDiaUtil[[Abreviatura]:[2º Período]],4,FALSE)&gt;0,VLOOKUP(tblHorasJun[Dia],tblDiaUtil[[Abreviatura]:[2º Período]],4,FALSE),JORNADA_PERIODO_2),
IF(VLOOKUP(tblHorasJun[Dia],tblDiaUtil[[Abreviatura]:[2º Período]],4,FALSE)&gt;0,VLOOKUP(tblHorasJun[Dia],tblDiaUtil[[Abreviatura]:[2º Período]],4,FALSE),JORNADA/2)),
        IF(AND(ISNUMBER(tblHorasJun[Saída - 2]),ISNUMBER(tblHorasJun[Entrada - 2 (Almoço)])),
              IF(OR(AND(tblHorasJun[Evento 
(2º Período)]&lt;&gt;"",IF(ISERROR(VLOOKUP(tblHorasJun[Evento 
(2º Período)],tblEvento[],Tabelas!$E$1,FALSE)),FALSE,VLOOKUP(tblHorasJun[Evento 
(2º Período)],tblEvento[],Tabelas!$E$1,FALSE)="Sim")),IF(VLOOKUP(TEXT(tblHorasJun[Data],"dddd"),tblDiaUtil[],2,FALSE)="Não",TRUE,FALSE)),
                   tblHorasJun[Saída - 2]-tblHorasJun[Entrada - 2 (Almoço)],
                   IF(OR(HOUR(tblHorasJun[Saída - 2]-tblHorasJun[Entrada - 2 (Almoço)])&gt;0,MINUTE(tblHorasJun[Saída - 2]-tblHorasJun[Entrada - 2 (Almoço)])&gt;CARENCIA),
                         tblHorasJun[Saída - 2]-tblHorasJun[Entrada - 2 (Almoço)],
                         0)),
       0)),0)</f>
        <v>0</v>
      </c>
      <c r="L36" s="4">
        <f>tblHorasJun[Horas Trabalhadas (1º Período)]+tblHorasJun[Horas Trabalhadas (2º Período)]</f>
        <v>0</v>
      </c>
      <c r="M36" s="4" t="str">
        <f>IF(tblHorasJun[Data]&lt;&gt;"",
        IF(
AND(VLOOKUP(TEXT(tblHorasJun[Data],"dddd"),tblDiaUtil[],3,FALSE)="Sim",IF(tblHorasJun[Evento 
(1º Período)]&lt;&gt;"",IF(VLOOKUP(tblHorasJun[Evento 
(1º Período)],tblEvento[],Tabelas!$E$1,FALSE)="Sim",FALSE,TRUE),TRUE),IF(tblHorasJun[Evento 
(2º Período)]&lt;&gt;"",IF(VLOOKUP(tblHorasJun[Evento 
(2º Período)],tblEvento[],Tabelas!$E$1,FALSE)="Sim",FALSE,TRUE),TRUE)),
              IF(VLOOKUP(tblHorasJun[Dia],tblDiaUtil[[Abreviatura]:[1º Período]],3,FALSE)&gt;0,VLOOKUP(tblHorasJun[Dia],tblDiaUtil[[Abreviatura]:[1º Período]],3,FALSE),JORNADA),
              ""),
         "")</f>
        <v/>
      </c>
      <c r="N36" s="14">
        <f>IF(OR(tblHorasJun[Horas Trabalhadas (1º Período)]&lt;&gt;0,tblHorasJun[Horas Trabalhadas (2º Período)]&lt;&gt;0),
        IF(ISNUMBER(tblHorasJun[Jornada Diária]),
              IF(tblHorasJun[Jornada Diária]&gt;(tblHorasJun[Horas Trabalhadas (2º Período)]+tblHorasJun[Horas Trabalhadas (1º Período)]),
                     IF(ROUND((tblHorasJun[Jornada Diária]-(tblHorasJun[Horas Trabalhadas (2º Período)]+tblHorasJun[Horas Trabalhadas (1º Período)])),6)&gt;ROUND(CARENCIA,6),
                           -tblHorasJun[Jornada Diária]+(tblHorasJun[Horas Trabalhadas (2º Período)]+tblHorasJun[Horas Trabalhadas (1º Período)]),
                           0),
                      IF(ROUND((tblHorasJun[Jornada Diária]-(tblHorasJun[Horas Trabalhadas (2º Período)]+tblHorasJun[Horas Trabalhadas (1º Período)])),6)&lt;ROUND(-CARENCIA,6),
                           -tblHorasJun[Jornada Diária]+(tblHorasJun[Horas Trabalhadas (2º Período)]+tblHorasJun[Horas Trabalhadas (1º Período)]),
                           0)),
              tblHorasJun[Horas Trabalhadas (2º Período)]+tblHorasJun[Horas Trabalhadas (1º Período)]),
         IF(AND(IF(ISERROR(VLOOKUP(tblHorasJun[Evento 
(1º Período)],tblEvento[[Evento]:[Libera o Período]],4,FALSE)),FALSE,IF(VLOOKUP(tblHorasJun[Evento 
(1º Período)],tblEvento[[Evento]:[Libera o Período]],4,FALSE)="Não",TRUE,FALSE)),IF(ISERROR(VLOOKUP(tblHorasJun[Evento 
(2º Período)],tblEvento[[Evento]:[Libera o Período]],4,FALSE)),FALSE,IF(VLOOKUP(tblHorasJun[Evento 
(2º Período)],tblEvento[[Evento]:[Libera o Período]],4,FALSE)="Não",TRUE,FALSE))),
-IF(VLOOKUP(tblHorasJun[Dia],tblDiaUtil[[Abreviatura]:[Total Jornada]],5,FALSE)&lt;&gt;"",VLOOKUP(tblHorasJun[Dia],tblDiaUtil[[Abreviatura]:[Total Jornada]],5,FALSE),JORNADA),
IF(IF(ISERROR(VLOOKUP(tblHorasJun[Evento 
(1º Período)],tblEvento[[Evento]:[Libera o Período]],4,FALSE)),FALSE,
IF(VLOOKUP(tblHorasJun[Evento 
(1º Período)],tblEvento[[Evento]:[Libera o Período]],4,FALSE)="Não",TRUE,FALSE)
),
-IF(VLOOKUP(tblHorasJun[Dia],tblDiaUtil[[Abreviatura]:[1º Período]],3,FALSE)&lt;&gt;"",VLOOKUP(tblHorasJun[Dia],tblDiaUtil[[Abreviatura]:[1º Período]],3,FALSE),JORNADA_PERIODO_1),
IF(IF(ISERROR(VLOOKUP(tblHorasJun[Evento 
(2º Período)],tblEvento[[Evento]:[Libera o Período]],4,FALSE)),FALSE,IF(VLOOKUP(tblHorasJun[Evento 
(2º Período)],tblEvento[[Evento]:[Libera o Período]],4,FALSE)="Não",TRUE,FALSE)),
-IF(VLOOKUP(tblHorasJun[Dia],tblDiaUtil[[Abreviatura]:[2º Período]],4,FALSE)&lt;&gt;"",VLOOKUP(tblHorasJun[Dia],tblDiaUtil[[Abreviatura]:[2º Período]],4,FALSE),JORNADA_PERIODO_2),0))))</f>
        <v>0</v>
      </c>
      <c r="O36" s="14">
        <f>IF(tblHorasJun[Horas Trabalhadas Além Jornada]&gt;0,
        IF(ISNUMBER(tblHorasJun[Jornada Diária]),
              IF(HOUR(tblHorasJun[Horas Trabalhadas Além Jornada])&gt;=VLOOKUP(LIMITE,tblLimiteHora[],Tabelas!$I$1,FALSE),
                    VLOOKUP(LIMITE,tblLimiteHora[],Tabelas!$J$1,FALSE),
                    tblHorasJun[Horas Trabalhadas Além Jornada]),
              tblHorasJun[Horas Trabalhadas Além Jornada]),
        tblHorasJun[Horas Trabalhadas Além Jornada])+O35</f>
        <v>0</v>
      </c>
      <c r="P36" s="14" t="str">
        <f>IF(tblHorasJun[Horas Trabalhadas Além Jornada]&lt;0,IF(OR(tblHorasJun[Evento 
(1º Período)]="",tblHorasJun[Evento 
(2º Período)]=""),tblHorasJun[Horas Trabalhadas Além Jornada],""),"")</f>
        <v/>
      </c>
      <c r="Q36" s="14" t="str">
        <f>IF(tblHorasJun[Jornada Diária]&lt;&gt;"",IF((N(tblHorasJun[Jornada Diária])-ABS(N(tblHorasJun[Horas Trabalhadas Além Jornada])))=0,1,""),"")</f>
        <v/>
      </c>
      <c r="R36" s="14" t="str">
        <f>IF(tblHorasJun[Horas Trabalhadas Além Jornada]&gt;0,
IF(AND(VLOOKUP(TEXT(tblHorasJun[Data],"dddd"),tblDiaUtil[],3,FALSE)="Sim",IF(tblHorasJun[Evento 
(1º Período)]&lt;&gt;"",IF(VLOOKUP(tblHorasJun[Evento 
(1º Período)],tblEvento[],Tabelas!$E$1,FALSE)="Sim",FALSE,TRUE),TRUE),IF(tblHorasJun[Evento 
(2º Período)]&lt;&gt;"",IF(VLOOKUP(tblHorasJun[Evento 
(2º Período)],tblEvento[],Tabelas!$E$1,FALSE)="Sim",FALSE,TRUE),TRUE)),
tblHorasJun[Horas Trabalhadas Além Jornada],""),"")</f>
        <v/>
      </c>
      <c r="S36" s="14" t="str">
        <f>IF(tblHorasJun[Horas Trabalhadas Além Jornada]&gt;0,
IF(OR(VLOOKUP(TEXT(tblHorasJun[Data],"dddd"),tblDiaUtil[],3,FALSE)="Não",IF(tblHorasJun[Evento 
(1º Período)]&lt;&gt;"",IF(VLOOKUP(tblHorasJun[Evento 
(1º Período)],tblEvento[],Tabelas!$E$1,FALSE)="Sim",TRUE,FALSE),FALSE),IF(tblHorasJun[Evento 
(2º Período)]&lt;&gt;"",IF(VLOOKUP(tblHorasJun[Evento 
(2º Período)],tblEvento[],Tabelas!$E$1,FALSE)="Sim",TRUE,FALSE),FALSE)),
tblHorasJun[Horas Trabalhadas Além Jornada],""),"")</f>
        <v/>
      </c>
      <c r="T36" s="15" t="str">
        <f>IF(tblHorasJun[Evento 
(1º Período)]&lt;&gt;""," - " &amp;VLOOKUP(tblHorasJun[Evento 
(1º Período)],tblEvento[],Tabelas!$F$1,FALSE),"")&amp;IF(AND(tblHorasJun[Evento 
(2º Período)]&lt;&gt;"",tblHorasJun[Evento 
(2º Período)]&lt;&gt;tblHorasJun[Evento 
(1º Período)])," - " &amp; VLOOKUP(tblHorasJun[Evento 
(2º Período)],tblEvento[],Tabelas!$F$1,FALSE),"")</f>
        <v/>
      </c>
    </row>
    <row r="37" spans="2:21" x14ac:dyDescent="0.25">
      <c r="B37" s="11" t="str">
        <f t="shared" si="0"/>
        <v/>
      </c>
      <c r="C37" s="12" t="str">
        <f>TEXT(tblHorasJun[Data],"ddd")</f>
        <v/>
      </c>
      <c r="D37" s="25"/>
      <c r="E37" s="1"/>
      <c r="F37" s="1"/>
      <c r="G37" s="1"/>
      <c r="H37" s="1"/>
      <c r="I37" s="53"/>
      <c r="J37" s="4">
        <f>IF($B$6&lt;&gt;"",
IF(AND(tblHorasJun[Evento 
(1º Período)]&lt;&gt;"",IF(ISERROR(VLOOKUP(tblHorasJun[Evento 
(1º Período)],tblEvento[],Tabelas!$D$1,FALSE)),FALSE,VLOOKUP(tblHorasJun[Evento 
(1º Período)],tblEvento[],Tabelas!$D$1,FALSE)="Sim")),
        IF(JORNADA_PERIODO_1&lt;&gt;"",
IF(VLOOKUP(tblHorasJun[Dia],tblDiaUtil[[Abreviatura]:[1º Período]],3,FALSE)&gt;0,VLOOKUP(tblHorasJun[Dia],tblDiaUtil[[Abreviatura]:[1º Período]],3,FALSE),JORNADA_PERIODO_1),
IF(VLOOKUP(tblHorasJun[Dia],tblDiaUtil[[Abreviatura]:[1º Período]],3,FALSE)&gt;0,VLOOKUP(tblHorasJun[Dia],tblDiaUtil[[Abreviatura]:[1º Período]],3,FALSE),JORNADA/2)),
        IF(AND(ISNUMBER(tblHorasJun[Saída - 1 (Almoço)]),ISNUMBER(tblHorasJun[Entrada - 1])),
              IF(OR(AND(tblHorasJun[Evento 
(1º Período)]&lt;&gt;"",IF(ISERROR(VLOOKUP(tblHorasJun[Evento 
(1º Período)],tblEvento[],Tabelas!$E$1,FALSE)),FALSE,VLOOKUP(tblHorasJun[Evento 
(1º Período)],tblEvento[],Tabelas!$E$1,FALSE)="Sim")),IF(VLOOKUP(TEXT(tblHorasJun[Data],"dddd"),tblDiaUtil[],2,FALSE)="Não",TRUE,FALSE)),
                   tblHorasJun[Saída - 1 (Almoço)]-tblHorasJun[Entrada - 1],
                   IF(OR(HOUR(tblHorasJun[Saída - 1 (Almoço)]-tblHorasJun[Entrada - 1])&gt;0,ROUND(tblHorasJun[Saída - 1 (Almoço)]-tblHorasJun[Entrada - 1],6)&gt;ROUND(CARENCIA,6)),
                          tblHorasJun[Saída - 1 (Almoço)]-tblHorasJun[Entrada - 1],
                          0)),
                    0)),0)</f>
        <v>0</v>
      </c>
      <c r="K37" s="4">
        <f>IF($B$6&lt;&gt;"",
IF(AND(tblHorasJun[Evento 
(2º Período)]&lt;&gt;"",IF(ISERROR(VLOOKUP(tblHorasJun[Evento 
(2º Período)],tblEvento[],Tabelas!$D$1,FALSE)),FALSE,VLOOKUP(tblHorasJun[Evento 
(2º Período)],tblEvento[],Tabelas!$D$1,FALSE)="Sim")),
        IF(JORNADA_PERIODO_2&lt;&gt;"",
IF(VLOOKUP(tblHorasJun[Dia],tblDiaUtil[[Abreviatura]:[2º Período]],4,FALSE)&gt;0,VLOOKUP(tblHorasJun[Dia],tblDiaUtil[[Abreviatura]:[2º Período]],4,FALSE),JORNADA_PERIODO_2),
IF(VLOOKUP(tblHorasJun[Dia],tblDiaUtil[[Abreviatura]:[2º Período]],4,FALSE)&gt;0,VLOOKUP(tblHorasJun[Dia],tblDiaUtil[[Abreviatura]:[2º Período]],4,FALSE),JORNADA/2)),
        IF(AND(ISNUMBER(tblHorasJun[Saída - 2]),ISNUMBER(tblHorasJun[Entrada - 2 (Almoço)])),
              IF(OR(AND(tblHorasJun[Evento 
(2º Período)]&lt;&gt;"",IF(ISERROR(VLOOKUP(tblHorasJun[Evento 
(2º Período)],tblEvento[],Tabelas!$E$1,FALSE)),FALSE,VLOOKUP(tblHorasJun[Evento 
(2º Período)],tblEvento[],Tabelas!$E$1,FALSE)="Sim")),IF(VLOOKUP(TEXT(tblHorasJun[Data],"dddd"),tblDiaUtil[],2,FALSE)="Não",TRUE,FALSE)),
                   tblHorasJun[Saída - 2]-tblHorasJun[Entrada - 2 (Almoço)],
                   IF(OR(HOUR(tblHorasJun[Saída - 2]-tblHorasJun[Entrada - 2 (Almoço)])&gt;0,MINUTE(tblHorasJun[Saída - 2]-tblHorasJun[Entrada - 2 (Almoço)])&gt;CARENCIA),
                         tblHorasJun[Saída - 2]-tblHorasJun[Entrada - 2 (Almoço)],
                         0)),
       0)),0)</f>
        <v>0</v>
      </c>
      <c r="L37" s="4">
        <f>tblHorasJun[Horas Trabalhadas (1º Período)]+tblHorasJun[Horas Trabalhadas (2º Período)]</f>
        <v>0</v>
      </c>
      <c r="M37" s="4" t="str">
        <f>IF(tblHorasJun[Data]&lt;&gt;"",
        IF(
AND(VLOOKUP(TEXT(tblHorasJun[Data],"dddd"),tblDiaUtil[],3,FALSE)="Sim",IF(tblHorasJun[Evento 
(1º Período)]&lt;&gt;"",IF(VLOOKUP(tblHorasJun[Evento 
(1º Período)],tblEvento[],Tabelas!$E$1,FALSE)="Sim",FALSE,TRUE),TRUE),IF(tblHorasJun[Evento 
(2º Período)]&lt;&gt;"",IF(VLOOKUP(tblHorasJun[Evento 
(2º Período)],tblEvento[],Tabelas!$E$1,FALSE)="Sim",FALSE,TRUE),TRUE)),
              IF(VLOOKUP(tblHorasJun[Dia],tblDiaUtil[[Abreviatura]:[1º Período]],3,FALSE)&gt;0,VLOOKUP(tblHorasJun[Dia],tblDiaUtil[[Abreviatura]:[1º Período]],3,FALSE),JORNADA),
              ""),
         "")</f>
        <v/>
      </c>
      <c r="N37" s="14">
        <f>IF(OR(tblHorasJun[Horas Trabalhadas (1º Período)]&lt;&gt;0,tblHorasJun[Horas Trabalhadas (2º Período)]&lt;&gt;0),
        IF(ISNUMBER(tblHorasJun[Jornada Diária]),
              IF(tblHorasJun[Jornada Diária]&gt;(tblHorasJun[Horas Trabalhadas (2º Período)]+tblHorasJun[Horas Trabalhadas (1º Período)]),
                     IF(ROUND((tblHorasJun[Jornada Diária]-(tblHorasJun[Horas Trabalhadas (2º Período)]+tblHorasJun[Horas Trabalhadas (1º Período)])),6)&gt;ROUND(CARENCIA,6),
                           -tblHorasJun[Jornada Diária]+(tblHorasJun[Horas Trabalhadas (2º Período)]+tblHorasJun[Horas Trabalhadas (1º Período)]),
                           0),
                      IF(ROUND((tblHorasJun[Jornada Diária]-(tblHorasJun[Horas Trabalhadas (2º Período)]+tblHorasJun[Horas Trabalhadas (1º Período)])),6)&lt;ROUND(-CARENCIA,6),
                           -tblHorasJun[Jornada Diária]+(tblHorasJun[Horas Trabalhadas (2º Período)]+tblHorasJun[Horas Trabalhadas (1º Período)]),
                           0)),
              tblHorasJun[Horas Trabalhadas (2º Período)]+tblHorasJun[Horas Trabalhadas (1º Período)]),
         IF(AND(IF(ISERROR(VLOOKUP(tblHorasJun[Evento 
(1º Período)],tblEvento[[Evento]:[Libera o Período]],4,FALSE)),FALSE,IF(VLOOKUP(tblHorasJun[Evento 
(1º Período)],tblEvento[[Evento]:[Libera o Período]],4,FALSE)="Não",TRUE,FALSE)),IF(ISERROR(VLOOKUP(tblHorasJun[Evento 
(2º Período)],tblEvento[[Evento]:[Libera o Período]],4,FALSE)),FALSE,IF(VLOOKUP(tblHorasJun[Evento 
(2º Período)],tblEvento[[Evento]:[Libera o Período]],4,FALSE)="Não",TRUE,FALSE))),
-IF(VLOOKUP(tblHorasJun[Dia],tblDiaUtil[[Abreviatura]:[Total Jornada]],5,FALSE)&lt;&gt;"",VLOOKUP(tblHorasJun[Dia],tblDiaUtil[[Abreviatura]:[Total Jornada]],5,FALSE),JORNADA),
IF(IF(ISERROR(VLOOKUP(tblHorasJun[Evento 
(1º Período)],tblEvento[[Evento]:[Libera o Período]],4,FALSE)),FALSE,
IF(VLOOKUP(tblHorasJun[Evento 
(1º Período)],tblEvento[[Evento]:[Libera o Período]],4,FALSE)="Não",TRUE,FALSE)
),
-IF(VLOOKUP(tblHorasJun[Dia],tblDiaUtil[[Abreviatura]:[1º Período]],3,FALSE)&lt;&gt;"",VLOOKUP(tblHorasJun[Dia],tblDiaUtil[[Abreviatura]:[1º Período]],3,FALSE),JORNADA_PERIODO_1),
IF(IF(ISERROR(VLOOKUP(tblHorasJun[Evento 
(2º Período)],tblEvento[[Evento]:[Libera o Período]],4,FALSE)),FALSE,IF(VLOOKUP(tblHorasJun[Evento 
(2º Período)],tblEvento[[Evento]:[Libera o Período]],4,FALSE)="Não",TRUE,FALSE)),
-IF(VLOOKUP(tblHorasJun[Dia],tblDiaUtil[[Abreviatura]:[2º Período]],4,FALSE)&lt;&gt;"",VLOOKUP(tblHorasJun[Dia],tblDiaUtil[[Abreviatura]:[2º Período]],4,FALSE),JORNADA_PERIODO_2),0))))</f>
        <v>0</v>
      </c>
      <c r="O37" s="14">
        <f>IF(tblHorasJun[Horas Trabalhadas Além Jornada]&gt;0,
        IF(ISNUMBER(tblHorasJun[Jornada Diária]),
              IF(HOUR(tblHorasJun[Horas Trabalhadas Além Jornada])&gt;=VLOOKUP(LIMITE,tblLimiteHora[],Tabelas!$I$1,FALSE),
                    VLOOKUP(LIMITE,tblLimiteHora[],Tabelas!$J$1,FALSE),
                    tblHorasJun[Horas Trabalhadas Além Jornada]),
              tblHorasJun[Horas Trabalhadas Além Jornada]),
        tblHorasJun[Horas Trabalhadas Além Jornada])+O36</f>
        <v>0</v>
      </c>
      <c r="P37" s="14" t="str">
        <f>IF(tblHorasJun[Horas Trabalhadas Além Jornada]&lt;0,IF(OR(tblHorasJun[Evento 
(1º Período)]="",tblHorasJun[Evento 
(2º Período)]=""),tblHorasJun[Horas Trabalhadas Além Jornada],""),"")</f>
        <v/>
      </c>
      <c r="Q37" s="14" t="str">
        <f>IF(tblHorasJun[Jornada Diária]&lt;&gt;"",IF((N(tblHorasJun[Jornada Diária])-ABS(N(tblHorasJun[Horas Trabalhadas Além Jornada])))=0,1,""),"")</f>
        <v/>
      </c>
      <c r="R37" s="14" t="str">
        <f>IF(tblHorasJun[Horas Trabalhadas Além Jornada]&gt;0,
IF(AND(VLOOKUP(TEXT(tblHorasJun[Data],"dddd"),tblDiaUtil[],3,FALSE)="Sim",IF(tblHorasJun[Evento 
(1º Período)]&lt;&gt;"",IF(VLOOKUP(tblHorasJun[Evento 
(1º Período)],tblEvento[],Tabelas!$E$1,FALSE)="Sim",FALSE,TRUE),TRUE),IF(tblHorasJun[Evento 
(2º Período)]&lt;&gt;"",IF(VLOOKUP(tblHorasJun[Evento 
(2º Período)],tblEvento[],Tabelas!$E$1,FALSE)="Sim",FALSE,TRUE),TRUE)),
tblHorasJun[Horas Trabalhadas Além Jornada],""),"")</f>
        <v/>
      </c>
      <c r="S37" s="14" t="str">
        <f>IF(tblHorasJun[Horas Trabalhadas Além Jornada]&gt;0,
IF(OR(VLOOKUP(TEXT(tblHorasJun[Data],"dddd"),tblDiaUtil[],3,FALSE)="Não",IF(tblHorasJun[Evento 
(1º Período)]&lt;&gt;"",IF(VLOOKUP(tblHorasJun[Evento 
(1º Período)],tblEvento[],Tabelas!$E$1,FALSE)="Sim",TRUE,FALSE),FALSE),IF(tblHorasJun[Evento 
(2º Período)]&lt;&gt;"",IF(VLOOKUP(tblHorasJun[Evento 
(2º Período)],tblEvento[],Tabelas!$E$1,FALSE)="Sim",TRUE,FALSE),FALSE)),
tblHorasJun[Horas Trabalhadas Além Jornada],""),"")</f>
        <v/>
      </c>
      <c r="T37" s="15" t="str">
        <f>IF(tblHorasJun[Evento 
(1º Período)]&lt;&gt;""," - " &amp;VLOOKUP(tblHorasJun[Evento 
(1º Período)],tblEvento[],Tabelas!$F$1,FALSE),"")&amp;IF(AND(tblHorasJun[Evento 
(2º Período)]&lt;&gt;"",tblHorasJun[Evento 
(2º Período)]&lt;&gt;tblHorasJun[Evento 
(1º Período)])," - " &amp; VLOOKUP(tblHorasJun[Evento 
(2º Período)],tblEvento[],Tabelas!$F$1,FALSE),"")</f>
        <v/>
      </c>
    </row>
    <row r="38" spans="2:21" x14ac:dyDescent="0.25">
      <c r="B38" s="11" t="str">
        <f t="shared" si="0"/>
        <v/>
      </c>
      <c r="C38" s="12" t="str">
        <f>TEXT(tblHorasJun[Data],"ddd")</f>
        <v/>
      </c>
      <c r="D38" s="25"/>
      <c r="E38" s="1"/>
      <c r="F38" s="1"/>
      <c r="G38" s="1"/>
      <c r="H38" s="1"/>
      <c r="I38" s="53"/>
      <c r="J38" s="4">
        <f>IF($B$6&lt;&gt;"",
IF(AND(tblHorasJun[Evento 
(1º Período)]&lt;&gt;"",IF(ISERROR(VLOOKUP(tblHorasJun[Evento 
(1º Período)],tblEvento[],Tabelas!$D$1,FALSE)),FALSE,VLOOKUP(tblHorasJun[Evento 
(1º Período)],tblEvento[],Tabelas!$D$1,FALSE)="Sim")),
        IF(JORNADA_PERIODO_1&lt;&gt;"",
IF(VLOOKUP(tblHorasJun[Dia],tblDiaUtil[[Abreviatura]:[1º Período]],3,FALSE)&gt;0,VLOOKUP(tblHorasJun[Dia],tblDiaUtil[[Abreviatura]:[1º Período]],3,FALSE),JORNADA_PERIODO_1),
IF(VLOOKUP(tblHorasJun[Dia],tblDiaUtil[[Abreviatura]:[1º Período]],3,FALSE)&gt;0,VLOOKUP(tblHorasJun[Dia],tblDiaUtil[[Abreviatura]:[1º Período]],3,FALSE),JORNADA/2)),
        IF(AND(ISNUMBER(tblHorasJun[Saída - 1 (Almoço)]),ISNUMBER(tblHorasJun[Entrada - 1])),
              IF(OR(AND(tblHorasJun[Evento 
(1º Período)]&lt;&gt;"",IF(ISERROR(VLOOKUP(tblHorasJun[Evento 
(1º Período)],tblEvento[],Tabelas!$E$1,FALSE)),FALSE,VLOOKUP(tblHorasJun[Evento 
(1º Período)],tblEvento[],Tabelas!$E$1,FALSE)="Sim")),IF(VLOOKUP(TEXT(tblHorasJun[Data],"dddd"),tblDiaUtil[],2,FALSE)="Não",TRUE,FALSE)),
                   tblHorasJun[Saída - 1 (Almoço)]-tblHorasJun[Entrada - 1],
                   IF(OR(HOUR(tblHorasJun[Saída - 1 (Almoço)]-tblHorasJun[Entrada - 1])&gt;0,ROUND(tblHorasJun[Saída - 1 (Almoço)]-tblHorasJun[Entrada - 1],6)&gt;ROUND(CARENCIA,6)),
                          tblHorasJun[Saída - 1 (Almoço)]-tblHorasJun[Entrada - 1],
                          0)),
                    0)),0)</f>
        <v>0</v>
      </c>
      <c r="K38" s="4">
        <f>IF($B$6&lt;&gt;"",
IF(AND(tblHorasJun[Evento 
(2º Período)]&lt;&gt;"",IF(ISERROR(VLOOKUP(tblHorasJun[Evento 
(2º Período)],tblEvento[],Tabelas!$D$1,FALSE)),FALSE,VLOOKUP(tblHorasJun[Evento 
(2º Período)],tblEvento[],Tabelas!$D$1,FALSE)="Sim")),
        IF(JORNADA_PERIODO_2&lt;&gt;"",
IF(VLOOKUP(tblHorasJun[Dia],tblDiaUtil[[Abreviatura]:[2º Período]],4,FALSE)&gt;0,VLOOKUP(tblHorasJun[Dia],tblDiaUtil[[Abreviatura]:[2º Período]],4,FALSE),JORNADA_PERIODO_2),
IF(VLOOKUP(tblHorasJun[Dia],tblDiaUtil[[Abreviatura]:[2º Período]],4,FALSE)&gt;0,VLOOKUP(tblHorasJun[Dia],tblDiaUtil[[Abreviatura]:[2º Período]],4,FALSE),JORNADA/2)),
        IF(AND(ISNUMBER(tblHorasJun[Saída - 2]),ISNUMBER(tblHorasJun[Entrada - 2 (Almoço)])),
              IF(OR(AND(tblHorasJun[Evento 
(2º Período)]&lt;&gt;"",IF(ISERROR(VLOOKUP(tblHorasJun[Evento 
(2º Período)],tblEvento[],Tabelas!$E$1,FALSE)),FALSE,VLOOKUP(tblHorasJun[Evento 
(2º Período)],tblEvento[],Tabelas!$E$1,FALSE)="Sim")),IF(VLOOKUP(TEXT(tblHorasJun[Data],"dddd"),tblDiaUtil[],2,FALSE)="Não",TRUE,FALSE)),
                   tblHorasJun[Saída - 2]-tblHorasJun[Entrada - 2 (Almoço)],
                   IF(OR(HOUR(tblHorasJun[Saída - 2]-tblHorasJun[Entrada - 2 (Almoço)])&gt;0,MINUTE(tblHorasJun[Saída - 2]-tblHorasJun[Entrada - 2 (Almoço)])&gt;CARENCIA),
                         tblHorasJun[Saída - 2]-tblHorasJun[Entrada - 2 (Almoço)],
                         0)),
       0)),0)</f>
        <v>0</v>
      </c>
      <c r="L38" s="4">
        <f>tblHorasJun[Horas Trabalhadas (1º Período)]+tblHorasJun[Horas Trabalhadas (2º Período)]</f>
        <v>0</v>
      </c>
      <c r="M38" s="4" t="str">
        <f>IF(tblHorasJun[Data]&lt;&gt;"",
        IF(
AND(VLOOKUP(TEXT(tblHorasJun[Data],"dddd"),tblDiaUtil[],3,FALSE)="Sim",IF(tblHorasJun[Evento 
(1º Período)]&lt;&gt;"",IF(VLOOKUP(tblHorasJun[Evento 
(1º Período)],tblEvento[],Tabelas!$E$1,FALSE)="Sim",FALSE,TRUE),TRUE),IF(tblHorasJun[Evento 
(2º Período)]&lt;&gt;"",IF(VLOOKUP(tblHorasJun[Evento 
(2º Período)],tblEvento[],Tabelas!$E$1,FALSE)="Sim",FALSE,TRUE),TRUE)),
              IF(VLOOKUP(tblHorasJun[Dia],tblDiaUtil[[Abreviatura]:[1º Período]],3,FALSE)&gt;0,VLOOKUP(tblHorasJun[Dia],tblDiaUtil[[Abreviatura]:[1º Período]],3,FALSE),JORNADA),
              ""),
         "")</f>
        <v/>
      </c>
      <c r="N38" s="14">
        <f>IF(OR(tblHorasJun[Horas Trabalhadas (1º Período)]&lt;&gt;0,tblHorasJun[Horas Trabalhadas (2º Período)]&lt;&gt;0),
        IF(ISNUMBER(tblHorasJun[Jornada Diária]),
              IF(tblHorasJun[Jornada Diária]&gt;(tblHorasJun[Horas Trabalhadas (2º Período)]+tblHorasJun[Horas Trabalhadas (1º Período)]),
                     IF(ROUND((tblHorasJun[Jornada Diária]-(tblHorasJun[Horas Trabalhadas (2º Período)]+tblHorasJun[Horas Trabalhadas (1º Período)])),6)&gt;ROUND(CARENCIA,6),
                           -tblHorasJun[Jornada Diária]+(tblHorasJun[Horas Trabalhadas (2º Período)]+tblHorasJun[Horas Trabalhadas (1º Período)]),
                           0),
                      IF(ROUND((tblHorasJun[Jornada Diária]-(tblHorasJun[Horas Trabalhadas (2º Período)]+tblHorasJun[Horas Trabalhadas (1º Período)])),6)&lt;ROUND(-CARENCIA,6),
                           -tblHorasJun[Jornada Diária]+(tblHorasJun[Horas Trabalhadas (2º Período)]+tblHorasJun[Horas Trabalhadas (1º Período)]),
                           0)),
              tblHorasJun[Horas Trabalhadas (2º Período)]+tblHorasJun[Horas Trabalhadas (1º Período)]),
         IF(AND(IF(ISERROR(VLOOKUP(tblHorasJun[Evento 
(1º Período)],tblEvento[[Evento]:[Libera o Período]],4,FALSE)),FALSE,IF(VLOOKUP(tblHorasJun[Evento 
(1º Período)],tblEvento[[Evento]:[Libera o Período]],4,FALSE)="Não",TRUE,FALSE)),IF(ISERROR(VLOOKUP(tblHorasJun[Evento 
(2º Período)],tblEvento[[Evento]:[Libera o Período]],4,FALSE)),FALSE,IF(VLOOKUP(tblHorasJun[Evento 
(2º Período)],tblEvento[[Evento]:[Libera o Período]],4,FALSE)="Não",TRUE,FALSE))),
-IF(VLOOKUP(tblHorasJun[Dia],tblDiaUtil[[Abreviatura]:[Total Jornada]],5,FALSE)&lt;&gt;"",VLOOKUP(tblHorasJun[Dia],tblDiaUtil[[Abreviatura]:[Total Jornada]],5,FALSE),JORNADA),
IF(IF(ISERROR(VLOOKUP(tblHorasJun[Evento 
(1º Período)],tblEvento[[Evento]:[Libera o Período]],4,FALSE)),FALSE,
IF(VLOOKUP(tblHorasJun[Evento 
(1º Período)],tblEvento[[Evento]:[Libera o Período]],4,FALSE)="Não",TRUE,FALSE)
),
-IF(VLOOKUP(tblHorasJun[Dia],tblDiaUtil[[Abreviatura]:[1º Período]],3,FALSE)&lt;&gt;"",VLOOKUP(tblHorasJun[Dia],tblDiaUtil[[Abreviatura]:[1º Período]],3,FALSE),JORNADA_PERIODO_1),
IF(IF(ISERROR(VLOOKUP(tblHorasJun[Evento 
(2º Período)],tblEvento[[Evento]:[Libera o Período]],4,FALSE)),FALSE,IF(VLOOKUP(tblHorasJun[Evento 
(2º Período)],tblEvento[[Evento]:[Libera o Período]],4,FALSE)="Não",TRUE,FALSE)),
-IF(VLOOKUP(tblHorasJun[Dia],tblDiaUtil[[Abreviatura]:[2º Período]],4,FALSE)&lt;&gt;"",VLOOKUP(tblHorasJun[Dia],tblDiaUtil[[Abreviatura]:[2º Período]],4,FALSE),JORNADA_PERIODO_2),0))))</f>
        <v>0</v>
      </c>
      <c r="O38" s="14">
        <f>IF(tblHorasJun[Horas Trabalhadas Além Jornada]&gt;0,
        IF(ISNUMBER(tblHorasJun[Jornada Diária]),
              IF(HOUR(tblHorasJun[Horas Trabalhadas Além Jornada])&gt;=VLOOKUP(LIMITE,tblLimiteHora[],Tabelas!$I$1,FALSE),
                    VLOOKUP(LIMITE,tblLimiteHora[],Tabelas!$J$1,FALSE),
                    tblHorasJun[Horas Trabalhadas Além Jornada]),
              tblHorasJun[Horas Trabalhadas Além Jornada]),
        tblHorasJun[Horas Trabalhadas Além Jornada])+O37</f>
        <v>0</v>
      </c>
      <c r="P38" s="14" t="str">
        <f>IF(tblHorasJun[Horas Trabalhadas Além Jornada]&lt;0,IF(OR(tblHorasJun[Evento 
(1º Período)]="",tblHorasJun[Evento 
(2º Período)]=""),tblHorasJun[Horas Trabalhadas Além Jornada],""),"")</f>
        <v/>
      </c>
      <c r="Q38" s="14" t="str">
        <f>IF(tblHorasJun[Jornada Diária]&lt;&gt;"",IF((N(tblHorasJun[Jornada Diária])-ABS(N(tblHorasJun[Horas Trabalhadas Além Jornada])))=0,1,""),"")</f>
        <v/>
      </c>
      <c r="R38" s="14" t="str">
        <f>IF(tblHorasJun[Horas Trabalhadas Além Jornada]&gt;0,
IF(AND(VLOOKUP(TEXT(tblHorasJun[Data],"dddd"),tblDiaUtil[],3,FALSE)="Sim",IF(tblHorasJun[Evento 
(1º Período)]&lt;&gt;"",IF(VLOOKUP(tblHorasJun[Evento 
(1º Período)],tblEvento[],Tabelas!$E$1,FALSE)="Sim",FALSE,TRUE),TRUE),IF(tblHorasJun[Evento 
(2º Período)]&lt;&gt;"",IF(VLOOKUP(tblHorasJun[Evento 
(2º Período)],tblEvento[],Tabelas!$E$1,FALSE)="Sim",FALSE,TRUE),TRUE)),
tblHorasJun[Horas Trabalhadas Além Jornada],""),"")</f>
        <v/>
      </c>
      <c r="S38" s="14" t="str">
        <f>IF(tblHorasJun[Horas Trabalhadas Além Jornada]&gt;0,
IF(OR(VLOOKUP(TEXT(tblHorasJun[Data],"dddd"),tblDiaUtil[],3,FALSE)="Não",IF(tblHorasJun[Evento 
(1º Período)]&lt;&gt;"",IF(VLOOKUP(tblHorasJun[Evento 
(1º Período)],tblEvento[],Tabelas!$E$1,FALSE)="Sim",TRUE,FALSE),FALSE),IF(tblHorasJun[Evento 
(2º Período)]&lt;&gt;"",IF(VLOOKUP(tblHorasJun[Evento 
(2º Período)],tblEvento[],Tabelas!$E$1,FALSE)="Sim",TRUE,FALSE),FALSE)),
tblHorasJun[Horas Trabalhadas Além Jornada],""),"")</f>
        <v/>
      </c>
      <c r="T38" s="15" t="str">
        <f>IF(tblHorasJun[Evento 
(1º Período)]&lt;&gt;""," - " &amp;VLOOKUP(tblHorasJun[Evento 
(1º Período)],tblEvento[],Tabelas!$F$1,FALSE),"")&amp;IF(AND(tblHorasJun[Evento 
(2º Período)]&lt;&gt;"",tblHorasJun[Evento 
(2º Período)]&lt;&gt;tblHorasJun[Evento 
(1º Período)])," - " &amp; VLOOKUP(tblHorasJun[Evento 
(2º Período)],tblEvento[],Tabelas!$F$1,FALSE),"")</f>
        <v/>
      </c>
    </row>
    <row r="39" spans="2:21" x14ac:dyDescent="0.25">
      <c r="B39" s="11" t="str">
        <f t="shared" si="0"/>
        <v/>
      </c>
      <c r="C39" s="12" t="str">
        <f>TEXT(tblHorasJun[Data],"ddd")</f>
        <v/>
      </c>
      <c r="D39" s="25"/>
      <c r="E39" s="1"/>
      <c r="F39" s="1"/>
      <c r="G39" s="1"/>
      <c r="H39" s="1"/>
      <c r="I39" s="53"/>
      <c r="J39" s="4">
        <f>IF($B$6&lt;&gt;"",
IF(AND(tblHorasJun[Evento 
(1º Período)]&lt;&gt;"",IF(ISERROR(VLOOKUP(tblHorasJun[Evento 
(1º Período)],tblEvento[],Tabelas!$D$1,FALSE)),FALSE,VLOOKUP(tblHorasJun[Evento 
(1º Período)],tblEvento[],Tabelas!$D$1,FALSE)="Sim")),
        IF(JORNADA_PERIODO_1&lt;&gt;"",
IF(VLOOKUP(tblHorasJun[Dia],tblDiaUtil[[Abreviatura]:[1º Período]],3,FALSE)&gt;0,VLOOKUP(tblHorasJun[Dia],tblDiaUtil[[Abreviatura]:[1º Período]],3,FALSE),JORNADA_PERIODO_1),
IF(VLOOKUP(tblHorasJun[Dia],tblDiaUtil[[Abreviatura]:[1º Período]],3,FALSE)&gt;0,VLOOKUP(tblHorasJun[Dia],tblDiaUtil[[Abreviatura]:[1º Período]],3,FALSE),JORNADA/2)),
        IF(AND(ISNUMBER(tblHorasJun[Saída - 1 (Almoço)]),ISNUMBER(tblHorasJun[Entrada - 1])),
              IF(OR(AND(tblHorasJun[Evento 
(1º Período)]&lt;&gt;"",IF(ISERROR(VLOOKUP(tblHorasJun[Evento 
(1º Período)],tblEvento[],Tabelas!$E$1,FALSE)),FALSE,VLOOKUP(tblHorasJun[Evento 
(1º Período)],tblEvento[],Tabelas!$E$1,FALSE)="Sim")),IF(VLOOKUP(TEXT(tblHorasJun[Data],"dddd"),tblDiaUtil[],2,FALSE)="Não",TRUE,FALSE)),
                   tblHorasJun[Saída - 1 (Almoço)]-tblHorasJun[Entrada - 1],
                   IF(OR(HOUR(tblHorasJun[Saída - 1 (Almoço)]-tblHorasJun[Entrada - 1])&gt;0,ROUND(tblHorasJun[Saída - 1 (Almoço)]-tblHorasJun[Entrada - 1],6)&gt;ROUND(CARENCIA,6)),
                          tblHorasJun[Saída - 1 (Almoço)]-tblHorasJun[Entrada - 1],
                          0)),
                    0)),0)</f>
        <v>0</v>
      </c>
      <c r="K39" s="4">
        <f>IF($B$6&lt;&gt;"",
IF(AND(tblHorasJun[Evento 
(2º Período)]&lt;&gt;"",IF(ISERROR(VLOOKUP(tblHorasJun[Evento 
(2º Período)],tblEvento[],Tabelas!$D$1,FALSE)),FALSE,VLOOKUP(tblHorasJun[Evento 
(2º Período)],tblEvento[],Tabelas!$D$1,FALSE)="Sim")),
        IF(JORNADA_PERIODO_2&lt;&gt;"",
IF(VLOOKUP(tblHorasJun[Dia],tblDiaUtil[[Abreviatura]:[2º Período]],4,FALSE)&gt;0,VLOOKUP(tblHorasJun[Dia],tblDiaUtil[[Abreviatura]:[2º Período]],4,FALSE),JORNADA_PERIODO_2),
IF(VLOOKUP(tblHorasJun[Dia],tblDiaUtil[[Abreviatura]:[2º Período]],4,FALSE)&gt;0,VLOOKUP(tblHorasJun[Dia],tblDiaUtil[[Abreviatura]:[2º Período]],4,FALSE),JORNADA/2)),
        IF(AND(ISNUMBER(tblHorasJun[Saída - 2]),ISNUMBER(tblHorasJun[Entrada - 2 (Almoço)])),
              IF(OR(AND(tblHorasJun[Evento 
(2º Período)]&lt;&gt;"",IF(ISERROR(VLOOKUP(tblHorasJun[Evento 
(2º Período)],tblEvento[],Tabelas!$E$1,FALSE)),FALSE,VLOOKUP(tblHorasJun[Evento 
(2º Período)],tblEvento[],Tabelas!$E$1,FALSE)="Sim")),IF(VLOOKUP(TEXT(tblHorasJun[Data],"dddd"),tblDiaUtil[],2,FALSE)="Não",TRUE,FALSE)),
                   tblHorasJun[Saída - 2]-tblHorasJun[Entrada - 2 (Almoço)],
                   IF(OR(HOUR(tblHorasJun[Saída - 2]-tblHorasJun[Entrada - 2 (Almoço)])&gt;0,MINUTE(tblHorasJun[Saída - 2]-tblHorasJun[Entrada - 2 (Almoço)])&gt;CARENCIA),
                         tblHorasJun[Saída - 2]-tblHorasJun[Entrada - 2 (Almoço)],
                         0)),
       0)),0)</f>
        <v>0</v>
      </c>
      <c r="L39" s="4">
        <f>tblHorasJun[Horas Trabalhadas (1º Período)]+tblHorasJun[Horas Trabalhadas (2º Período)]</f>
        <v>0</v>
      </c>
      <c r="M39" s="4" t="str">
        <f>IF(tblHorasJun[Data]&lt;&gt;"",
        IF(
AND(VLOOKUP(TEXT(tblHorasJun[Data],"dddd"),tblDiaUtil[],3,FALSE)="Sim",IF(tblHorasJun[Evento 
(1º Período)]&lt;&gt;"",IF(VLOOKUP(tblHorasJun[Evento 
(1º Período)],tblEvento[],Tabelas!$E$1,FALSE)="Sim",FALSE,TRUE),TRUE),IF(tblHorasJun[Evento 
(2º Período)]&lt;&gt;"",IF(VLOOKUP(tblHorasJun[Evento 
(2º Período)],tblEvento[],Tabelas!$E$1,FALSE)="Sim",FALSE,TRUE),TRUE)),
              IF(VLOOKUP(tblHorasJun[Dia],tblDiaUtil[[Abreviatura]:[1º Período]],3,FALSE)&gt;0,VLOOKUP(tblHorasJun[Dia],tblDiaUtil[[Abreviatura]:[1º Período]],3,FALSE),JORNADA),
              ""),
         "")</f>
        <v/>
      </c>
      <c r="N39" s="14">
        <f>IF(OR(tblHorasJun[Horas Trabalhadas (1º Período)]&lt;&gt;0,tblHorasJun[Horas Trabalhadas (2º Período)]&lt;&gt;0),
        IF(ISNUMBER(tblHorasJun[Jornada Diária]),
              IF(tblHorasJun[Jornada Diária]&gt;(tblHorasJun[Horas Trabalhadas (2º Período)]+tblHorasJun[Horas Trabalhadas (1º Período)]),
                     IF(ROUND((tblHorasJun[Jornada Diária]-(tblHorasJun[Horas Trabalhadas (2º Período)]+tblHorasJun[Horas Trabalhadas (1º Período)])),6)&gt;ROUND(CARENCIA,6),
                           -tblHorasJun[Jornada Diária]+(tblHorasJun[Horas Trabalhadas (2º Período)]+tblHorasJun[Horas Trabalhadas (1º Período)]),
                           0),
                      IF(ROUND((tblHorasJun[Jornada Diária]-(tblHorasJun[Horas Trabalhadas (2º Período)]+tblHorasJun[Horas Trabalhadas (1º Período)])),6)&lt;ROUND(-CARENCIA,6),
                           -tblHorasJun[Jornada Diária]+(tblHorasJun[Horas Trabalhadas (2º Período)]+tblHorasJun[Horas Trabalhadas (1º Período)]),
                           0)),
              tblHorasJun[Horas Trabalhadas (2º Período)]+tblHorasJun[Horas Trabalhadas (1º Período)]),
         IF(AND(IF(ISERROR(VLOOKUP(tblHorasJun[Evento 
(1º Período)],tblEvento[[Evento]:[Libera o Período]],4,FALSE)),FALSE,IF(VLOOKUP(tblHorasJun[Evento 
(1º Período)],tblEvento[[Evento]:[Libera o Período]],4,FALSE)="Não",TRUE,FALSE)),IF(ISERROR(VLOOKUP(tblHorasJun[Evento 
(2º Período)],tblEvento[[Evento]:[Libera o Período]],4,FALSE)),FALSE,IF(VLOOKUP(tblHorasJun[Evento 
(2º Período)],tblEvento[[Evento]:[Libera o Período]],4,FALSE)="Não",TRUE,FALSE))),
-IF(VLOOKUP(tblHorasJun[Dia],tblDiaUtil[[Abreviatura]:[Total Jornada]],5,FALSE)&lt;&gt;"",VLOOKUP(tblHorasJun[Dia],tblDiaUtil[[Abreviatura]:[Total Jornada]],5,FALSE),JORNADA),
IF(IF(ISERROR(VLOOKUP(tblHorasJun[Evento 
(1º Período)],tblEvento[[Evento]:[Libera o Período]],4,FALSE)),FALSE,
IF(VLOOKUP(tblHorasJun[Evento 
(1º Período)],tblEvento[[Evento]:[Libera o Período]],4,FALSE)="Não",TRUE,FALSE)
),
-IF(VLOOKUP(tblHorasJun[Dia],tblDiaUtil[[Abreviatura]:[1º Período]],3,FALSE)&lt;&gt;"",VLOOKUP(tblHorasJun[Dia],tblDiaUtil[[Abreviatura]:[1º Período]],3,FALSE),JORNADA_PERIODO_1),
IF(IF(ISERROR(VLOOKUP(tblHorasJun[Evento 
(2º Período)],tblEvento[[Evento]:[Libera o Período]],4,FALSE)),FALSE,IF(VLOOKUP(tblHorasJun[Evento 
(2º Período)],tblEvento[[Evento]:[Libera o Período]],4,FALSE)="Não",TRUE,FALSE)),
-IF(VLOOKUP(tblHorasJun[Dia],tblDiaUtil[[Abreviatura]:[2º Período]],4,FALSE)&lt;&gt;"",VLOOKUP(tblHorasJun[Dia],tblDiaUtil[[Abreviatura]:[2º Período]],4,FALSE),JORNADA_PERIODO_2),0))))</f>
        <v>0</v>
      </c>
      <c r="O39" s="14">
        <f>IF(tblHorasJun[Horas Trabalhadas Além Jornada]&gt;0,
        IF(ISNUMBER(tblHorasJun[Jornada Diária]),
              IF(HOUR(tblHorasJun[Horas Trabalhadas Além Jornada])&gt;=VLOOKUP(LIMITE,tblLimiteHora[],Tabelas!$I$1,FALSE),
                    VLOOKUP(LIMITE,tblLimiteHora[],Tabelas!$J$1,FALSE),
                    tblHorasJun[Horas Trabalhadas Além Jornada]),
              tblHorasJun[Horas Trabalhadas Além Jornada]),
        tblHorasJun[Horas Trabalhadas Além Jornada])+O38</f>
        <v>0</v>
      </c>
      <c r="P39" s="14" t="str">
        <f>IF(tblHorasJun[Horas Trabalhadas Além Jornada]&lt;0,IF(OR(tblHorasJun[Evento 
(1º Período)]="",tblHorasJun[Evento 
(2º Período)]=""),tblHorasJun[Horas Trabalhadas Além Jornada],""),"")</f>
        <v/>
      </c>
      <c r="Q39" s="14" t="str">
        <f>IF(tblHorasJun[Jornada Diária]&lt;&gt;"",IF((N(tblHorasJun[Jornada Diária])-ABS(N(tblHorasJun[Horas Trabalhadas Além Jornada])))=0,1,""),"")</f>
        <v/>
      </c>
      <c r="R39" s="14" t="str">
        <f>IF(tblHorasJun[Horas Trabalhadas Além Jornada]&gt;0,
IF(AND(VLOOKUP(TEXT(tblHorasJun[Data],"dddd"),tblDiaUtil[],3,FALSE)="Sim",IF(tblHorasJun[Evento 
(1º Período)]&lt;&gt;"",IF(VLOOKUP(tblHorasJun[Evento 
(1º Período)],tblEvento[],Tabelas!$E$1,FALSE)="Sim",FALSE,TRUE),TRUE),IF(tblHorasJun[Evento 
(2º Período)]&lt;&gt;"",IF(VLOOKUP(tblHorasJun[Evento 
(2º Período)],tblEvento[],Tabelas!$E$1,FALSE)="Sim",FALSE,TRUE),TRUE)),
tblHorasJun[Horas Trabalhadas Além Jornada],""),"")</f>
        <v/>
      </c>
      <c r="S39" s="14" t="str">
        <f>IF(tblHorasJun[Horas Trabalhadas Além Jornada]&gt;0,
IF(OR(VLOOKUP(TEXT(tblHorasJun[Data],"dddd"),tblDiaUtil[],3,FALSE)="Não",IF(tblHorasJun[Evento 
(1º Período)]&lt;&gt;"",IF(VLOOKUP(tblHorasJun[Evento 
(1º Período)],tblEvento[],Tabelas!$E$1,FALSE)="Sim",TRUE,FALSE),FALSE),IF(tblHorasJun[Evento 
(2º Período)]&lt;&gt;"",IF(VLOOKUP(tblHorasJun[Evento 
(2º Período)],tblEvento[],Tabelas!$E$1,FALSE)="Sim",TRUE,FALSE),FALSE)),
tblHorasJun[Horas Trabalhadas Além Jornada],""),"")</f>
        <v/>
      </c>
      <c r="T39" s="15" t="str">
        <f>IF(tblHorasJun[Evento 
(1º Período)]&lt;&gt;""," - " &amp;VLOOKUP(tblHorasJun[Evento 
(1º Período)],tblEvento[],Tabelas!$F$1,FALSE),"")&amp;IF(AND(tblHorasJun[Evento 
(2º Período)]&lt;&gt;"",tblHorasJun[Evento 
(2º Período)]&lt;&gt;tblHorasJun[Evento 
(1º Período)])," - " &amp; VLOOKUP(tblHorasJun[Evento 
(2º Período)],tblEvento[],Tabelas!$F$1,FALSE),"")</f>
        <v/>
      </c>
    </row>
    <row r="40" spans="2:21" ht="5.0999999999999996" customHeight="1" x14ac:dyDescent="0.25">
      <c r="T40" s="24"/>
      <c r="U40" s="24"/>
    </row>
    <row r="41" spans="2:21" ht="9.9499999999999993" customHeight="1" x14ac:dyDescent="0.25">
      <c r="T41" s="35" t="s">
        <v>99</v>
      </c>
      <c r="U41" s="24"/>
    </row>
    <row r="42" spans="2:21" hidden="1" x14ac:dyDescent="0.25">
      <c r="T42" s="24"/>
      <c r="U42" s="24"/>
    </row>
    <row r="43" spans="2:21" hidden="1" x14ac:dyDescent="0.25">
      <c r="T43" s="24"/>
      <c r="U43" s="24"/>
    </row>
    <row r="44" spans="2:21" hidden="1" x14ac:dyDescent="0.25">
      <c r="T44" s="24"/>
      <c r="U44" s="24"/>
    </row>
    <row r="45" spans="2:21" hidden="1" x14ac:dyDescent="0.25"/>
    <row r="46" spans="2:21" x14ac:dyDescent="0.25"/>
    <row r="47" spans="2:21" x14ac:dyDescent="0.25"/>
  </sheetData>
  <sheetProtection algorithmName="SHA-512" hashValue="sk4q39o8irfCvk4CUyeG8qDX5HqgNskqsYkYZMCCsScIa0/cWdIaCWpyC3sED0l00nhtkKkOv4Ug4YILvgZ1lw==" saltValue="7DkegdaMp3Wmj4w5EvK9Yw==" spinCount="100000" sheet="1" formatCells="0" formatColumns="0" formatRows="0" selectLockedCells="1" autoFilter="0" pivotTables="0"/>
  <dataConsolidate/>
  <mergeCells count="8">
    <mergeCell ref="O1:T4"/>
    <mergeCell ref="G2:I2"/>
    <mergeCell ref="H3:I3"/>
    <mergeCell ref="H4:I4"/>
    <mergeCell ref="B5:C5"/>
    <mergeCell ref="O5:O6"/>
    <mergeCell ref="B6:C6"/>
    <mergeCell ref="P6:S6"/>
  </mergeCells>
  <dataValidations count="5">
    <dataValidation type="whole" allowBlank="1" showInputMessage="1" showErrorMessage="1" errorTitle="Erro" error="Dia inexistente" promptTitle="Digite o primeiro dia do mês" prompt="Somente utilize esse campo caso o dia seja diferente de 1." sqref="E6">
      <formula1>1</formula1>
      <formula2>31</formula2>
    </dataValidation>
    <dataValidation type="list" allowBlank="1" showInputMessage="1" showErrorMessage="1" errorTitle="Aviso" error="Erro na inserção de dados:_x000a__x000a_'Evento Inválido'_x000a__x000a_Selecione um Evento válido na Lista" promptTitle="Evento" prompt="_x000a_Selecione um Evento na Lista" sqref="D9:D39 I9:I39">
      <formula1>lstEvento</formula1>
    </dataValidation>
    <dataValidation type="list" allowBlank="1" showErrorMessage="1" errorTitle="Mês Inválido" error="Selecione na lista um mês válido" sqref="B6:C6">
      <formula1>lst_Mes</formula1>
    </dataValidation>
    <dataValidation type="whole" errorStyle="warning" allowBlank="1" showInputMessage="1" showErrorMessage="1" errorTitle="Aviso" error="Ano fora do período estipulado" promptTitle="Digite o ano com 4 dígitos" prompt="_x000a_ex. 2016_x000a__x000a_Entre: 1904 a 9999" sqref="D6">
      <formula1>999</formula1>
      <formula2>9999</formula2>
    </dataValidation>
    <dataValidation type="time" allowBlank="1" showInputMessage="1" showErrorMessage="1" errorTitle="Aviso" error="Erro na inserção de dados:_x000a__x000a_'Hora Inválida'_x000a__x000a_Favor inserir uma hora válida no formato: hh:mm (ex. 12:00)" sqref="E9:H39">
      <formula1>0</formula1>
      <formula2>0.999305555555556</formula2>
    </dataValidation>
  </dataValidations>
  <printOptions verticalCentered="1"/>
  <pageMargins left="0.51181102362204722" right="0.51181102362204722" top="0.78740157480314965" bottom="0.78740157480314965" header="0.31496062992125984" footer="0.31496062992125984"/>
  <pageSetup paperSize="9" scale="82" orientation="landscape" r:id="rId1"/>
  <headerFooter>
    <oddHeader>&amp;R&amp;D</oddHeader>
    <oddFooter>&amp;L.e&amp;RPágina &amp;P de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7" id="{FDBE7F75-3AF0-4006-9428-C8AE37E91B26}">
            <xm:f>IF(OR(IF(ISERROR(VLOOKUP($C9,Config!$C$1:$D$18,2,FALSE)),FALSE,IF(VLOOKUP($C9,Config!$C$1:$D$18,2,FALSE)="Não",TRUE,FALSE)),IF(ISERROR(VLOOKUP($D9,Tabelas!$A$3:$B$51,2,FALSE)),FALSE,IF(VLOOKUP($D9,Tabelas!$A$3:$B$51,2,FALSE)="Sim",TRUE,FALSE)),IF(ISERROR(VLOOKUP($I9,Tabelas!$A$3:$B$51,2,FALSE)),FALSE,IF(VLOOKUP($I9,Tabelas!$A$3:$B$51,2,FALSE)="Sim",TRUE,FALSE))),TRUE,FALSE)</xm:f>
            <x14:dxf>
              <fill>
                <patternFill>
                  <bgColor rgb="FFFFFFCC"/>
                </patternFill>
              </fill>
            </x14:dxf>
          </x14:cfRule>
          <xm:sqref>B9:T9</xm:sqref>
        </x14:conditionalFormatting>
        <x14:conditionalFormatting xmlns:xm="http://schemas.microsoft.com/office/excel/2006/main">
          <x14:cfRule type="expression" priority="6" id="{325BFF72-FD35-4394-AD2C-5BD1BD47FACF}">
            <xm:f>IF(IF(ISERROR(VLOOKUP($D9,Tabelas!$A$3:$C$51,3,FALSE)),FALSE,VLOOKUP($D9,Tabelas!$A$3:$C$51,3,FALSE)="Sim"),TRUE,FALSE)</xm:f>
            <x14:dxf>
              <fill>
                <patternFill>
                  <bgColor rgb="FFFFD1D2"/>
                </patternFill>
              </fill>
            </x14:dxf>
          </x14:cfRule>
          <xm:sqref>J9 D9:F9</xm:sqref>
        </x14:conditionalFormatting>
        <x14:conditionalFormatting xmlns:xm="http://schemas.microsoft.com/office/excel/2006/main">
          <x14:cfRule type="expression" priority="8" id="{6C27989F-B220-4E5E-813D-B3EA77D2BD25}">
            <xm:f>IF(IF(ISERROR(VLOOKUP($I9,Tabelas!$A$3:$C$51,3,FALSE)),FALSE,VLOOKUP($I9,Tabelas!$A$3:$C$51,3,FALSE)="Sim"),TRUE,FALSE)</xm:f>
            <x14:dxf>
              <fill>
                <patternFill>
                  <bgColor rgb="FFFFD5D6"/>
                </patternFill>
              </fill>
            </x14:dxf>
          </x14:cfRule>
          <xm:sqref>K9:M9 G9:I9</xm:sqref>
        </x14:conditionalFormatting>
        <x14:conditionalFormatting xmlns:xm="http://schemas.microsoft.com/office/excel/2006/main">
          <x14:cfRule type="expression" priority="5" id="{5E1016E8-B030-418F-A53C-ECE8F26D315F}">
            <xm:f>IF(OR(IF(ISERROR(VLOOKUP($C7,Config!$C$1:$D$18,2,FALSE)),FALSE,IF(VLOOKUP($C7,Config!$C$1:$D$18,2,FALSE)="Não",TRUE,FALSE)),IF(ISERROR(VLOOKUP($D7,Tabelas!$A$3:$B$51,2,FALSE)),FALSE,IF(VLOOKUP($D7,Tabelas!$A$3:$B$51,2,FALSE)="Sim",TRUE,FALSE)),IF(ISERROR(VLOOKUP($I7,Tabelas!$A$3:$B$51,2,FALSE)),FALSE,IF(VLOOKUP($I7,Tabelas!$A$3:$B$51,2,FALSE)="Sim",TRUE,FALSE))),TRUE,FALSE)</xm:f>
            <x14:dxf>
              <fill>
                <patternFill>
                  <bgColor rgb="FFFFFFCC"/>
                </patternFill>
              </fill>
            </x14:dxf>
          </x14:cfRule>
          <xm:sqref>P7:S7</xm:sqref>
        </x14:conditionalFormatting>
        <x14:conditionalFormatting xmlns:xm="http://schemas.microsoft.com/office/excel/2006/main">
          <x14:cfRule type="expression" priority="3" id="{B52BCA18-C606-4667-9666-C87D0E3E891D}">
            <xm:f>IF(OR(IF(ISERROR(VLOOKUP($C10,Config!$C$1:$D$18,2,FALSE)),FALSE,IF(VLOOKUP($C10,Config!$C$1:$D$18,2,FALSE)="Não",TRUE,FALSE)),IF(ISERROR(VLOOKUP($D10,Tabelas!$A$3:$B$51,2,FALSE)),FALSE,IF(VLOOKUP($D10,Tabelas!$A$3:$B$51,2,FALSE)="Sim",TRUE,FALSE)),IF(ISERROR(VLOOKUP($I10,Tabelas!$A$3:$B$51,2,FALSE)),FALSE,IF(VLOOKUP($I10,Tabelas!$A$3:$B$51,2,FALSE)="Sim",TRUE,FALSE))),TRUE,FALSE)</xm:f>
            <x14:dxf>
              <fill>
                <patternFill>
                  <bgColor rgb="FFFFFFCC"/>
                </patternFill>
              </fill>
            </x14:dxf>
          </x14:cfRule>
          <xm:sqref>B10:T39</xm:sqref>
        </x14:conditionalFormatting>
        <x14:conditionalFormatting xmlns:xm="http://schemas.microsoft.com/office/excel/2006/main">
          <x14:cfRule type="expression" priority="2" id="{5DC9726C-232E-470A-B873-ED259E26D67B}">
            <xm:f>IF(IF(ISERROR(VLOOKUP($D10,Tabelas!$A$3:$C$51,3,FALSE)),FALSE,VLOOKUP($D10,Tabelas!$A$3:$C$51,3,FALSE)="Sim"),TRUE,FALSE)</xm:f>
            <x14:dxf>
              <fill>
                <patternFill>
                  <bgColor rgb="FFFFD1D2"/>
                </patternFill>
              </fill>
            </x14:dxf>
          </x14:cfRule>
          <xm:sqref>J10:J39 D10:F39</xm:sqref>
        </x14:conditionalFormatting>
        <x14:conditionalFormatting xmlns:xm="http://schemas.microsoft.com/office/excel/2006/main">
          <x14:cfRule type="expression" priority="4" id="{723D6BE5-2F24-4D7B-9212-148031DAD0B2}">
            <xm:f>IF(IF(ISERROR(VLOOKUP($I10,Tabelas!$A$3:$C$51,3,FALSE)),FALSE,VLOOKUP($I10,Tabelas!$A$3:$C$51,3,FALSE)="Sim"),TRUE,FALSE)</xm:f>
            <x14:dxf>
              <fill>
                <patternFill>
                  <bgColor rgb="FFFFD5D6"/>
                </patternFill>
              </fill>
            </x14:dxf>
          </x14:cfRule>
          <xm:sqref>K10:M39 G10:I39</xm:sqref>
        </x14:conditionalFormatting>
        <x14:conditionalFormatting xmlns:xm="http://schemas.microsoft.com/office/excel/2006/main">
          <x14:cfRule type="expression" priority="1" id="{F91C7385-3909-4D83-A49B-F3BE3BC3A3DB}">
            <xm:f>IF(OR(IF(ISERROR(VLOOKUP($C7,Config!$C$1:$D$18,2,FALSE)),FALSE,IF(VLOOKUP($C7,Config!$C$1:$D$18,2,FALSE)="Não",TRUE,FALSE)),IF(ISERROR(VLOOKUP($D7,Tabelas!$A$3:$B$51,2,FALSE)),FALSE,IF(VLOOKUP($D7,Tabelas!$A$3:$B$51,2,FALSE)="Sim",TRUE,FALSE)),IF(ISERROR(VLOOKUP($I7,Tabelas!$A$3:$B$51,2,FALSE)),FALSE,IF(VLOOKUP($I7,Tabelas!$A$3:$B$51,2,FALSE)="Sim",TRUE,FALSE))),TRUE,FALSE)</xm:f>
            <x14:dxf>
              <fill>
                <patternFill>
                  <bgColor rgb="FFFFFFCC"/>
                </patternFill>
              </fill>
            </x14:dxf>
          </x14:cfRule>
          <xm:sqref>O7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nJulho">
    <tabColor theme="4" tint="0.59999389629810485"/>
    <pageSetUpPr fitToPage="1"/>
  </sheetPr>
  <dimension ref="A1:AC47"/>
  <sheetViews>
    <sheetView showGridLines="0" workbookViewId="0">
      <pane xSplit="1" ySplit="8" topLeftCell="B9" activePane="bottomRight" state="frozen"/>
      <selection activeCell="H10" sqref="H10"/>
      <selection pane="topRight" activeCell="H10" sqref="H10"/>
      <selection pane="bottomLeft" activeCell="H10" sqref="H10"/>
      <selection pane="bottomRight" activeCell="E9" sqref="E9"/>
    </sheetView>
  </sheetViews>
  <sheetFormatPr defaultColWidth="0" defaultRowHeight="15" zeroHeight="1" x14ac:dyDescent="0.25"/>
  <cols>
    <col min="1" max="1" width="6.7109375" style="5" customWidth="1"/>
    <col min="2" max="2" width="10.7109375" style="5" customWidth="1"/>
    <col min="3" max="3" width="10" style="5" customWidth="1"/>
    <col min="4" max="9" width="12.7109375" style="5" customWidth="1"/>
    <col min="10" max="14" width="12.7109375" style="5" hidden="1" customWidth="1"/>
    <col min="15" max="15" width="12.7109375" style="5" customWidth="1"/>
    <col min="16" max="19" width="12.7109375" style="5" hidden="1" customWidth="1"/>
    <col min="20" max="20" width="38.42578125" style="5" customWidth="1"/>
    <col min="21" max="21" width="2.7109375" style="5" customWidth="1"/>
    <col min="22" max="22" width="9.140625" style="5" hidden="1" customWidth="1"/>
    <col min="23" max="23" width="12.42578125" style="5" hidden="1" customWidth="1"/>
    <col min="24" max="25" width="0" style="5" hidden="1" customWidth="1"/>
    <col min="26" max="26" width="9.140625" style="5" hidden="1" customWidth="1"/>
    <col min="27" max="27" width="12.42578125" style="5" hidden="1" customWidth="1"/>
    <col min="28" max="29" width="0" style="5" hidden="1" customWidth="1"/>
    <col min="30" max="16384" width="9.140625" style="5" hidden="1"/>
  </cols>
  <sheetData>
    <row r="1" spans="2:25" ht="15" customHeight="1" x14ac:dyDescent="0.25">
      <c r="G1" s="48" t="s">
        <v>58</v>
      </c>
      <c r="O1" s="83" t="str">
        <f>"*Limite de horas: " &amp; LIMITE &amp; "; e 
*Contabiliza a partir de " &amp; TEXT(CARENCIA, "hh:mm") &amp; " hora(s) (para mais ou para menos);
*Caso tenha Atestado em um dos períodos, o que ultrapassar de 4:00 horas de trabalho contabiliza hora positiva."</f>
        <v>*Limite de horas: 2h diárias; e 
*Contabiliza a partir de 00:00 hora(s) (para mais ou para menos);
*Caso tenha Atestado em um dos períodos, o que ultrapassar de 4:00 horas de trabalho contabiliza hora positiva.</v>
      </c>
      <c r="P1" s="83"/>
      <c r="Q1" s="83"/>
      <c r="R1" s="83"/>
      <c r="S1" s="83"/>
      <c r="T1" s="83"/>
    </row>
    <row r="2" spans="2:25" ht="15" customHeight="1" thickBot="1" x14ac:dyDescent="0.3">
      <c r="B2" s="6"/>
      <c r="G2" s="90"/>
      <c r="H2" s="91"/>
      <c r="I2" s="91"/>
      <c r="N2" s="24"/>
      <c r="O2" s="83"/>
      <c r="P2" s="83"/>
      <c r="Q2" s="83"/>
      <c r="R2" s="83"/>
      <c r="S2" s="83"/>
      <c r="T2" s="83"/>
    </row>
    <row r="3" spans="2:25" ht="15" customHeight="1" x14ac:dyDescent="0.25">
      <c r="B3" s="6"/>
      <c r="G3" s="48" t="s">
        <v>96</v>
      </c>
      <c r="H3" s="92" t="s">
        <v>97</v>
      </c>
      <c r="I3" s="93"/>
      <c r="N3" s="24"/>
      <c r="O3" s="83"/>
      <c r="P3" s="83"/>
      <c r="Q3" s="83"/>
      <c r="R3" s="83"/>
      <c r="S3" s="83"/>
      <c r="T3" s="83"/>
    </row>
    <row r="4" spans="2:25" ht="15" customHeight="1" thickBot="1" x14ac:dyDescent="0.3">
      <c r="B4" s="6"/>
      <c r="G4" s="52"/>
      <c r="H4" s="84"/>
      <c r="I4" s="85"/>
      <c r="N4" s="24"/>
      <c r="O4" s="83"/>
      <c r="P4" s="83"/>
      <c r="Q4" s="83"/>
      <c r="R4" s="83"/>
      <c r="S4" s="83"/>
      <c r="T4" s="83"/>
    </row>
    <row r="5" spans="2:25" ht="15" customHeight="1" x14ac:dyDescent="0.25">
      <c r="B5" s="86" t="s">
        <v>59</v>
      </c>
      <c r="C5" s="87"/>
      <c r="D5" s="48" t="s">
        <v>62</v>
      </c>
      <c r="E5" s="48" t="s">
        <v>88</v>
      </c>
      <c r="G5" s="7"/>
      <c r="N5" s="24"/>
      <c r="O5" s="94" t="s">
        <v>100</v>
      </c>
      <c r="P5" s="34" t="s">
        <v>76</v>
      </c>
      <c r="Q5" s="34" t="s">
        <v>76</v>
      </c>
      <c r="R5" s="34" t="s">
        <v>76</v>
      </c>
      <c r="S5" s="34" t="s">
        <v>76</v>
      </c>
      <c r="T5" s="24"/>
    </row>
    <row r="6" spans="2:25" ht="16.5" customHeight="1" thickBot="1" x14ac:dyDescent="0.3">
      <c r="B6" s="88" t="s">
        <v>69</v>
      </c>
      <c r="C6" s="89"/>
      <c r="D6" s="30" t="str">
        <f>IF(Janeiro!D6&lt;&gt;"",Janeiro!D6,"")</f>
        <v/>
      </c>
      <c r="E6" s="30" t="str">
        <f>IF(Janeiro!E6&lt;&gt;"",Janeiro!E6,"")</f>
        <v/>
      </c>
      <c r="F6" s="32" t="str">
        <f>IF(ISERROR(DATEVALUE(IF(E6&lt;&gt;"",E6,1)&amp;"-"&amp;B6&amp;"-"&amp;D6)),"",DATEVALUE(IF(E6&lt;&gt;"",E6,1)&amp;"-"&amp;B6&amp;"-"&amp;D6))</f>
        <v/>
      </c>
      <c r="N6" s="24"/>
      <c r="O6" s="95"/>
      <c r="P6" s="81" t="s">
        <v>95</v>
      </c>
      <c r="Q6" s="82"/>
      <c r="R6" s="82"/>
      <c r="S6" s="82"/>
      <c r="T6" s="24"/>
    </row>
    <row r="7" spans="2:25" x14ac:dyDescent="0.25">
      <c r="E7" s="8"/>
      <c r="F7" s="8"/>
      <c r="G7" s="8"/>
      <c r="H7" s="8"/>
      <c r="I7" s="8"/>
      <c r="J7" s="34" t="s">
        <v>76</v>
      </c>
      <c r="K7" s="34" t="s">
        <v>76</v>
      </c>
      <c r="L7" s="34" t="s">
        <v>76</v>
      </c>
      <c r="M7" s="34" t="s">
        <v>76</v>
      </c>
      <c r="N7" s="34" t="s">
        <v>76</v>
      </c>
      <c r="O7" s="45">
        <f>Junho!O39</f>
        <v>0</v>
      </c>
      <c r="P7" s="45">
        <f>SUM(tblHorasJul[Atrasos
(horas)])</f>
        <v>0</v>
      </c>
      <c r="Q7" s="46">
        <f>SUM(tblHorasJul[Faltas
(dias)])</f>
        <v>0</v>
      </c>
      <c r="R7" s="45">
        <f>SUM(tblHorasJul[Hora Extra Normal])</f>
        <v>0</v>
      </c>
      <c r="S7" s="45">
        <f>SUM(tblHorasJul[Hora Extra 
Especial])</f>
        <v>0</v>
      </c>
      <c r="T7" s="24"/>
    </row>
    <row r="8" spans="2:25" s="9" customFormat="1" ht="45" customHeight="1" x14ac:dyDescent="0.25">
      <c r="B8" s="9" t="s">
        <v>0</v>
      </c>
      <c r="C8" s="9" t="s">
        <v>1</v>
      </c>
      <c r="D8" s="10" t="s">
        <v>51</v>
      </c>
      <c r="E8" s="9" t="s">
        <v>3</v>
      </c>
      <c r="F8" s="9" t="s">
        <v>4</v>
      </c>
      <c r="G8" s="9" t="s">
        <v>5</v>
      </c>
      <c r="H8" s="9" t="s">
        <v>6</v>
      </c>
      <c r="I8" s="10" t="s">
        <v>52</v>
      </c>
      <c r="J8" s="9" t="s">
        <v>35</v>
      </c>
      <c r="K8" s="9" t="s">
        <v>36</v>
      </c>
      <c r="L8" s="9" t="s">
        <v>55</v>
      </c>
      <c r="M8" s="9" t="s">
        <v>48</v>
      </c>
      <c r="N8" s="9" t="s">
        <v>50</v>
      </c>
      <c r="O8" s="9" t="s">
        <v>49</v>
      </c>
      <c r="P8" s="9" t="s">
        <v>91</v>
      </c>
      <c r="Q8" s="9" t="s">
        <v>92</v>
      </c>
      <c r="R8" s="9" t="s">
        <v>93</v>
      </c>
      <c r="S8" s="9" t="s">
        <v>94</v>
      </c>
      <c r="T8" s="9" t="s">
        <v>46</v>
      </c>
      <c r="W8" s="26"/>
    </row>
    <row r="9" spans="2:25" x14ac:dyDescent="0.25">
      <c r="B9" s="11" t="str">
        <f>IF(ISERROR(F6),"",F6)</f>
        <v/>
      </c>
      <c r="C9" s="12" t="str">
        <f>TEXT(tblHorasJul[Data],"ddd")</f>
        <v/>
      </c>
      <c r="D9" s="25"/>
      <c r="E9" s="1"/>
      <c r="F9" s="1"/>
      <c r="G9" s="1"/>
      <c r="H9" s="1"/>
      <c r="I9" s="53"/>
      <c r="J9" s="4">
        <f>IF($B$6&lt;&gt;"",
IF(AND(tblHorasJul[Evento 
(1º Período)]&lt;&gt;"",IF(ISERROR(VLOOKUP(tblHorasJul[Evento 
(1º Período)],tblEvento[],Tabelas!$D$1,FALSE)),FALSE,VLOOKUP(tblHorasJul[Evento 
(1º Período)],tblEvento[],Tabelas!$D$1,FALSE)="Sim")),
        IF(JORNADA_PERIODO_1&lt;&gt;"",
IF(VLOOKUP(tblHorasJul[Dia],tblDiaUtil[[Abreviatura]:[1º Período]],3,FALSE)&gt;0,VLOOKUP(tblHorasJul[Dia],tblDiaUtil[[Abreviatura]:[1º Período]],3,FALSE),JORNADA_PERIODO_1),
IF(VLOOKUP(tblHorasJul[Dia],tblDiaUtil[[Abreviatura]:[1º Período]],3,FALSE)&gt;0,VLOOKUP(tblHorasJul[Dia],tblDiaUtil[[Abreviatura]:[1º Período]],3,FALSE),JORNADA/2)),
        IF(AND(ISNUMBER(tblHorasJul[Saída - 1 (Almoço)]),ISNUMBER(tblHorasJul[Entrada - 1])),
              IF(OR(AND(tblHorasJul[Evento 
(1º Período)]&lt;&gt;"",IF(ISERROR(VLOOKUP(tblHorasJul[Evento 
(1º Período)],tblEvento[],Tabelas!$E$1,FALSE)),FALSE,VLOOKUP(tblHorasJul[Evento 
(1º Período)],tblEvento[],Tabelas!$E$1,FALSE)="Sim")),IF(VLOOKUP(TEXT(tblHorasJul[Data],"dddd"),tblDiaUtil[],2,FALSE)="Não",TRUE,FALSE)),
                   tblHorasJul[Saída - 1 (Almoço)]-tblHorasJul[Entrada - 1],
                   IF(OR(HOUR(tblHorasJul[Saída - 1 (Almoço)]-tblHorasJul[Entrada - 1])&gt;0,ROUND(tblHorasJul[Saída - 1 (Almoço)]-tblHorasJul[Entrada - 1],6)&gt;ROUND(CARENCIA,6)),
                          tblHorasJul[Saída - 1 (Almoço)]-tblHorasJul[Entrada - 1],
                          0)),
                    0)),0)</f>
        <v>0</v>
      </c>
      <c r="K9" s="4">
        <f>IF($B$6&lt;&gt;"",
IF(AND(tblHorasJul[Evento 
(2º Período)]&lt;&gt;"",IF(ISERROR(VLOOKUP(tblHorasJul[Evento 
(2º Período)],tblEvento[],Tabelas!$D$1,FALSE)),FALSE,VLOOKUP(tblHorasJul[Evento 
(2º Período)],tblEvento[],Tabelas!$D$1,FALSE)="Sim")),
        IF(JORNADA_PERIODO_2&lt;&gt;"",
IF(VLOOKUP(tblHorasJul[Dia],tblDiaUtil[[Abreviatura]:[2º Período]],4,FALSE)&gt;0,VLOOKUP(tblHorasJul[Dia],tblDiaUtil[[Abreviatura]:[2º Período]],4,FALSE),JORNADA_PERIODO_2),
IF(VLOOKUP(tblHorasJul[Dia],tblDiaUtil[[Abreviatura]:[2º Período]],4,FALSE)&gt;0,VLOOKUP(tblHorasJul[Dia],tblDiaUtil[[Abreviatura]:[2º Período]],4,FALSE),JORNADA/2)),
        IF(AND(ISNUMBER(tblHorasJul[Saída - 2]),ISNUMBER(tblHorasJul[Entrada - 2 (Almoço)])),
              IF(OR(AND(tblHorasJul[Evento 
(2º Período)]&lt;&gt;"",IF(ISERROR(VLOOKUP(tblHorasJul[Evento 
(2º Período)],tblEvento[],Tabelas!$E$1,FALSE)),FALSE,VLOOKUP(tblHorasJul[Evento 
(2º Período)],tblEvento[],Tabelas!$E$1,FALSE)="Sim")),IF(VLOOKUP(TEXT(tblHorasJul[Data],"dddd"),tblDiaUtil[],2,FALSE)="Não",TRUE,FALSE)),
                   tblHorasJul[Saída - 2]-tblHorasJul[Entrada - 2 (Almoço)],
                   IF(OR(HOUR(tblHorasJul[Saída - 2]-tblHorasJul[Entrada - 2 (Almoço)])&gt;0,MINUTE(tblHorasJul[Saída - 2]-tblHorasJul[Entrada - 2 (Almoço)])&gt;CARENCIA),
                         tblHorasJul[Saída - 2]-tblHorasJul[Entrada - 2 (Almoço)],
                         0)),
       0)),0)</f>
        <v>0</v>
      </c>
      <c r="L9" s="4">
        <f>tblHorasJul[Horas Trabalhadas (1º Período)]+tblHorasJul[Horas Trabalhadas (2º Período)]</f>
        <v>0</v>
      </c>
      <c r="M9" s="4" t="str">
        <f>IF(tblHorasJul[Data]&lt;&gt;"",
        IF(
AND(VLOOKUP(TEXT(tblHorasJul[Data],"dddd"),tblDiaUtil[],3,FALSE)="Sim",IF(tblHorasJul[Evento 
(1º Período)]&lt;&gt;"",IF(VLOOKUP(tblHorasJul[Evento 
(1º Período)],tblEvento[],Tabelas!$E$1,FALSE)="Sim",FALSE,TRUE),TRUE),IF(tblHorasJul[Evento 
(2º Período)]&lt;&gt;"",IF(VLOOKUP(tblHorasJul[Evento 
(2º Período)],tblEvento[],Tabelas!$E$1,FALSE)="Sim",FALSE,TRUE),TRUE)),
              IF(VLOOKUP(tblHorasJul[Dia],tblDiaUtil[[Abreviatura]:[1º Período]],3,FALSE)&gt;0,VLOOKUP(tblHorasJul[Dia],tblDiaUtil[[Abreviatura]:[1º Período]],3,FALSE),JORNADA),
              ""),
         "")</f>
        <v/>
      </c>
      <c r="N9" s="14">
        <f>IF(OR(tblHorasJul[Horas Trabalhadas (1º Período)]&lt;&gt;0,tblHorasJul[Horas Trabalhadas (2º Período)]&lt;&gt;0),
        IF(ISNUMBER(tblHorasJul[Jornada Diária]),
              IF(tblHorasJul[Jornada Diária]&gt;(tblHorasJul[Horas Trabalhadas (2º Período)]+tblHorasJul[Horas Trabalhadas (1º Período)]),
                     IF(ROUND((tblHorasJul[Jornada Diária]-(tblHorasJul[Horas Trabalhadas (2º Período)]+tblHorasJul[Horas Trabalhadas (1º Período)])),6)&gt;ROUND(CARENCIA,6),
                           -tblHorasJul[Jornada Diária]+(tblHorasJul[Horas Trabalhadas (2º Período)]+tblHorasJul[Horas Trabalhadas (1º Período)]),
                           0),
                      IF(ROUND((tblHorasJul[Jornada Diária]-(tblHorasJul[Horas Trabalhadas (2º Período)]+tblHorasJul[Horas Trabalhadas (1º Período)])),6)&lt;ROUND(-CARENCIA,6),
                           -tblHorasJul[Jornada Diária]+(tblHorasJul[Horas Trabalhadas (2º Período)]+tblHorasJul[Horas Trabalhadas (1º Período)]),
                           0)),
              tblHorasJul[Horas Trabalhadas (2º Período)]+tblHorasJul[Horas Trabalhadas (1º Período)]),
         IF(AND(IF(ISERROR(VLOOKUP(tblHorasJul[Evento 
(1º Período)],tblEvento[[Evento]:[Libera o Período]],4,FALSE)),FALSE,IF(VLOOKUP(tblHorasJul[Evento 
(1º Período)],tblEvento[[Evento]:[Libera o Período]],4,FALSE)="Não",TRUE,FALSE)),IF(ISERROR(VLOOKUP(tblHorasJul[Evento 
(2º Período)],tblEvento[[Evento]:[Libera o Período]],4,FALSE)),FALSE,IF(VLOOKUP(tblHorasJul[Evento 
(2º Período)],tblEvento[[Evento]:[Libera o Período]],4,FALSE)="Não",TRUE,FALSE))),
-IF(VLOOKUP(tblHorasJul[Dia],tblDiaUtil[[Abreviatura]:[Total Jornada]],5,FALSE)&lt;&gt;"",VLOOKUP(tblHorasJul[Dia],tblDiaUtil[[Abreviatura]:[Total Jornada]],5,FALSE),JORNADA),
IF(IF(ISERROR(VLOOKUP(tblHorasJul[Evento 
(1º Período)],tblEvento[[Evento]:[Libera o Período]],4,FALSE)),FALSE,
IF(VLOOKUP(tblHorasJul[Evento 
(1º Período)],tblEvento[[Evento]:[Libera o Período]],4,FALSE)="Não",TRUE,FALSE)
),
-IF(VLOOKUP(tblHorasJul[Dia],tblDiaUtil[[Abreviatura]:[1º Período]],3,FALSE)&lt;&gt;"",VLOOKUP(tblHorasJul[Dia],tblDiaUtil[[Abreviatura]:[1º Período]],3,FALSE),JORNADA_PERIODO_1),
IF(IF(ISERROR(VLOOKUP(tblHorasJul[Evento 
(2º Período)],tblEvento[[Evento]:[Libera o Período]],4,FALSE)),FALSE,IF(VLOOKUP(tblHorasJul[Evento 
(2º Período)],tblEvento[[Evento]:[Libera o Período]],4,FALSE)="Não",TRUE,FALSE)),
-IF(VLOOKUP(tblHorasJul[Dia],tblDiaUtil[[Abreviatura]:[2º Período]],4,FALSE)&lt;&gt;"",VLOOKUP(tblHorasJul[Dia],tblDiaUtil[[Abreviatura]:[2º Período]],4,FALSE),JORNADA_PERIODO_2),0))))</f>
        <v>0</v>
      </c>
      <c r="O9" s="14">
        <f>IF(tblHorasJul[Horas Trabalhadas Além Jornada]&gt;0,
        IF(ISNUMBER(tblHorasJul[Jornada Diária]),
              IF(HOUR(tblHorasJul[Horas Trabalhadas Além Jornada])&gt;=VLOOKUP(LIMITE,tblLimiteHora[],Tabelas!$I$1,FALSE),
                    VLOOKUP(LIMITE,tblLimiteHora[],Tabelas!$J$1,FALSE),
                    tblHorasJul[Horas Trabalhadas Além Jornada]),
              tblHorasJul[Horas Trabalhadas Além Jornada]),
        tblHorasJul[Horas Trabalhadas Além Jornada])+O7</f>
        <v>0</v>
      </c>
      <c r="P9" s="14" t="str">
        <f>IF(tblHorasJul[Horas Trabalhadas Além Jornada]&lt;0,IF(OR(tblHorasJul[Evento 
(1º Período)]="",tblHorasJul[Evento 
(2º Período)]=""),tblHorasJul[Horas Trabalhadas Além Jornada],""),"")</f>
        <v/>
      </c>
      <c r="Q9" s="14" t="str">
        <f>IF(tblHorasJul[Jornada Diária]&lt;&gt;"",IF((N(tblHorasJul[Jornada Diária])-ABS(N(tblHorasJul[Horas Trabalhadas Além Jornada])))=0,1,""),"")</f>
        <v/>
      </c>
      <c r="R9" s="14" t="str">
        <f>IF(tblHorasJul[Horas Trabalhadas Além Jornada]&gt;0,
IF(AND(VLOOKUP(TEXT(tblHorasJul[Data],"dddd"),tblDiaUtil[],3,FALSE)="Sim",IF(tblHorasJul[Evento 
(1º Período)]&lt;&gt;"",IF(VLOOKUP(tblHorasJul[Evento 
(1º Período)],tblEvento[],Tabelas!$E$1,FALSE)="Sim",FALSE,TRUE),TRUE),IF(tblHorasJul[Evento 
(2º Período)]&lt;&gt;"",IF(VLOOKUP(tblHorasJul[Evento 
(2º Período)],tblEvento[],Tabelas!$E$1,FALSE)="Sim",FALSE,TRUE),TRUE)),
tblHorasJul[Horas Trabalhadas Além Jornada],""),"")</f>
        <v/>
      </c>
      <c r="S9" s="14" t="str">
        <f>IF(tblHorasJul[Horas Trabalhadas Além Jornada]&gt;0,
IF(OR(VLOOKUP(TEXT(tblHorasJul[Data],"dddd"),tblDiaUtil[],3,FALSE)="Não",IF(tblHorasJul[Evento 
(1º Período)]&lt;&gt;"",IF(VLOOKUP(tblHorasJul[Evento 
(1º Período)],tblEvento[],Tabelas!$E$1,FALSE)="Sim",TRUE,FALSE),FALSE),IF(tblHorasJul[Evento 
(2º Período)]&lt;&gt;"",IF(VLOOKUP(tblHorasJul[Evento 
(2º Período)],tblEvento[],Tabelas!$E$1,FALSE)="Sim",TRUE,FALSE),FALSE)),
tblHorasJul[Horas Trabalhadas Além Jornada],""),"")</f>
        <v/>
      </c>
      <c r="T9" s="15" t="str">
        <f>IF(tblHorasJul[Evento 
(1º Período)]&lt;&gt;""," - " &amp;VLOOKUP(tblHorasJul[Evento 
(1º Período)],tblEvento[],Tabelas!$F$1,FALSE),"")&amp;IF(AND(tblHorasJul[Evento 
(2º Período)]&lt;&gt;"",tblHorasJul[Evento 
(2º Período)]&lt;&gt;tblHorasJul[Evento 
(1º Período)])," - " &amp; VLOOKUP(tblHorasJul[Evento 
(2º Período)],tblEvento[],Tabelas!$F$1,FALSE),"")</f>
        <v/>
      </c>
      <c r="V9" s="16"/>
      <c r="Y9" s="17"/>
    </row>
    <row r="10" spans="2:25" x14ac:dyDescent="0.25">
      <c r="B10" s="11" t="str">
        <f>IF(B9&lt;&gt;"",IF(DAY(B9+1)=IF($E$6&lt;&gt;"",$E$6,1),"",B9+1),"")</f>
        <v/>
      </c>
      <c r="C10" s="12" t="str">
        <f>TEXT(tblHorasJul[Data],"ddd")</f>
        <v/>
      </c>
      <c r="D10" s="25"/>
      <c r="E10" s="1"/>
      <c r="F10" s="1"/>
      <c r="G10" s="1"/>
      <c r="H10" s="1"/>
      <c r="I10" s="53"/>
      <c r="J10" s="4">
        <f>IF($B$6&lt;&gt;"",
IF(AND(tblHorasJul[Evento 
(1º Período)]&lt;&gt;"",IF(ISERROR(VLOOKUP(tblHorasJul[Evento 
(1º Período)],tblEvento[],Tabelas!$D$1,FALSE)),FALSE,VLOOKUP(tblHorasJul[Evento 
(1º Período)],tblEvento[],Tabelas!$D$1,FALSE)="Sim")),
        IF(JORNADA_PERIODO_1&lt;&gt;"",
IF(VLOOKUP(tblHorasJul[Dia],tblDiaUtil[[Abreviatura]:[1º Período]],3,FALSE)&gt;0,VLOOKUP(tblHorasJul[Dia],tblDiaUtil[[Abreviatura]:[1º Período]],3,FALSE),JORNADA_PERIODO_1),
IF(VLOOKUP(tblHorasJul[Dia],tblDiaUtil[[Abreviatura]:[1º Período]],3,FALSE)&gt;0,VLOOKUP(tblHorasJul[Dia],tblDiaUtil[[Abreviatura]:[1º Período]],3,FALSE),JORNADA/2)),
        IF(AND(ISNUMBER(tblHorasJul[Saída - 1 (Almoço)]),ISNUMBER(tblHorasJul[Entrada - 1])),
              IF(OR(AND(tblHorasJul[Evento 
(1º Período)]&lt;&gt;"",IF(ISERROR(VLOOKUP(tblHorasJul[Evento 
(1º Período)],tblEvento[],Tabelas!$E$1,FALSE)),FALSE,VLOOKUP(tblHorasJul[Evento 
(1º Período)],tblEvento[],Tabelas!$E$1,FALSE)="Sim")),IF(VLOOKUP(TEXT(tblHorasJul[Data],"dddd"),tblDiaUtil[],2,FALSE)="Não",TRUE,FALSE)),
                   tblHorasJul[Saída - 1 (Almoço)]-tblHorasJul[Entrada - 1],
                   IF(OR(HOUR(tblHorasJul[Saída - 1 (Almoço)]-tblHorasJul[Entrada - 1])&gt;0,ROUND(tblHorasJul[Saída - 1 (Almoço)]-tblHorasJul[Entrada - 1],6)&gt;ROUND(CARENCIA,6)),
                          tblHorasJul[Saída - 1 (Almoço)]-tblHorasJul[Entrada - 1],
                          0)),
                    0)),0)</f>
        <v>0</v>
      </c>
      <c r="K10" s="4">
        <f>IF($B$6&lt;&gt;"",
IF(AND(tblHorasJul[Evento 
(2º Período)]&lt;&gt;"",IF(ISERROR(VLOOKUP(tblHorasJul[Evento 
(2º Período)],tblEvento[],Tabelas!$D$1,FALSE)),FALSE,VLOOKUP(tblHorasJul[Evento 
(2º Período)],tblEvento[],Tabelas!$D$1,FALSE)="Sim")),
        IF(JORNADA_PERIODO_2&lt;&gt;"",
IF(VLOOKUP(tblHorasJul[Dia],tblDiaUtil[[Abreviatura]:[2º Período]],4,FALSE)&gt;0,VLOOKUP(tblHorasJul[Dia],tblDiaUtil[[Abreviatura]:[2º Período]],4,FALSE),JORNADA_PERIODO_2),
IF(VLOOKUP(tblHorasJul[Dia],tblDiaUtil[[Abreviatura]:[2º Período]],4,FALSE)&gt;0,VLOOKUP(tblHorasJul[Dia],tblDiaUtil[[Abreviatura]:[2º Período]],4,FALSE),JORNADA/2)),
        IF(AND(ISNUMBER(tblHorasJul[Saída - 2]),ISNUMBER(tblHorasJul[Entrada - 2 (Almoço)])),
              IF(OR(AND(tblHorasJul[Evento 
(2º Período)]&lt;&gt;"",IF(ISERROR(VLOOKUP(tblHorasJul[Evento 
(2º Período)],tblEvento[],Tabelas!$E$1,FALSE)),FALSE,VLOOKUP(tblHorasJul[Evento 
(2º Período)],tblEvento[],Tabelas!$E$1,FALSE)="Sim")),IF(VLOOKUP(TEXT(tblHorasJul[Data],"dddd"),tblDiaUtil[],2,FALSE)="Não",TRUE,FALSE)),
                   tblHorasJul[Saída - 2]-tblHorasJul[Entrada - 2 (Almoço)],
                   IF(OR(HOUR(tblHorasJul[Saída - 2]-tblHorasJul[Entrada - 2 (Almoço)])&gt;0,MINUTE(tblHorasJul[Saída - 2]-tblHorasJul[Entrada - 2 (Almoço)])&gt;CARENCIA),
                         tblHorasJul[Saída - 2]-tblHorasJul[Entrada - 2 (Almoço)],
                         0)),
       0)),0)</f>
        <v>0</v>
      </c>
      <c r="L10" s="4">
        <f>tblHorasJul[Horas Trabalhadas (1º Período)]+tblHorasJul[Horas Trabalhadas (2º Período)]</f>
        <v>0</v>
      </c>
      <c r="M10" s="4" t="str">
        <f>IF(tblHorasJul[Data]&lt;&gt;"",
        IF(
AND(VLOOKUP(TEXT(tblHorasJul[Data],"dddd"),tblDiaUtil[],3,FALSE)="Sim",IF(tblHorasJul[Evento 
(1º Período)]&lt;&gt;"",IF(VLOOKUP(tblHorasJul[Evento 
(1º Período)],tblEvento[],Tabelas!$E$1,FALSE)="Sim",FALSE,TRUE),TRUE),IF(tblHorasJul[Evento 
(2º Período)]&lt;&gt;"",IF(VLOOKUP(tblHorasJul[Evento 
(2º Período)],tblEvento[],Tabelas!$E$1,FALSE)="Sim",FALSE,TRUE),TRUE)),
              IF(VLOOKUP(tblHorasJul[Dia],tblDiaUtil[[Abreviatura]:[1º Período]],3,FALSE)&gt;0,VLOOKUP(tblHorasJul[Dia],tblDiaUtil[[Abreviatura]:[1º Período]],3,FALSE),JORNADA),
              ""),
         "")</f>
        <v/>
      </c>
      <c r="N10" s="14">
        <f>IF(OR(tblHorasJul[Horas Trabalhadas (1º Período)]&lt;&gt;0,tblHorasJul[Horas Trabalhadas (2º Período)]&lt;&gt;0),
        IF(ISNUMBER(tblHorasJul[Jornada Diária]),
              IF(tblHorasJul[Jornada Diária]&gt;(tblHorasJul[Horas Trabalhadas (2º Período)]+tblHorasJul[Horas Trabalhadas (1º Período)]),
                     IF(ROUND((tblHorasJul[Jornada Diária]-(tblHorasJul[Horas Trabalhadas (2º Período)]+tblHorasJul[Horas Trabalhadas (1º Período)])),6)&gt;ROUND(CARENCIA,6),
                           -tblHorasJul[Jornada Diária]+(tblHorasJul[Horas Trabalhadas (2º Período)]+tblHorasJul[Horas Trabalhadas (1º Período)]),
                           0),
                      IF(ROUND((tblHorasJul[Jornada Diária]-(tblHorasJul[Horas Trabalhadas (2º Período)]+tblHorasJul[Horas Trabalhadas (1º Período)])),6)&lt;ROUND(-CARENCIA,6),
                           -tblHorasJul[Jornada Diária]+(tblHorasJul[Horas Trabalhadas (2º Período)]+tblHorasJul[Horas Trabalhadas (1º Período)]),
                           0)),
              tblHorasJul[Horas Trabalhadas (2º Período)]+tblHorasJul[Horas Trabalhadas (1º Período)]),
         IF(AND(IF(ISERROR(VLOOKUP(tblHorasJul[Evento 
(1º Período)],tblEvento[[Evento]:[Libera o Período]],4,FALSE)),FALSE,IF(VLOOKUP(tblHorasJul[Evento 
(1º Período)],tblEvento[[Evento]:[Libera o Período]],4,FALSE)="Não",TRUE,FALSE)),IF(ISERROR(VLOOKUP(tblHorasJul[Evento 
(2º Período)],tblEvento[[Evento]:[Libera o Período]],4,FALSE)),FALSE,IF(VLOOKUP(tblHorasJul[Evento 
(2º Período)],tblEvento[[Evento]:[Libera o Período]],4,FALSE)="Não",TRUE,FALSE))),
-IF(VLOOKUP(tblHorasJul[Dia],tblDiaUtil[[Abreviatura]:[Total Jornada]],5,FALSE)&lt;&gt;"",VLOOKUP(tblHorasJul[Dia],tblDiaUtil[[Abreviatura]:[Total Jornada]],5,FALSE),JORNADA),
IF(IF(ISERROR(VLOOKUP(tblHorasJul[Evento 
(1º Período)],tblEvento[[Evento]:[Libera o Período]],4,FALSE)),FALSE,
IF(VLOOKUP(tblHorasJul[Evento 
(1º Período)],tblEvento[[Evento]:[Libera o Período]],4,FALSE)="Não",TRUE,FALSE)
),
-IF(VLOOKUP(tblHorasJul[Dia],tblDiaUtil[[Abreviatura]:[1º Período]],3,FALSE)&lt;&gt;"",VLOOKUP(tblHorasJul[Dia],tblDiaUtil[[Abreviatura]:[1º Período]],3,FALSE),JORNADA_PERIODO_1),
IF(IF(ISERROR(VLOOKUP(tblHorasJul[Evento 
(2º Período)],tblEvento[[Evento]:[Libera o Período]],4,FALSE)),FALSE,IF(VLOOKUP(tblHorasJul[Evento 
(2º Período)],tblEvento[[Evento]:[Libera o Período]],4,FALSE)="Não",TRUE,FALSE)),
-IF(VLOOKUP(tblHorasJul[Dia],tblDiaUtil[[Abreviatura]:[2º Período]],4,FALSE)&lt;&gt;"",VLOOKUP(tblHorasJul[Dia],tblDiaUtil[[Abreviatura]:[2º Período]],4,FALSE),JORNADA_PERIODO_2),0))))</f>
        <v>0</v>
      </c>
      <c r="O10" s="14">
        <f>IF(tblHorasJul[Horas Trabalhadas Além Jornada]&gt;0,
        IF(ISNUMBER(tblHorasJul[Jornada Diária]),
              IF(HOUR(tblHorasJul[Horas Trabalhadas Além Jornada])&gt;=VLOOKUP(LIMITE,tblLimiteHora[],Tabelas!$I$1,FALSE),
                    VLOOKUP(LIMITE,tblLimiteHora[],Tabelas!$J$1,FALSE),
                    tblHorasJul[Horas Trabalhadas Além Jornada]),
              tblHorasJul[Horas Trabalhadas Além Jornada]),
        tblHorasJul[Horas Trabalhadas Além Jornada])+O9</f>
        <v>0</v>
      </c>
      <c r="P10" s="14" t="str">
        <f>IF(tblHorasJul[Horas Trabalhadas Além Jornada]&lt;0,IF(OR(tblHorasJul[Evento 
(1º Período)]="",tblHorasJul[Evento 
(2º Período)]=""),tblHorasJul[Horas Trabalhadas Além Jornada],""),"")</f>
        <v/>
      </c>
      <c r="Q10" s="14" t="str">
        <f>IF(tblHorasJul[Jornada Diária]&lt;&gt;"",IF((N(tblHorasJul[Jornada Diária])-ABS(N(tblHorasJul[Horas Trabalhadas Além Jornada])))=0,1,""),"")</f>
        <v/>
      </c>
      <c r="R10" s="14" t="str">
        <f>IF(tblHorasJul[Horas Trabalhadas Além Jornada]&gt;0,
IF(AND(VLOOKUP(TEXT(tblHorasJul[Data],"dddd"),tblDiaUtil[],3,FALSE)="Sim",IF(tblHorasJul[Evento 
(1º Período)]&lt;&gt;"",IF(VLOOKUP(tblHorasJul[Evento 
(1º Período)],tblEvento[],Tabelas!$E$1,FALSE)="Sim",FALSE,TRUE),TRUE),IF(tblHorasJul[Evento 
(2º Período)]&lt;&gt;"",IF(VLOOKUP(tblHorasJul[Evento 
(2º Período)],tblEvento[],Tabelas!$E$1,FALSE)="Sim",FALSE,TRUE),TRUE)),
tblHorasJul[Horas Trabalhadas Além Jornada],""),"")</f>
        <v/>
      </c>
      <c r="S10" s="14" t="str">
        <f>IF(tblHorasJul[Horas Trabalhadas Além Jornada]&gt;0,
IF(OR(VLOOKUP(TEXT(tblHorasJul[Data],"dddd"),tblDiaUtil[],3,FALSE)="Não",IF(tblHorasJul[Evento 
(1º Período)]&lt;&gt;"",IF(VLOOKUP(tblHorasJul[Evento 
(1º Período)],tblEvento[],Tabelas!$E$1,FALSE)="Sim",TRUE,FALSE),FALSE),IF(tblHorasJul[Evento 
(2º Período)]&lt;&gt;"",IF(VLOOKUP(tblHorasJul[Evento 
(2º Período)],tblEvento[],Tabelas!$E$1,FALSE)="Sim",TRUE,FALSE),FALSE)),
tblHorasJul[Horas Trabalhadas Além Jornada],""),"")</f>
        <v/>
      </c>
      <c r="T10" s="15" t="str">
        <f>IF(tblHorasJul[Evento 
(1º Período)]&lt;&gt;""," - " &amp;VLOOKUP(tblHorasJul[Evento 
(1º Período)],tblEvento[],Tabelas!$F$1,FALSE),"")&amp;IF(AND(tblHorasJul[Evento 
(2º Período)]&lt;&gt;"",tblHorasJul[Evento 
(2º Período)]&lt;&gt;tblHorasJul[Evento 
(1º Período)])," - " &amp; VLOOKUP(tblHorasJul[Evento 
(2º Período)],tblEvento[],Tabelas!$F$1,FALSE),"")</f>
        <v/>
      </c>
      <c r="Y10" s="17"/>
    </row>
    <row r="11" spans="2:25" x14ac:dyDescent="0.25">
      <c r="B11" s="11" t="str">
        <f t="shared" ref="B11:B39" si="0">IF(B10&lt;&gt;"",IF(DAY(B10+1)=IF($E$6&lt;&gt;"",$E$6,1),"",B10+1),"")</f>
        <v/>
      </c>
      <c r="C11" s="12" t="str">
        <f>TEXT(tblHorasJul[Data],"ddd")</f>
        <v/>
      </c>
      <c r="D11" s="25"/>
      <c r="E11" s="1"/>
      <c r="F11" s="1"/>
      <c r="G11" s="1"/>
      <c r="H11" s="1"/>
      <c r="I11" s="53"/>
      <c r="J11" s="4">
        <f>IF($B$6&lt;&gt;"",
IF(AND(tblHorasJul[Evento 
(1º Período)]&lt;&gt;"",IF(ISERROR(VLOOKUP(tblHorasJul[Evento 
(1º Período)],tblEvento[],Tabelas!$D$1,FALSE)),FALSE,VLOOKUP(tblHorasJul[Evento 
(1º Período)],tblEvento[],Tabelas!$D$1,FALSE)="Sim")),
        IF(JORNADA_PERIODO_1&lt;&gt;"",
IF(VLOOKUP(tblHorasJul[Dia],tblDiaUtil[[Abreviatura]:[1º Período]],3,FALSE)&gt;0,VLOOKUP(tblHorasJul[Dia],tblDiaUtil[[Abreviatura]:[1º Período]],3,FALSE),JORNADA_PERIODO_1),
IF(VLOOKUP(tblHorasJul[Dia],tblDiaUtil[[Abreviatura]:[1º Período]],3,FALSE)&gt;0,VLOOKUP(tblHorasJul[Dia],tblDiaUtil[[Abreviatura]:[1º Período]],3,FALSE),JORNADA/2)),
        IF(AND(ISNUMBER(tblHorasJul[Saída - 1 (Almoço)]),ISNUMBER(tblHorasJul[Entrada - 1])),
              IF(OR(AND(tblHorasJul[Evento 
(1º Período)]&lt;&gt;"",IF(ISERROR(VLOOKUP(tblHorasJul[Evento 
(1º Período)],tblEvento[],Tabelas!$E$1,FALSE)),FALSE,VLOOKUP(tblHorasJul[Evento 
(1º Período)],tblEvento[],Tabelas!$E$1,FALSE)="Sim")),IF(VLOOKUP(TEXT(tblHorasJul[Data],"dddd"),tblDiaUtil[],2,FALSE)="Não",TRUE,FALSE)),
                   tblHorasJul[Saída - 1 (Almoço)]-tblHorasJul[Entrada - 1],
                   IF(OR(HOUR(tblHorasJul[Saída - 1 (Almoço)]-tblHorasJul[Entrada - 1])&gt;0,ROUND(tblHorasJul[Saída - 1 (Almoço)]-tblHorasJul[Entrada - 1],6)&gt;ROUND(CARENCIA,6)),
                          tblHorasJul[Saída - 1 (Almoço)]-tblHorasJul[Entrada - 1],
                          0)),
                    0)),0)</f>
        <v>0</v>
      </c>
      <c r="K11" s="4">
        <f>IF($B$6&lt;&gt;"",
IF(AND(tblHorasJul[Evento 
(2º Período)]&lt;&gt;"",IF(ISERROR(VLOOKUP(tblHorasJul[Evento 
(2º Período)],tblEvento[],Tabelas!$D$1,FALSE)),FALSE,VLOOKUP(tblHorasJul[Evento 
(2º Período)],tblEvento[],Tabelas!$D$1,FALSE)="Sim")),
        IF(JORNADA_PERIODO_2&lt;&gt;"",
IF(VLOOKUP(tblHorasJul[Dia],tblDiaUtil[[Abreviatura]:[2º Período]],4,FALSE)&gt;0,VLOOKUP(tblHorasJul[Dia],tblDiaUtil[[Abreviatura]:[2º Período]],4,FALSE),JORNADA_PERIODO_2),
IF(VLOOKUP(tblHorasJul[Dia],tblDiaUtil[[Abreviatura]:[2º Período]],4,FALSE)&gt;0,VLOOKUP(tblHorasJul[Dia],tblDiaUtil[[Abreviatura]:[2º Período]],4,FALSE),JORNADA/2)),
        IF(AND(ISNUMBER(tblHorasJul[Saída - 2]),ISNUMBER(tblHorasJul[Entrada - 2 (Almoço)])),
              IF(OR(AND(tblHorasJul[Evento 
(2º Período)]&lt;&gt;"",IF(ISERROR(VLOOKUP(tblHorasJul[Evento 
(2º Período)],tblEvento[],Tabelas!$E$1,FALSE)),FALSE,VLOOKUP(tblHorasJul[Evento 
(2º Período)],tblEvento[],Tabelas!$E$1,FALSE)="Sim")),IF(VLOOKUP(TEXT(tblHorasJul[Data],"dddd"),tblDiaUtil[],2,FALSE)="Não",TRUE,FALSE)),
                   tblHorasJul[Saída - 2]-tblHorasJul[Entrada - 2 (Almoço)],
                   IF(OR(HOUR(tblHorasJul[Saída - 2]-tblHorasJul[Entrada - 2 (Almoço)])&gt;0,MINUTE(tblHorasJul[Saída - 2]-tblHorasJul[Entrada - 2 (Almoço)])&gt;CARENCIA),
                         tblHorasJul[Saída - 2]-tblHorasJul[Entrada - 2 (Almoço)],
                         0)),
       0)),0)</f>
        <v>0</v>
      </c>
      <c r="L11" s="4">
        <f>tblHorasJul[Horas Trabalhadas (1º Período)]+tblHorasJul[Horas Trabalhadas (2º Período)]</f>
        <v>0</v>
      </c>
      <c r="M11" s="4" t="str">
        <f>IF(tblHorasJul[Data]&lt;&gt;"",
        IF(
AND(VLOOKUP(TEXT(tblHorasJul[Data],"dddd"),tblDiaUtil[],3,FALSE)="Sim",IF(tblHorasJul[Evento 
(1º Período)]&lt;&gt;"",IF(VLOOKUP(tblHorasJul[Evento 
(1º Período)],tblEvento[],Tabelas!$E$1,FALSE)="Sim",FALSE,TRUE),TRUE),IF(tblHorasJul[Evento 
(2º Período)]&lt;&gt;"",IF(VLOOKUP(tblHorasJul[Evento 
(2º Período)],tblEvento[],Tabelas!$E$1,FALSE)="Sim",FALSE,TRUE),TRUE)),
              IF(VLOOKUP(tblHorasJul[Dia],tblDiaUtil[[Abreviatura]:[1º Período]],3,FALSE)&gt;0,VLOOKUP(tblHorasJul[Dia],tblDiaUtil[[Abreviatura]:[1º Período]],3,FALSE),JORNADA),
              ""),
         "")</f>
        <v/>
      </c>
      <c r="N11" s="14">
        <f>IF(OR(tblHorasJul[Horas Trabalhadas (1º Período)]&lt;&gt;0,tblHorasJul[Horas Trabalhadas (2º Período)]&lt;&gt;0),
        IF(ISNUMBER(tblHorasJul[Jornada Diária]),
              IF(tblHorasJul[Jornada Diária]&gt;(tblHorasJul[Horas Trabalhadas (2º Período)]+tblHorasJul[Horas Trabalhadas (1º Período)]),
                     IF(ROUND((tblHorasJul[Jornada Diária]-(tblHorasJul[Horas Trabalhadas (2º Período)]+tblHorasJul[Horas Trabalhadas (1º Período)])),6)&gt;ROUND(CARENCIA,6),
                           -tblHorasJul[Jornada Diária]+(tblHorasJul[Horas Trabalhadas (2º Período)]+tblHorasJul[Horas Trabalhadas (1º Período)]),
                           0),
                      IF(ROUND((tblHorasJul[Jornada Diária]-(tblHorasJul[Horas Trabalhadas (2º Período)]+tblHorasJul[Horas Trabalhadas (1º Período)])),6)&lt;ROUND(-CARENCIA,6),
                           -tblHorasJul[Jornada Diária]+(tblHorasJul[Horas Trabalhadas (2º Período)]+tblHorasJul[Horas Trabalhadas (1º Período)]),
                           0)),
              tblHorasJul[Horas Trabalhadas (2º Período)]+tblHorasJul[Horas Trabalhadas (1º Período)]),
         IF(AND(IF(ISERROR(VLOOKUP(tblHorasJul[Evento 
(1º Período)],tblEvento[[Evento]:[Libera o Período]],4,FALSE)),FALSE,IF(VLOOKUP(tblHorasJul[Evento 
(1º Período)],tblEvento[[Evento]:[Libera o Período]],4,FALSE)="Não",TRUE,FALSE)),IF(ISERROR(VLOOKUP(tblHorasJul[Evento 
(2º Período)],tblEvento[[Evento]:[Libera o Período]],4,FALSE)),FALSE,IF(VLOOKUP(tblHorasJul[Evento 
(2º Período)],tblEvento[[Evento]:[Libera o Período]],4,FALSE)="Não",TRUE,FALSE))),
-IF(VLOOKUP(tblHorasJul[Dia],tblDiaUtil[[Abreviatura]:[Total Jornada]],5,FALSE)&lt;&gt;"",VLOOKUP(tblHorasJul[Dia],tblDiaUtil[[Abreviatura]:[Total Jornada]],5,FALSE),JORNADA),
IF(IF(ISERROR(VLOOKUP(tblHorasJul[Evento 
(1º Período)],tblEvento[[Evento]:[Libera o Período]],4,FALSE)),FALSE,
IF(VLOOKUP(tblHorasJul[Evento 
(1º Período)],tblEvento[[Evento]:[Libera o Período]],4,FALSE)="Não",TRUE,FALSE)
),
-IF(VLOOKUP(tblHorasJul[Dia],tblDiaUtil[[Abreviatura]:[1º Período]],3,FALSE)&lt;&gt;"",VLOOKUP(tblHorasJul[Dia],tblDiaUtil[[Abreviatura]:[1º Período]],3,FALSE),JORNADA_PERIODO_1),
IF(IF(ISERROR(VLOOKUP(tblHorasJul[Evento 
(2º Período)],tblEvento[[Evento]:[Libera o Período]],4,FALSE)),FALSE,IF(VLOOKUP(tblHorasJul[Evento 
(2º Período)],tblEvento[[Evento]:[Libera o Período]],4,FALSE)="Não",TRUE,FALSE)),
-IF(VLOOKUP(tblHorasJul[Dia],tblDiaUtil[[Abreviatura]:[2º Período]],4,FALSE)&lt;&gt;"",VLOOKUP(tblHorasJul[Dia],tblDiaUtil[[Abreviatura]:[2º Período]],4,FALSE),JORNADA_PERIODO_2),0))))</f>
        <v>0</v>
      </c>
      <c r="O11" s="14">
        <f>IF(tblHorasJul[Horas Trabalhadas Além Jornada]&gt;0,
        IF(ISNUMBER(tblHorasJul[Jornada Diária]),
              IF(HOUR(tblHorasJul[Horas Trabalhadas Além Jornada])&gt;=VLOOKUP(LIMITE,tblLimiteHora[],Tabelas!$I$1,FALSE),
                    VLOOKUP(LIMITE,tblLimiteHora[],Tabelas!$J$1,FALSE),
                    tblHorasJul[Horas Trabalhadas Além Jornada]),
              tblHorasJul[Horas Trabalhadas Além Jornada]),
        tblHorasJul[Horas Trabalhadas Além Jornada])+O10</f>
        <v>0</v>
      </c>
      <c r="P11" s="14" t="str">
        <f>IF(tblHorasJul[Horas Trabalhadas Além Jornada]&lt;0,IF(OR(tblHorasJul[Evento 
(1º Período)]="",tblHorasJul[Evento 
(2º Período)]=""),tblHorasJul[Horas Trabalhadas Além Jornada],""),"")</f>
        <v/>
      </c>
      <c r="Q11" s="14" t="str">
        <f>IF(tblHorasJul[Jornada Diária]&lt;&gt;"",IF((N(tblHorasJul[Jornada Diária])-ABS(N(tblHorasJul[Horas Trabalhadas Além Jornada])))=0,1,""),"")</f>
        <v/>
      </c>
      <c r="R11" s="14" t="str">
        <f>IF(tblHorasJul[Horas Trabalhadas Além Jornada]&gt;0,
IF(AND(VLOOKUP(TEXT(tblHorasJul[Data],"dddd"),tblDiaUtil[],3,FALSE)="Sim",IF(tblHorasJul[Evento 
(1º Período)]&lt;&gt;"",IF(VLOOKUP(tblHorasJul[Evento 
(1º Período)],tblEvento[],Tabelas!$E$1,FALSE)="Sim",FALSE,TRUE),TRUE),IF(tblHorasJul[Evento 
(2º Período)]&lt;&gt;"",IF(VLOOKUP(tblHorasJul[Evento 
(2º Período)],tblEvento[],Tabelas!$E$1,FALSE)="Sim",FALSE,TRUE),TRUE)),
tblHorasJul[Horas Trabalhadas Além Jornada],""),"")</f>
        <v/>
      </c>
      <c r="S11" s="14" t="str">
        <f>IF(tblHorasJul[Horas Trabalhadas Além Jornada]&gt;0,
IF(OR(VLOOKUP(TEXT(tblHorasJul[Data],"dddd"),tblDiaUtil[],3,FALSE)="Não",IF(tblHorasJul[Evento 
(1º Período)]&lt;&gt;"",IF(VLOOKUP(tblHorasJul[Evento 
(1º Período)],tblEvento[],Tabelas!$E$1,FALSE)="Sim",TRUE,FALSE),FALSE),IF(tblHorasJul[Evento 
(2º Período)]&lt;&gt;"",IF(VLOOKUP(tblHorasJul[Evento 
(2º Período)],tblEvento[],Tabelas!$E$1,FALSE)="Sim",TRUE,FALSE),FALSE)),
tblHorasJul[Horas Trabalhadas Além Jornada],""),"")</f>
        <v/>
      </c>
      <c r="T11" s="15" t="str">
        <f>IF(tblHorasJul[Evento 
(1º Período)]&lt;&gt;""," - " &amp;VLOOKUP(tblHorasJul[Evento 
(1º Período)],tblEvento[],Tabelas!$F$1,FALSE),"")&amp;IF(AND(tblHorasJul[Evento 
(2º Período)]&lt;&gt;"",tblHorasJul[Evento 
(2º Período)]&lt;&gt;tblHorasJul[Evento 
(1º Período)])," - " &amp; VLOOKUP(tblHorasJul[Evento 
(2º Período)],tblEvento[],Tabelas!$F$1,FALSE),"")</f>
        <v/>
      </c>
    </row>
    <row r="12" spans="2:25" x14ac:dyDescent="0.25">
      <c r="B12" s="11" t="str">
        <f t="shared" si="0"/>
        <v/>
      </c>
      <c r="C12" s="12" t="str">
        <f>TEXT(tblHorasJul[Data],"ddd")</f>
        <v/>
      </c>
      <c r="D12" s="25"/>
      <c r="E12" s="1"/>
      <c r="F12" s="1"/>
      <c r="G12" s="1"/>
      <c r="H12" s="1"/>
      <c r="I12" s="53"/>
      <c r="J12" s="4">
        <f>IF($B$6&lt;&gt;"",
IF(AND(tblHorasJul[Evento 
(1º Período)]&lt;&gt;"",IF(ISERROR(VLOOKUP(tblHorasJul[Evento 
(1º Período)],tblEvento[],Tabelas!$D$1,FALSE)),FALSE,VLOOKUP(tblHorasJul[Evento 
(1º Período)],tblEvento[],Tabelas!$D$1,FALSE)="Sim")),
        IF(JORNADA_PERIODO_1&lt;&gt;"",
IF(VLOOKUP(tblHorasJul[Dia],tblDiaUtil[[Abreviatura]:[1º Período]],3,FALSE)&gt;0,VLOOKUP(tblHorasJul[Dia],tblDiaUtil[[Abreviatura]:[1º Período]],3,FALSE),JORNADA_PERIODO_1),
IF(VLOOKUP(tblHorasJul[Dia],tblDiaUtil[[Abreviatura]:[1º Período]],3,FALSE)&gt;0,VLOOKUP(tblHorasJul[Dia],tblDiaUtil[[Abreviatura]:[1º Período]],3,FALSE),JORNADA/2)),
        IF(AND(ISNUMBER(tblHorasJul[Saída - 1 (Almoço)]),ISNUMBER(tblHorasJul[Entrada - 1])),
              IF(OR(AND(tblHorasJul[Evento 
(1º Período)]&lt;&gt;"",IF(ISERROR(VLOOKUP(tblHorasJul[Evento 
(1º Período)],tblEvento[],Tabelas!$E$1,FALSE)),FALSE,VLOOKUP(tblHorasJul[Evento 
(1º Período)],tblEvento[],Tabelas!$E$1,FALSE)="Sim")),IF(VLOOKUP(TEXT(tblHorasJul[Data],"dddd"),tblDiaUtil[],2,FALSE)="Não",TRUE,FALSE)),
                   tblHorasJul[Saída - 1 (Almoço)]-tblHorasJul[Entrada - 1],
                   IF(OR(HOUR(tblHorasJul[Saída - 1 (Almoço)]-tblHorasJul[Entrada - 1])&gt;0,ROUND(tblHorasJul[Saída - 1 (Almoço)]-tblHorasJul[Entrada - 1],6)&gt;ROUND(CARENCIA,6)),
                          tblHorasJul[Saída - 1 (Almoço)]-tblHorasJul[Entrada - 1],
                          0)),
                    0)),0)</f>
        <v>0</v>
      </c>
      <c r="K12" s="4">
        <f>IF($B$6&lt;&gt;"",
IF(AND(tblHorasJul[Evento 
(2º Período)]&lt;&gt;"",IF(ISERROR(VLOOKUP(tblHorasJul[Evento 
(2º Período)],tblEvento[],Tabelas!$D$1,FALSE)),FALSE,VLOOKUP(tblHorasJul[Evento 
(2º Período)],tblEvento[],Tabelas!$D$1,FALSE)="Sim")),
        IF(JORNADA_PERIODO_2&lt;&gt;"",
IF(VLOOKUP(tblHorasJul[Dia],tblDiaUtil[[Abreviatura]:[2º Período]],4,FALSE)&gt;0,VLOOKUP(tblHorasJul[Dia],tblDiaUtil[[Abreviatura]:[2º Período]],4,FALSE),JORNADA_PERIODO_2),
IF(VLOOKUP(tblHorasJul[Dia],tblDiaUtil[[Abreviatura]:[2º Período]],4,FALSE)&gt;0,VLOOKUP(tblHorasJul[Dia],tblDiaUtil[[Abreviatura]:[2º Período]],4,FALSE),JORNADA/2)),
        IF(AND(ISNUMBER(tblHorasJul[Saída - 2]),ISNUMBER(tblHorasJul[Entrada - 2 (Almoço)])),
              IF(OR(AND(tblHorasJul[Evento 
(2º Período)]&lt;&gt;"",IF(ISERROR(VLOOKUP(tblHorasJul[Evento 
(2º Período)],tblEvento[],Tabelas!$E$1,FALSE)),FALSE,VLOOKUP(tblHorasJul[Evento 
(2º Período)],tblEvento[],Tabelas!$E$1,FALSE)="Sim")),IF(VLOOKUP(TEXT(tblHorasJul[Data],"dddd"),tblDiaUtil[],2,FALSE)="Não",TRUE,FALSE)),
                   tblHorasJul[Saída - 2]-tblHorasJul[Entrada - 2 (Almoço)],
                   IF(OR(HOUR(tblHorasJul[Saída - 2]-tblHorasJul[Entrada - 2 (Almoço)])&gt;0,MINUTE(tblHorasJul[Saída - 2]-tblHorasJul[Entrada - 2 (Almoço)])&gt;CARENCIA),
                         tblHorasJul[Saída - 2]-tblHorasJul[Entrada - 2 (Almoço)],
                         0)),
       0)),0)</f>
        <v>0</v>
      </c>
      <c r="L12" s="4">
        <f>tblHorasJul[Horas Trabalhadas (1º Período)]+tblHorasJul[Horas Trabalhadas (2º Período)]</f>
        <v>0</v>
      </c>
      <c r="M12" s="4" t="str">
        <f>IF(tblHorasJul[Data]&lt;&gt;"",
        IF(
AND(VLOOKUP(TEXT(tblHorasJul[Data],"dddd"),tblDiaUtil[],3,FALSE)="Sim",IF(tblHorasJul[Evento 
(1º Período)]&lt;&gt;"",IF(VLOOKUP(tblHorasJul[Evento 
(1º Período)],tblEvento[],Tabelas!$E$1,FALSE)="Sim",FALSE,TRUE),TRUE),IF(tblHorasJul[Evento 
(2º Período)]&lt;&gt;"",IF(VLOOKUP(tblHorasJul[Evento 
(2º Período)],tblEvento[],Tabelas!$E$1,FALSE)="Sim",FALSE,TRUE),TRUE)),
              IF(VLOOKUP(tblHorasJul[Dia],tblDiaUtil[[Abreviatura]:[1º Período]],3,FALSE)&gt;0,VLOOKUP(tblHorasJul[Dia],tblDiaUtil[[Abreviatura]:[1º Período]],3,FALSE),JORNADA),
              ""),
         "")</f>
        <v/>
      </c>
      <c r="N12" s="14">
        <f>IF(OR(tblHorasJul[Horas Trabalhadas (1º Período)]&lt;&gt;0,tblHorasJul[Horas Trabalhadas (2º Período)]&lt;&gt;0),
        IF(ISNUMBER(tblHorasJul[Jornada Diária]),
              IF(tblHorasJul[Jornada Diária]&gt;(tblHorasJul[Horas Trabalhadas (2º Período)]+tblHorasJul[Horas Trabalhadas (1º Período)]),
                     IF(ROUND((tblHorasJul[Jornada Diária]-(tblHorasJul[Horas Trabalhadas (2º Período)]+tblHorasJul[Horas Trabalhadas (1º Período)])),6)&gt;ROUND(CARENCIA,6),
                           -tblHorasJul[Jornada Diária]+(tblHorasJul[Horas Trabalhadas (2º Período)]+tblHorasJul[Horas Trabalhadas (1º Período)]),
                           0),
                      IF(ROUND((tblHorasJul[Jornada Diária]-(tblHorasJul[Horas Trabalhadas (2º Período)]+tblHorasJul[Horas Trabalhadas (1º Período)])),6)&lt;ROUND(-CARENCIA,6),
                           -tblHorasJul[Jornada Diária]+(tblHorasJul[Horas Trabalhadas (2º Período)]+tblHorasJul[Horas Trabalhadas (1º Período)]),
                           0)),
              tblHorasJul[Horas Trabalhadas (2º Período)]+tblHorasJul[Horas Trabalhadas (1º Período)]),
         IF(AND(IF(ISERROR(VLOOKUP(tblHorasJul[Evento 
(1º Período)],tblEvento[[Evento]:[Libera o Período]],4,FALSE)),FALSE,IF(VLOOKUP(tblHorasJul[Evento 
(1º Período)],tblEvento[[Evento]:[Libera o Período]],4,FALSE)="Não",TRUE,FALSE)),IF(ISERROR(VLOOKUP(tblHorasJul[Evento 
(2º Período)],tblEvento[[Evento]:[Libera o Período]],4,FALSE)),FALSE,IF(VLOOKUP(tblHorasJul[Evento 
(2º Período)],tblEvento[[Evento]:[Libera o Período]],4,FALSE)="Não",TRUE,FALSE))),
-IF(VLOOKUP(tblHorasJul[Dia],tblDiaUtil[[Abreviatura]:[Total Jornada]],5,FALSE)&lt;&gt;"",VLOOKUP(tblHorasJul[Dia],tblDiaUtil[[Abreviatura]:[Total Jornada]],5,FALSE),JORNADA),
IF(IF(ISERROR(VLOOKUP(tblHorasJul[Evento 
(1º Período)],tblEvento[[Evento]:[Libera o Período]],4,FALSE)),FALSE,
IF(VLOOKUP(tblHorasJul[Evento 
(1º Período)],tblEvento[[Evento]:[Libera o Período]],4,FALSE)="Não",TRUE,FALSE)
),
-IF(VLOOKUP(tblHorasJul[Dia],tblDiaUtil[[Abreviatura]:[1º Período]],3,FALSE)&lt;&gt;"",VLOOKUP(tblHorasJul[Dia],tblDiaUtil[[Abreviatura]:[1º Período]],3,FALSE),JORNADA_PERIODO_1),
IF(IF(ISERROR(VLOOKUP(tblHorasJul[Evento 
(2º Período)],tblEvento[[Evento]:[Libera o Período]],4,FALSE)),FALSE,IF(VLOOKUP(tblHorasJul[Evento 
(2º Período)],tblEvento[[Evento]:[Libera o Período]],4,FALSE)="Não",TRUE,FALSE)),
-IF(VLOOKUP(tblHorasJul[Dia],tblDiaUtil[[Abreviatura]:[2º Período]],4,FALSE)&lt;&gt;"",VLOOKUP(tblHorasJul[Dia],tblDiaUtil[[Abreviatura]:[2º Período]],4,FALSE),JORNADA_PERIODO_2),0))))</f>
        <v>0</v>
      </c>
      <c r="O12" s="14">
        <f>IF(tblHorasJul[Horas Trabalhadas Além Jornada]&gt;0,
        IF(ISNUMBER(tblHorasJul[Jornada Diária]),
              IF(HOUR(tblHorasJul[Horas Trabalhadas Além Jornada])&gt;=VLOOKUP(LIMITE,tblLimiteHora[],Tabelas!$I$1,FALSE),
                    VLOOKUP(LIMITE,tblLimiteHora[],Tabelas!$J$1,FALSE),
                    tblHorasJul[Horas Trabalhadas Além Jornada]),
              tblHorasJul[Horas Trabalhadas Além Jornada]),
        tblHorasJul[Horas Trabalhadas Além Jornada])+O11</f>
        <v>0</v>
      </c>
      <c r="P12" s="14" t="str">
        <f>IF(tblHorasJul[Horas Trabalhadas Além Jornada]&lt;0,IF(OR(tblHorasJul[Evento 
(1º Período)]="",tblHorasJul[Evento 
(2º Período)]=""),tblHorasJul[Horas Trabalhadas Além Jornada],""),"")</f>
        <v/>
      </c>
      <c r="Q12" s="14" t="str">
        <f>IF(tblHorasJul[Jornada Diária]&lt;&gt;"",IF((N(tblHorasJul[Jornada Diária])-ABS(N(tblHorasJul[Horas Trabalhadas Além Jornada])))=0,1,""),"")</f>
        <v/>
      </c>
      <c r="R12" s="14" t="str">
        <f>IF(tblHorasJul[Horas Trabalhadas Além Jornada]&gt;0,
IF(AND(VLOOKUP(TEXT(tblHorasJul[Data],"dddd"),tblDiaUtil[],3,FALSE)="Sim",IF(tblHorasJul[Evento 
(1º Período)]&lt;&gt;"",IF(VLOOKUP(tblHorasJul[Evento 
(1º Período)],tblEvento[],Tabelas!$E$1,FALSE)="Sim",FALSE,TRUE),TRUE),IF(tblHorasJul[Evento 
(2º Período)]&lt;&gt;"",IF(VLOOKUP(tblHorasJul[Evento 
(2º Período)],tblEvento[],Tabelas!$E$1,FALSE)="Sim",FALSE,TRUE),TRUE)),
tblHorasJul[Horas Trabalhadas Além Jornada],""),"")</f>
        <v/>
      </c>
      <c r="S12" s="14" t="str">
        <f>IF(tblHorasJul[Horas Trabalhadas Além Jornada]&gt;0,
IF(OR(VLOOKUP(TEXT(tblHorasJul[Data],"dddd"),tblDiaUtil[],3,FALSE)="Não",IF(tblHorasJul[Evento 
(1º Período)]&lt;&gt;"",IF(VLOOKUP(tblHorasJul[Evento 
(1º Período)],tblEvento[],Tabelas!$E$1,FALSE)="Sim",TRUE,FALSE),FALSE),IF(tblHorasJul[Evento 
(2º Período)]&lt;&gt;"",IF(VLOOKUP(tblHorasJul[Evento 
(2º Período)],tblEvento[],Tabelas!$E$1,FALSE)="Sim",TRUE,FALSE),FALSE)),
tblHorasJul[Horas Trabalhadas Além Jornada],""),"")</f>
        <v/>
      </c>
      <c r="T12" s="15" t="str">
        <f>IF(tblHorasJul[Evento 
(1º Período)]&lt;&gt;""," - " &amp;VLOOKUP(tblHorasJul[Evento 
(1º Período)],tblEvento[],Tabelas!$F$1,FALSE),"")&amp;IF(AND(tblHorasJul[Evento 
(2º Período)]&lt;&gt;"",tblHorasJul[Evento 
(2º Período)]&lt;&gt;tblHorasJul[Evento 
(1º Período)])," - " &amp; VLOOKUP(tblHorasJul[Evento 
(2º Período)],tblEvento[],Tabelas!$F$1,FALSE),"")</f>
        <v/>
      </c>
    </row>
    <row r="13" spans="2:25" x14ac:dyDescent="0.25">
      <c r="B13" s="11" t="str">
        <f t="shared" si="0"/>
        <v/>
      </c>
      <c r="C13" s="12" t="str">
        <f>TEXT(tblHorasJul[Data],"ddd")</f>
        <v/>
      </c>
      <c r="D13" s="25"/>
      <c r="E13" s="1"/>
      <c r="F13" s="1"/>
      <c r="G13" s="1"/>
      <c r="H13" s="1"/>
      <c r="I13" s="53"/>
      <c r="J13" s="4">
        <f>IF($B$6&lt;&gt;"",
IF(AND(tblHorasJul[Evento 
(1º Período)]&lt;&gt;"",IF(ISERROR(VLOOKUP(tblHorasJul[Evento 
(1º Período)],tblEvento[],Tabelas!$D$1,FALSE)),FALSE,VLOOKUP(tblHorasJul[Evento 
(1º Período)],tblEvento[],Tabelas!$D$1,FALSE)="Sim")),
        IF(JORNADA_PERIODO_1&lt;&gt;"",
IF(VLOOKUP(tblHorasJul[Dia],tblDiaUtil[[Abreviatura]:[1º Período]],3,FALSE)&gt;0,VLOOKUP(tblHorasJul[Dia],tblDiaUtil[[Abreviatura]:[1º Período]],3,FALSE),JORNADA_PERIODO_1),
IF(VLOOKUP(tblHorasJul[Dia],tblDiaUtil[[Abreviatura]:[1º Período]],3,FALSE)&gt;0,VLOOKUP(tblHorasJul[Dia],tblDiaUtil[[Abreviatura]:[1º Período]],3,FALSE),JORNADA/2)),
        IF(AND(ISNUMBER(tblHorasJul[Saída - 1 (Almoço)]),ISNUMBER(tblHorasJul[Entrada - 1])),
              IF(OR(AND(tblHorasJul[Evento 
(1º Período)]&lt;&gt;"",IF(ISERROR(VLOOKUP(tblHorasJul[Evento 
(1º Período)],tblEvento[],Tabelas!$E$1,FALSE)),FALSE,VLOOKUP(tblHorasJul[Evento 
(1º Período)],tblEvento[],Tabelas!$E$1,FALSE)="Sim")),IF(VLOOKUP(TEXT(tblHorasJul[Data],"dddd"),tblDiaUtil[],2,FALSE)="Não",TRUE,FALSE)),
                   tblHorasJul[Saída - 1 (Almoço)]-tblHorasJul[Entrada - 1],
                   IF(OR(HOUR(tblHorasJul[Saída - 1 (Almoço)]-tblHorasJul[Entrada - 1])&gt;0,ROUND(tblHorasJul[Saída - 1 (Almoço)]-tblHorasJul[Entrada - 1],6)&gt;ROUND(CARENCIA,6)),
                          tblHorasJul[Saída - 1 (Almoço)]-tblHorasJul[Entrada - 1],
                          0)),
                    0)),0)</f>
        <v>0</v>
      </c>
      <c r="K13" s="4">
        <f>IF($B$6&lt;&gt;"",
IF(AND(tblHorasJul[Evento 
(2º Período)]&lt;&gt;"",IF(ISERROR(VLOOKUP(tblHorasJul[Evento 
(2º Período)],tblEvento[],Tabelas!$D$1,FALSE)),FALSE,VLOOKUP(tblHorasJul[Evento 
(2º Período)],tblEvento[],Tabelas!$D$1,FALSE)="Sim")),
        IF(JORNADA_PERIODO_2&lt;&gt;"",
IF(VLOOKUP(tblHorasJul[Dia],tblDiaUtil[[Abreviatura]:[2º Período]],4,FALSE)&gt;0,VLOOKUP(tblHorasJul[Dia],tblDiaUtil[[Abreviatura]:[2º Período]],4,FALSE),JORNADA_PERIODO_2),
IF(VLOOKUP(tblHorasJul[Dia],tblDiaUtil[[Abreviatura]:[2º Período]],4,FALSE)&gt;0,VLOOKUP(tblHorasJul[Dia],tblDiaUtil[[Abreviatura]:[2º Período]],4,FALSE),JORNADA/2)),
        IF(AND(ISNUMBER(tblHorasJul[Saída - 2]),ISNUMBER(tblHorasJul[Entrada - 2 (Almoço)])),
              IF(OR(AND(tblHorasJul[Evento 
(2º Período)]&lt;&gt;"",IF(ISERROR(VLOOKUP(tblHorasJul[Evento 
(2º Período)],tblEvento[],Tabelas!$E$1,FALSE)),FALSE,VLOOKUP(tblHorasJul[Evento 
(2º Período)],tblEvento[],Tabelas!$E$1,FALSE)="Sim")),IF(VLOOKUP(TEXT(tblHorasJul[Data],"dddd"),tblDiaUtil[],2,FALSE)="Não",TRUE,FALSE)),
                   tblHorasJul[Saída - 2]-tblHorasJul[Entrada - 2 (Almoço)],
                   IF(OR(HOUR(tblHorasJul[Saída - 2]-tblHorasJul[Entrada - 2 (Almoço)])&gt;0,MINUTE(tblHorasJul[Saída - 2]-tblHorasJul[Entrada - 2 (Almoço)])&gt;CARENCIA),
                         tblHorasJul[Saída - 2]-tblHorasJul[Entrada - 2 (Almoço)],
                         0)),
       0)),0)</f>
        <v>0</v>
      </c>
      <c r="L13" s="4">
        <f>tblHorasJul[Horas Trabalhadas (1º Período)]+tblHorasJul[Horas Trabalhadas (2º Período)]</f>
        <v>0</v>
      </c>
      <c r="M13" s="4" t="str">
        <f>IF(tblHorasJul[Data]&lt;&gt;"",
        IF(
AND(VLOOKUP(TEXT(tblHorasJul[Data],"dddd"),tblDiaUtil[],3,FALSE)="Sim",IF(tblHorasJul[Evento 
(1º Período)]&lt;&gt;"",IF(VLOOKUP(tblHorasJul[Evento 
(1º Período)],tblEvento[],Tabelas!$E$1,FALSE)="Sim",FALSE,TRUE),TRUE),IF(tblHorasJul[Evento 
(2º Período)]&lt;&gt;"",IF(VLOOKUP(tblHorasJul[Evento 
(2º Período)],tblEvento[],Tabelas!$E$1,FALSE)="Sim",FALSE,TRUE),TRUE)),
              IF(VLOOKUP(tblHorasJul[Dia],tblDiaUtil[[Abreviatura]:[1º Período]],3,FALSE)&gt;0,VLOOKUP(tblHorasJul[Dia],tblDiaUtil[[Abreviatura]:[1º Período]],3,FALSE),JORNADA),
              ""),
         "")</f>
        <v/>
      </c>
      <c r="N13" s="14">
        <f>IF(OR(tblHorasJul[Horas Trabalhadas (1º Período)]&lt;&gt;0,tblHorasJul[Horas Trabalhadas (2º Período)]&lt;&gt;0),
        IF(ISNUMBER(tblHorasJul[Jornada Diária]),
              IF(tblHorasJul[Jornada Diária]&gt;(tblHorasJul[Horas Trabalhadas (2º Período)]+tblHorasJul[Horas Trabalhadas (1º Período)]),
                     IF(ROUND((tblHorasJul[Jornada Diária]-(tblHorasJul[Horas Trabalhadas (2º Período)]+tblHorasJul[Horas Trabalhadas (1º Período)])),6)&gt;ROUND(CARENCIA,6),
                           -tblHorasJul[Jornada Diária]+(tblHorasJul[Horas Trabalhadas (2º Período)]+tblHorasJul[Horas Trabalhadas (1º Período)]),
                           0),
                      IF(ROUND((tblHorasJul[Jornada Diária]-(tblHorasJul[Horas Trabalhadas (2º Período)]+tblHorasJul[Horas Trabalhadas (1º Período)])),6)&lt;ROUND(-CARENCIA,6),
                           -tblHorasJul[Jornada Diária]+(tblHorasJul[Horas Trabalhadas (2º Período)]+tblHorasJul[Horas Trabalhadas (1º Período)]),
                           0)),
              tblHorasJul[Horas Trabalhadas (2º Período)]+tblHorasJul[Horas Trabalhadas (1º Período)]),
         IF(AND(IF(ISERROR(VLOOKUP(tblHorasJul[Evento 
(1º Período)],tblEvento[[Evento]:[Libera o Período]],4,FALSE)),FALSE,IF(VLOOKUP(tblHorasJul[Evento 
(1º Período)],tblEvento[[Evento]:[Libera o Período]],4,FALSE)="Não",TRUE,FALSE)),IF(ISERROR(VLOOKUP(tblHorasJul[Evento 
(2º Período)],tblEvento[[Evento]:[Libera o Período]],4,FALSE)),FALSE,IF(VLOOKUP(tblHorasJul[Evento 
(2º Período)],tblEvento[[Evento]:[Libera o Período]],4,FALSE)="Não",TRUE,FALSE))),
-IF(VLOOKUP(tblHorasJul[Dia],tblDiaUtil[[Abreviatura]:[Total Jornada]],5,FALSE)&lt;&gt;"",VLOOKUP(tblHorasJul[Dia],tblDiaUtil[[Abreviatura]:[Total Jornada]],5,FALSE),JORNADA),
IF(IF(ISERROR(VLOOKUP(tblHorasJul[Evento 
(1º Período)],tblEvento[[Evento]:[Libera o Período]],4,FALSE)),FALSE,
IF(VLOOKUP(tblHorasJul[Evento 
(1º Período)],tblEvento[[Evento]:[Libera o Período]],4,FALSE)="Não",TRUE,FALSE)
),
-IF(VLOOKUP(tblHorasJul[Dia],tblDiaUtil[[Abreviatura]:[1º Período]],3,FALSE)&lt;&gt;"",VLOOKUP(tblHorasJul[Dia],tblDiaUtil[[Abreviatura]:[1º Período]],3,FALSE),JORNADA_PERIODO_1),
IF(IF(ISERROR(VLOOKUP(tblHorasJul[Evento 
(2º Período)],tblEvento[[Evento]:[Libera o Período]],4,FALSE)),FALSE,IF(VLOOKUP(tblHorasJul[Evento 
(2º Período)],tblEvento[[Evento]:[Libera o Período]],4,FALSE)="Não",TRUE,FALSE)),
-IF(VLOOKUP(tblHorasJul[Dia],tblDiaUtil[[Abreviatura]:[2º Período]],4,FALSE)&lt;&gt;"",VLOOKUP(tblHorasJul[Dia],tblDiaUtil[[Abreviatura]:[2º Período]],4,FALSE),JORNADA_PERIODO_2),0))))</f>
        <v>0</v>
      </c>
      <c r="O13" s="14">
        <f>IF(tblHorasJul[Horas Trabalhadas Além Jornada]&gt;0,
        IF(ISNUMBER(tblHorasJul[Jornada Diária]),
              IF(HOUR(tblHorasJul[Horas Trabalhadas Além Jornada])&gt;=VLOOKUP(LIMITE,tblLimiteHora[],Tabelas!$I$1,FALSE),
                    VLOOKUP(LIMITE,tblLimiteHora[],Tabelas!$J$1,FALSE),
                    tblHorasJul[Horas Trabalhadas Além Jornada]),
              tblHorasJul[Horas Trabalhadas Além Jornada]),
        tblHorasJul[Horas Trabalhadas Além Jornada])+O12</f>
        <v>0</v>
      </c>
      <c r="P13" s="14" t="str">
        <f>IF(tblHorasJul[Horas Trabalhadas Além Jornada]&lt;0,IF(OR(tblHorasJul[Evento 
(1º Período)]="",tblHorasJul[Evento 
(2º Período)]=""),tblHorasJul[Horas Trabalhadas Além Jornada],""),"")</f>
        <v/>
      </c>
      <c r="Q13" s="14" t="str">
        <f>IF(tblHorasJul[Jornada Diária]&lt;&gt;"",IF((N(tblHorasJul[Jornada Diária])-ABS(N(tblHorasJul[Horas Trabalhadas Além Jornada])))=0,1,""),"")</f>
        <v/>
      </c>
      <c r="R13" s="14" t="str">
        <f>IF(tblHorasJul[Horas Trabalhadas Além Jornada]&gt;0,
IF(AND(VLOOKUP(TEXT(tblHorasJul[Data],"dddd"),tblDiaUtil[],3,FALSE)="Sim",IF(tblHorasJul[Evento 
(1º Período)]&lt;&gt;"",IF(VLOOKUP(tblHorasJul[Evento 
(1º Período)],tblEvento[],Tabelas!$E$1,FALSE)="Sim",FALSE,TRUE),TRUE),IF(tblHorasJul[Evento 
(2º Período)]&lt;&gt;"",IF(VLOOKUP(tblHorasJul[Evento 
(2º Período)],tblEvento[],Tabelas!$E$1,FALSE)="Sim",FALSE,TRUE),TRUE)),
tblHorasJul[Horas Trabalhadas Além Jornada],""),"")</f>
        <v/>
      </c>
      <c r="S13" s="14" t="str">
        <f>IF(tblHorasJul[Horas Trabalhadas Além Jornada]&gt;0,
IF(OR(VLOOKUP(TEXT(tblHorasJul[Data],"dddd"),tblDiaUtil[],3,FALSE)="Não",IF(tblHorasJul[Evento 
(1º Período)]&lt;&gt;"",IF(VLOOKUP(tblHorasJul[Evento 
(1º Período)],tblEvento[],Tabelas!$E$1,FALSE)="Sim",TRUE,FALSE),FALSE),IF(tblHorasJul[Evento 
(2º Período)]&lt;&gt;"",IF(VLOOKUP(tblHorasJul[Evento 
(2º Período)],tblEvento[],Tabelas!$E$1,FALSE)="Sim",TRUE,FALSE),FALSE)),
tblHorasJul[Horas Trabalhadas Além Jornada],""),"")</f>
        <v/>
      </c>
      <c r="T13" s="15" t="str">
        <f>IF(tblHorasJul[Evento 
(1º Período)]&lt;&gt;""," - " &amp;VLOOKUP(tblHorasJul[Evento 
(1º Período)],tblEvento[],Tabelas!$F$1,FALSE),"")&amp;IF(AND(tblHorasJul[Evento 
(2º Período)]&lt;&gt;"",tblHorasJul[Evento 
(2º Período)]&lt;&gt;tblHorasJul[Evento 
(1º Período)])," - " &amp; VLOOKUP(tblHorasJul[Evento 
(2º Período)],tblEvento[],Tabelas!$F$1,FALSE),"")</f>
        <v/>
      </c>
    </row>
    <row r="14" spans="2:25" x14ac:dyDescent="0.25">
      <c r="B14" s="11" t="str">
        <f t="shared" si="0"/>
        <v/>
      </c>
      <c r="C14" s="12" t="str">
        <f>TEXT(tblHorasJul[Data],"ddd")</f>
        <v/>
      </c>
      <c r="D14" s="25"/>
      <c r="E14" s="1"/>
      <c r="F14" s="1"/>
      <c r="G14" s="1"/>
      <c r="H14" s="1"/>
      <c r="I14" s="53"/>
      <c r="J14" s="4">
        <f>IF($B$6&lt;&gt;"",
IF(AND(tblHorasJul[Evento 
(1º Período)]&lt;&gt;"",IF(ISERROR(VLOOKUP(tblHorasJul[Evento 
(1º Período)],tblEvento[],Tabelas!$D$1,FALSE)),FALSE,VLOOKUP(tblHorasJul[Evento 
(1º Período)],tblEvento[],Tabelas!$D$1,FALSE)="Sim")),
        IF(JORNADA_PERIODO_1&lt;&gt;"",
IF(VLOOKUP(tblHorasJul[Dia],tblDiaUtil[[Abreviatura]:[1º Período]],3,FALSE)&gt;0,VLOOKUP(tblHorasJul[Dia],tblDiaUtil[[Abreviatura]:[1º Período]],3,FALSE),JORNADA_PERIODO_1),
IF(VLOOKUP(tblHorasJul[Dia],tblDiaUtil[[Abreviatura]:[1º Período]],3,FALSE)&gt;0,VLOOKUP(tblHorasJul[Dia],tblDiaUtil[[Abreviatura]:[1º Período]],3,FALSE),JORNADA/2)),
        IF(AND(ISNUMBER(tblHorasJul[Saída - 1 (Almoço)]),ISNUMBER(tblHorasJul[Entrada - 1])),
              IF(OR(AND(tblHorasJul[Evento 
(1º Período)]&lt;&gt;"",IF(ISERROR(VLOOKUP(tblHorasJul[Evento 
(1º Período)],tblEvento[],Tabelas!$E$1,FALSE)),FALSE,VLOOKUP(tblHorasJul[Evento 
(1º Período)],tblEvento[],Tabelas!$E$1,FALSE)="Sim")),IF(VLOOKUP(TEXT(tblHorasJul[Data],"dddd"),tblDiaUtil[],2,FALSE)="Não",TRUE,FALSE)),
                   tblHorasJul[Saída - 1 (Almoço)]-tblHorasJul[Entrada - 1],
                   IF(OR(HOUR(tblHorasJul[Saída - 1 (Almoço)]-tblHorasJul[Entrada - 1])&gt;0,ROUND(tblHorasJul[Saída - 1 (Almoço)]-tblHorasJul[Entrada - 1],6)&gt;ROUND(CARENCIA,6)),
                          tblHorasJul[Saída - 1 (Almoço)]-tblHorasJul[Entrada - 1],
                          0)),
                    0)),0)</f>
        <v>0</v>
      </c>
      <c r="K14" s="4">
        <f>IF($B$6&lt;&gt;"",
IF(AND(tblHorasJul[Evento 
(2º Período)]&lt;&gt;"",IF(ISERROR(VLOOKUP(tblHorasJul[Evento 
(2º Período)],tblEvento[],Tabelas!$D$1,FALSE)),FALSE,VLOOKUP(tblHorasJul[Evento 
(2º Período)],tblEvento[],Tabelas!$D$1,FALSE)="Sim")),
        IF(JORNADA_PERIODO_2&lt;&gt;"",
IF(VLOOKUP(tblHorasJul[Dia],tblDiaUtil[[Abreviatura]:[2º Período]],4,FALSE)&gt;0,VLOOKUP(tblHorasJul[Dia],tblDiaUtil[[Abreviatura]:[2º Período]],4,FALSE),JORNADA_PERIODO_2),
IF(VLOOKUP(tblHorasJul[Dia],tblDiaUtil[[Abreviatura]:[2º Período]],4,FALSE)&gt;0,VLOOKUP(tblHorasJul[Dia],tblDiaUtil[[Abreviatura]:[2º Período]],4,FALSE),JORNADA/2)),
        IF(AND(ISNUMBER(tblHorasJul[Saída - 2]),ISNUMBER(tblHorasJul[Entrada - 2 (Almoço)])),
              IF(OR(AND(tblHorasJul[Evento 
(2º Período)]&lt;&gt;"",IF(ISERROR(VLOOKUP(tblHorasJul[Evento 
(2º Período)],tblEvento[],Tabelas!$E$1,FALSE)),FALSE,VLOOKUP(tblHorasJul[Evento 
(2º Período)],tblEvento[],Tabelas!$E$1,FALSE)="Sim")),IF(VLOOKUP(TEXT(tblHorasJul[Data],"dddd"),tblDiaUtil[],2,FALSE)="Não",TRUE,FALSE)),
                   tblHorasJul[Saída - 2]-tblHorasJul[Entrada - 2 (Almoço)],
                   IF(OR(HOUR(tblHorasJul[Saída - 2]-tblHorasJul[Entrada - 2 (Almoço)])&gt;0,MINUTE(tblHorasJul[Saída - 2]-tblHorasJul[Entrada - 2 (Almoço)])&gt;CARENCIA),
                         tblHorasJul[Saída - 2]-tblHorasJul[Entrada - 2 (Almoço)],
                         0)),
       0)),0)</f>
        <v>0</v>
      </c>
      <c r="L14" s="4">
        <f>tblHorasJul[Horas Trabalhadas (1º Período)]+tblHorasJul[Horas Trabalhadas (2º Período)]</f>
        <v>0</v>
      </c>
      <c r="M14" s="4" t="str">
        <f>IF(tblHorasJul[Data]&lt;&gt;"",
        IF(
AND(VLOOKUP(TEXT(tblHorasJul[Data],"dddd"),tblDiaUtil[],3,FALSE)="Sim",IF(tblHorasJul[Evento 
(1º Período)]&lt;&gt;"",IF(VLOOKUP(tblHorasJul[Evento 
(1º Período)],tblEvento[],Tabelas!$E$1,FALSE)="Sim",FALSE,TRUE),TRUE),IF(tblHorasJul[Evento 
(2º Período)]&lt;&gt;"",IF(VLOOKUP(tblHorasJul[Evento 
(2º Período)],tblEvento[],Tabelas!$E$1,FALSE)="Sim",FALSE,TRUE),TRUE)),
              IF(VLOOKUP(tblHorasJul[Dia],tblDiaUtil[[Abreviatura]:[1º Período]],3,FALSE)&gt;0,VLOOKUP(tblHorasJul[Dia],tblDiaUtil[[Abreviatura]:[1º Período]],3,FALSE),JORNADA),
              ""),
         "")</f>
        <v/>
      </c>
      <c r="N14" s="14">
        <f>IF(OR(tblHorasJul[Horas Trabalhadas (1º Período)]&lt;&gt;0,tblHorasJul[Horas Trabalhadas (2º Período)]&lt;&gt;0),
        IF(ISNUMBER(tblHorasJul[Jornada Diária]),
              IF(tblHorasJul[Jornada Diária]&gt;(tblHorasJul[Horas Trabalhadas (2º Período)]+tblHorasJul[Horas Trabalhadas (1º Período)]),
                     IF(ROUND((tblHorasJul[Jornada Diária]-(tblHorasJul[Horas Trabalhadas (2º Período)]+tblHorasJul[Horas Trabalhadas (1º Período)])),6)&gt;ROUND(CARENCIA,6),
                           -tblHorasJul[Jornada Diária]+(tblHorasJul[Horas Trabalhadas (2º Período)]+tblHorasJul[Horas Trabalhadas (1º Período)]),
                           0),
                      IF(ROUND((tblHorasJul[Jornada Diária]-(tblHorasJul[Horas Trabalhadas (2º Período)]+tblHorasJul[Horas Trabalhadas (1º Período)])),6)&lt;ROUND(-CARENCIA,6),
                           -tblHorasJul[Jornada Diária]+(tblHorasJul[Horas Trabalhadas (2º Período)]+tblHorasJul[Horas Trabalhadas (1º Período)]),
                           0)),
              tblHorasJul[Horas Trabalhadas (2º Período)]+tblHorasJul[Horas Trabalhadas (1º Período)]),
         IF(AND(IF(ISERROR(VLOOKUP(tblHorasJul[Evento 
(1º Período)],tblEvento[[Evento]:[Libera o Período]],4,FALSE)),FALSE,IF(VLOOKUP(tblHorasJul[Evento 
(1º Período)],tblEvento[[Evento]:[Libera o Período]],4,FALSE)="Não",TRUE,FALSE)),IF(ISERROR(VLOOKUP(tblHorasJul[Evento 
(2º Período)],tblEvento[[Evento]:[Libera o Período]],4,FALSE)),FALSE,IF(VLOOKUP(tblHorasJul[Evento 
(2º Período)],tblEvento[[Evento]:[Libera o Período]],4,FALSE)="Não",TRUE,FALSE))),
-IF(VLOOKUP(tblHorasJul[Dia],tblDiaUtil[[Abreviatura]:[Total Jornada]],5,FALSE)&lt;&gt;"",VLOOKUP(tblHorasJul[Dia],tblDiaUtil[[Abreviatura]:[Total Jornada]],5,FALSE),JORNADA),
IF(IF(ISERROR(VLOOKUP(tblHorasJul[Evento 
(1º Período)],tblEvento[[Evento]:[Libera o Período]],4,FALSE)),FALSE,
IF(VLOOKUP(tblHorasJul[Evento 
(1º Período)],tblEvento[[Evento]:[Libera o Período]],4,FALSE)="Não",TRUE,FALSE)
),
-IF(VLOOKUP(tblHorasJul[Dia],tblDiaUtil[[Abreviatura]:[1º Período]],3,FALSE)&lt;&gt;"",VLOOKUP(tblHorasJul[Dia],tblDiaUtil[[Abreviatura]:[1º Período]],3,FALSE),JORNADA_PERIODO_1),
IF(IF(ISERROR(VLOOKUP(tblHorasJul[Evento 
(2º Período)],tblEvento[[Evento]:[Libera o Período]],4,FALSE)),FALSE,IF(VLOOKUP(tblHorasJul[Evento 
(2º Período)],tblEvento[[Evento]:[Libera o Período]],4,FALSE)="Não",TRUE,FALSE)),
-IF(VLOOKUP(tblHorasJul[Dia],tblDiaUtil[[Abreviatura]:[2º Período]],4,FALSE)&lt;&gt;"",VLOOKUP(tblHorasJul[Dia],tblDiaUtil[[Abreviatura]:[2º Período]],4,FALSE),JORNADA_PERIODO_2),0))))</f>
        <v>0</v>
      </c>
      <c r="O14" s="14">
        <f>IF(tblHorasJul[Horas Trabalhadas Além Jornada]&gt;0,
        IF(ISNUMBER(tblHorasJul[Jornada Diária]),
              IF(HOUR(tblHorasJul[Horas Trabalhadas Além Jornada])&gt;=VLOOKUP(LIMITE,tblLimiteHora[],Tabelas!$I$1,FALSE),
                    VLOOKUP(LIMITE,tblLimiteHora[],Tabelas!$J$1,FALSE),
                    tblHorasJul[Horas Trabalhadas Além Jornada]),
              tblHorasJul[Horas Trabalhadas Além Jornada]),
        tblHorasJul[Horas Trabalhadas Além Jornada])+O13</f>
        <v>0</v>
      </c>
      <c r="P14" s="14" t="str">
        <f>IF(tblHorasJul[Horas Trabalhadas Além Jornada]&lt;0,IF(OR(tblHorasJul[Evento 
(1º Período)]="",tblHorasJul[Evento 
(2º Período)]=""),tblHorasJul[Horas Trabalhadas Além Jornada],""),"")</f>
        <v/>
      </c>
      <c r="Q14" s="14" t="str">
        <f>IF(tblHorasJul[Jornada Diária]&lt;&gt;"",IF((N(tblHorasJul[Jornada Diária])-ABS(N(tblHorasJul[Horas Trabalhadas Além Jornada])))=0,1,""),"")</f>
        <v/>
      </c>
      <c r="R14" s="14" t="str">
        <f>IF(tblHorasJul[Horas Trabalhadas Além Jornada]&gt;0,
IF(AND(VLOOKUP(TEXT(tblHorasJul[Data],"dddd"),tblDiaUtil[],3,FALSE)="Sim",IF(tblHorasJul[Evento 
(1º Período)]&lt;&gt;"",IF(VLOOKUP(tblHorasJul[Evento 
(1º Período)],tblEvento[],Tabelas!$E$1,FALSE)="Sim",FALSE,TRUE),TRUE),IF(tblHorasJul[Evento 
(2º Período)]&lt;&gt;"",IF(VLOOKUP(tblHorasJul[Evento 
(2º Período)],tblEvento[],Tabelas!$E$1,FALSE)="Sim",FALSE,TRUE),TRUE)),
tblHorasJul[Horas Trabalhadas Além Jornada],""),"")</f>
        <v/>
      </c>
      <c r="S14" s="14" t="str">
        <f>IF(tblHorasJul[Horas Trabalhadas Além Jornada]&gt;0,
IF(OR(VLOOKUP(TEXT(tblHorasJul[Data],"dddd"),tblDiaUtil[],3,FALSE)="Não",IF(tblHorasJul[Evento 
(1º Período)]&lt;&gt;"",IF(VLOOKUP(tblHorasJul[Evento 
(1º Período)],tblEvento[],Tabelas!$E$1,FALSE)="Sim",TRUE,FALSE),FALSE),IF(tblHorasJul[Evento 
(2º Período)]&lt;&gt;"",IF(VLOOKUP(tblHorasJul[Evento 
(2º Período)],tblEvento[],Tabelas!$E$1,FALSE)="Sim",TRUE,FALSE),FALSE)),
tblHorasJul[Horas Trabalhadas Além Jornada],""),"")</f>
        <v/>
      </c>
      <c r="T14" s="15" t="str">
        <f>IF(tblHorasJul[Evento 
(1º Período)]&lt;&gt;""," - " &amp;VLOOKUP(tblHorasJul[Evento 
(1º Período)],tblEvento[],Tabelas!$F$1,FALSE),"")&amp;IF(AND(tblHorasJul[Evento 
(2º Período)]&lt;&gt;"",tblHorasJul[Evento 
(2º Período)]&lt;&gt;tblHorasJul[Evento 
(1º Período)])," - " &amp; VLOOKUP(tblHorasJul[Evento 
(2º Período)],tblEvento[],Tabelas!$F$1,FALSE),"")</f>
        <v/>
      </c>
      <c r="X14" s="18"/>
      <c r="Y14" s="18"/>
    </row>
    <row r="15" spans="2:25" x14ac:dyDescent="0.25">
      <c r="B15" s="11" t="str">
        <f t="shared" si="0"/>
        <v/>
      </c>
      <c r="C15" s="12" t="str">
        <f>TEXT(tblHorasJul[Data],"ddd")</f>
        <v/>
      </c>
      <c r="D15" s="25"/>
      <c r="E15" s="1"/>
      <c r="F15" s="1"/>
      <c r="G15" s="1"/>
      <c r="H15" s="1"/>
      <c r="I15" s="53"/>
      <c r="J15" s="4">
        <f>IF($B$6&lt;&gt;"",
IF(AND(tblHorasJul[Evento 
(1º Período)]&lt;&gt;"",IF(ISERROR(VLOOKUP(tblHorasJul[Evento 
(1º Período)],tblEvento[],Tabelas!$D$1,FALSE)),FALSE,VLOOKUP(tblHorasJul[Evento 
(1º Período)],tblEvento[],Tabelas!$D$1,FALSE)="Sim")),
        IF(JORNADA_PERIODO_1&lt;&gt;"",
IF(VLOOKUP(tblHorasJul[Dia],tblDiaUtil[[Abreviatura]:[1º Período]],3,FALSE)&gt;0,VLOOKUP(tblHorasJul[Dia],tblDiaUtil[[Abreviatura]:[1º Período]],3,FALSE),JORNADA_PERIODO_1),
IF(VLOOKUP(tblHorasJul[Dia],tblDiaUtil[[Abreviatura]:[1º Período]],3,FALSE)&gt;0,VLOOKUP(tblHorasJul[Dia],tblDiaUtil[[Abreviatura]:[1º Período]],3,FALSE),JORNADA/2)),
        IF(AND(ISNUMBER(tblHorasJul[Saída - 1 (Almoço)]),ISNUMBER(tblHorasJul[Entrada - 1])),
              IF(OR(AND(tblHorasJul[Evento 
(1º Período)]&lt;&gt;"",IF(ISERROR(VLOOKUP(tblHorasJul[Evento 
(1º Período)],tblEvento[],Tabelas!$E$1,FALSE)),FALSE,VLOOKUP(tblHorasJul[Evento 
(1º Período)],tblEvento[],Tabelas!$E$1,FALSE)="Sim")),IF(VLOOKUP(TEXT(tblHorasJul[Data],"dddd"),tblDiaUtil[],2,FALSE)="Não",TRUE,FALSE)),
                   tblHorasJul[Saída - 1 (Almoço)]-tblHorasJul[Entrada - 1],
                   IF(OR(HOUR(tblHorasJul[Saída - 1 (Almoço)]-tblHorasJul[Entrada - 1])&gt;0,ROUND(tblHorasJul[Saída - 1 (Almoço)]-tblHorasJul[Entrada - 1],6)&gt;ROUND(CARENCIA,6)),
                          tblHorasJul[Saída - 1 (Almoço)]-tblHorasJul[Entrada - 1],
                          0)),
                    0)),0)</f>
        <v>0</v>
      </c>
      <c r="K15" s="4">
        <f>IF($B$6&lt;&gt;"",
IF(AND(tblHorasJul[Evento 
(2º Período)]&lt;&gt;"",IF(ISERROR(VLOOKUP(tblHorasJul[Evento 
(2º Período)],tblEvento[],Tabelas!$D$1,FALSE)),FALSE,VLOOKUP(tblHorasJul[Evento 
(2º Período)],tblEvento[],Tabelas!$D$1,FALSE)="Sim")),
        IF(JORNADA_PERIODO_2&lt;&gt;"",
IF(VLOOKUP(tblHorasJul[Dia],tblDiaUtil[[Abreviatura]:[2º Período]],4,FALSE)&gt;0,VLOOKUP(tblHorasJul[Dia],tblDiaUtil[[Abreviatura]:[2º Período]],4,FALSE),JORNADA_PERIODO_2),
IF(VLOOKUP(tblHorasJul[Dia],tblDiaUtil[[Abreviatura]:[2º Período]],4,FALSE)&gt;0,VLOOKUP(tblHorasJul[Dia],tblDiaUtil[[Abreviatura]:[2º Período]],4,FALSE),JORNADA/2)),
        IF(AND(ISNUMBER(tblHorasJul[Saída - 2]),ISNUMBER(tblHorasJul[Entrada - 2 (Almoço)])),
              IF(OR(AND(tblHorasJul[Evento 
(2º Período)]&lt;&gt;"",IF(ISERROR(VLOOKUP(tblHorasJul[Evento 
(2º Período)],tblEvento[],Tabelas!$E$1,FALSE)),FALSE,VLOOKUP(tblHorasJul[Evento 
(2º Período)],tblEvento[],Tabelas!$E$1,FALSE)="Sim")),IF(VLOOKUP(TEXT(tblHorasJul[Data],"dddd"),tblDiaUtil[],2,FALSE)="Não",TRUE,FALSE)),
                   tblHorasJul[Saída - 2]-tblHorasJul[Entrada - 2 (Almoço)],
                   IF(OR(HOUR(tblHorasJul[Saída - 2]-tblHorasJul[Entrada - 2 (Almoço)])&gt;0,MINUTE(tblHorasJul[Saída - 2]-tblHorasJul[Entrada - 2 (Almoço)])&gt;CARENCIA),
                         tblHorasJul[Saída - 2]-tblHorasJul[Entrada - 2 (Almoço)],
                         0)),
       0)),0)</f>
        <v>0</v>
      </c>
      <c r="L15" s="4">
        <f>tblHorasJul[Horas Trabalhadas (1º Período)]+tblHorasJul[Horas Trabalhadas (2º Período)]</f>
        <v>0</v>
      </c>
      <c r="M15" s="4" t="str">
        <f>IF(tblHorasJul[Data]&lt;&gt;"",
        IF(
AND(VLOOKUP(TEXT(tblHorasJul[Data],"dddd"),tblDiaUtil[],3,FALSE)="Sim",IF(tblHorasJul[Evento 
(1º Período)]&lt;&gt;"",IF(VLOOKUP(tblHorasJul[Evento 
(1º Período)],tblEvento[],Tabelas!$E$1,FALSE)="Sim",FALSE,TRUE),TRUE),IF(tblHorasJul[Evento 
(2º Período)]&lt;&gt;"",IF(VLOOKUP(tblHorasJul[Evento 
(2º Período)],tblEvento[],Tabelas!$E$1,FALSE)="Sim",FALSE,TRUE),TRUE)),
              IF(VLOOKUP(tblHorasJul[Dia],tblDiaUtil[[Abreviatura]:[1º Período]],3,FALSE)&gt;0,VLOOKUP(tblHorasJul[Dia],tblDiaUtil[[Abreviatura]:[1º Período]],3,FALSE),JORNADA),
              ""),
         "")</f>
        <v/>
      </c>
      <c r="N15" s="14">
        <f>IF(OR(tblHorasJul[Horas Trabalhadas (1º Período)]&lt;&gt;0,tblHorasJul[Horas Trabalhadas (2º Período)]&lt;&gt;0),
        IF(ISNUMBER(tblHorasJul[Jornada Diária]),
              IF(tblHorasJul[Jornada Diária]&gt;(tblHorasJul[Horas Trabalhadas (2º Período)]+tblHorasJul[Horas Trabalhadas (1º Período)]),
                     IF(ROUND((tblHorasJul[Jornada Diária]-(tblHorasJul[Horas Trabalhadas (2º Período)]+tblHorasJul[Horas Trabalhadas (1º Período)])),6)&gt;ROUND(CARENCIA,6),
                           -tblHorasJul[Jornada Diária]+(tblHorasJul[Horas Trabalhadas (2º Período)]+tblHorasJul[Horas Trabalhadas (1º Período)]),
                           0),
                      IF(ROUND((tblHorasJul[Jornada Diária]-(tblHorasJul[Horas Trabalhadas (2º Período)]+tblHorasJul[Horas Trabalhadas (1º Período)])),6)&lt;ROUND(-CARENCIA,6),
                           -tblHorasJul[Jornada Diária]+(tblHorasJul[Horas Trabalhadas (2º Período)]+tblHorasJul[Horas Trabalhadas (1º Período)]),
                           0)),
              tblHorasJul[Horas Trabalhadas (2º Período)]+tblHorasJul[Horas Trabalhadas (1º Período)]),
         IF(AND(IF(ISERROR(VLOOKUP(tblHorasJul[Evento 
(1º Período)],tblEvento[[Evento]:[Libera o Período]],4,FALSE)),FALSE,IF(VLOOKUP(tblHorasJul[Evento 
(1º Período)],tblEvento[[Evento]:[Libera o Período]],4,FALSE)="Não",TRUE,FALSE)),IF(ISERROR(VLOOKUP(tblHorasJul[Evento 
(2º Período)],tblEvento[[Evento]:[Libera o Período]],4,FALSE)),FALSE,IF(VLOOKUP(tblHorasJul[Evento 
(2º Período)],tblEvento[[Evento]:[Libera o Período]],4,FALSE)="Não",TRUE,FALSE))),
-IF(VLOOKUP(tblHorasJul[Dia],tblDiaUtil[[Abreviatura]:[Total Jornada]],5,FALSE)&lt;&gt;"",VLOOKUP(tblHorasJul[Dia],tblDiaUtil[[Abreviatura]:[Total Jornada]],5,FALSE),JORNADA),
IF(IF(ISERROR(VLOOKUP(tblHorasJul[Evento 
(1º Período)],tblEvento[[Evento]:[Libera o Período]],4,FALSE)),FALSE,
IF(VLOOKUP(tblHorasJul[Evento 
(1º Período)],tblEvento[[Evento]:[Libera o Período]],4,FALSE)="Não",TRUE,FALSE)
),
-IF(VLOOKUP(tblHorasJul[Dia],tblDiaUtil[[Abreviatura]:[1º Período]],3,FALSE)&lt;&gt;"",VLOOKUP(tblHorasJul[Dia],tblDiaUtil[[Abreviatura]:[1º Período]],3,FALSE),JORNADA_PERIODO_1),
IF(IF(ISERROR(VLOOKUP(tblHorasJul[Evento 
(2º Período)],tblEvento[[Evento]:[Libera o Período]],4,FALSE)),FALSE,IF(VLOOKUP(tblHorasJul[Evento 
(2º Período)],tblEvento[[Evento]:[Libera o Período]],4,FALSE)="Não",TRUE,FALSE)),
-IF(VLOOKUP(tblHorasJul[Dia],tblDiaUtil[[Abreviatura]:[2º Período]],4,FALSE)&lt;&gt;"",VLOOKUP(tblHorasJul[Dia],tblDiaUtil[[Abreviatura]:[2º Período]],4,FALSE),JORNADA_PERIODO_2),0))))</f>
        <v>0</v>
      </c>
      <c r="O15" s="14">
        <f>IF(tblHorasJul[Horas Trabalhadas Além Jornada]&gt;0,
        IF(ISNUMBER(tblHorasJul[Jornada Diária]),
              IF(HOUR(tblHorasJul[Horas Trabalhadas Além Jornada])&gt;=VLOOKUP(LIMITE,tblLimiteHora[],Tabelas!$I$1,FALSE),
                    VLOOKUP(LIMITE,tblLimiteHora[],Tabelas!$J$1,FALSE),
                    tblHorasJul[Horas Trabalhadas Além Jornada]),
              tblHorasJul[Horas Trabalhadas Além Jornada]),
        tblHorasJul[Horas Trabalhadas Além Jornada])+O14</f>
        <v>0</v>
      </c>
      <c r="P15" s="14" t="str">
        <f>IF(tblHorasJul[Horas Trabalhadas Além Jornada]&lt;0,IF(OR(tblHorasJul[Evento 
(1º Período)]="",tblHorasJul[Evento 
(2º Período)]=""),tblHorasJul[Horas Trabalhadas Além Jornada],""),"")</f>
        <v/>
      </c>
      <c r="Q15" s="14" t="str">
        <f>IF(tblHorasJul[Jornada Diária]&lt;&gt;"",IF((N(tblHorasJul[Jornada Diária])-ABS(N(tblHorasJul[Horas Trabalhadas Além Jornada])))=0,1,""),"")</f>
        <v/>
      </c>
      <c r="R15" s="14" t="str">
        <f>IF(tblHorasJul[Horas Trabalhadas Além Jornada]&gt;0,
IF(AND(VLOOKUP(TEXT(tblHorasJul[Data],"dddd"),tblDiaUtil[],3,FALSE)="Sim",IF(tblHorasJul[Evento 
(1º Período)]&lt;&gt;"",IF(VLOOKUP(tblHorasJul[Evento 
(1º Período)],tblEvento[],Tabelas!$E$1,FALSE)="Sim",FALSE,TRUE),TRUE),IF(tblHorasJul[Evento 
(2º Período)]&lt;&gt;"",IF(VLOOKUP(tblHorasJul[Evento 
(2º Período)],tblEvento[],Tabelas!$E$1,FALSE)="Sim",FALSE,TRUE),TRUE)),
tblHorasJul[Horas Trabalhadas Além Jornada],""),"")</f>
        <v/>
      </c>
      <c r="S15" s="14" t="str">
        <f>IF(tblHorasJul[Horas Trabalhadas Além Jornada]&gt;0,
IF(OR(VLOOKUP(TEXT(tblHorasJul[Data],"dddd"),tblDiaUtil[],3,FALSE)="Não",IF(tblHorasJul[Evento 
(1º Período)]&lt;&gt;"",IF(VLOOKUP(tblHorasJul[Evento 
(1º Período)],tblEvento[],Tabelas!$E$1,FALSE)="Sim",TRUE,FALSE),FALSE),IF(tblHorasJul[Evento 
(2º Período)]&lt;&gt;"",IF(VLOOKUP(tblHorasJul[Evento 
(2º Período)],tblEvento[],Tabelas!$E$1,FALSE)="Sim",TRUE,FALSE),FALSE)),
tblHorasJul[Horas Trabalhadas Além Jornada],""),"")</f>
        <v/>
      </c>
      <c r="T15" s="15" t="str">
        <f>IF(tblHorasJul[Evento 
(1º Período)]&lt;&gt;""," - " &amp;VLOOKUP(tblHorasJul[Evento 
(1º Período)],tblEvento[],Tabelas!$F$1,FALSE),"")&amp;IF(AND(tblHorasJul[Evento 
(2º Período)]&lt;&gt;"",tblHorasJul[Evento 
(2º Período)]&lt;&gt;tblHorasJul[Evento 
(1º Período)])," - " &amp; VLOOKUP(tblHorasJul[Evento 
(2º Período)],tblEvento[],Tabelas!$F$1,FALSE),"")</f>
        <v/>
      </c>
      <c r="X15" s="17"/>
    </row>
    <row r="16" spans="2:25" x14ac:dyDescent="0.25">
      <c r="B16" s="11" t="str">
        <f t="shared" si="0"/>
        <v/>
      </c>
      <c r="C16" s="12" t="str">
        <f>TEXT(tblHorasJul[Data],"ddd")</f>
        <v/>
      </c>
      <c r="D16" s="25"/>
      <c r="E16" s="1"/>
      <c r="F16" s="1"/>
      <c r="G16" s="1"/>
      <c r="H16" s="1"/>
      <c r="I16" s="53"/>
      <c r="J16" s="4">
        <f>IF($B$6&lt;&gt;"",
IF(AND(tblHorasJul[Evento 
(1º Período)]&lt;&gt;"",IF(ISERROR(VLOOKUP(tblHorasJul[Evento 
(1º Período)],tblEvento[],Tabelas!$D$1,FALSE)),FALSE,VLOOKUP(tblHorasJul[Evento 
(1º Período)],tblEvento[],Tabelas!$D$1,FALSE)="Sim")),
        IF(JORNADA_PERIODO_1&lt;&gt;"",
IF(VLOOKUP(tblHorasJul[Dia],tblDiaUtil[[Abreviatura]:[1º Período]],3,FALSE)&gt;0,VLOOKUP(tblHorasJul[Dia],tblDiaUtil[[Abreviatura]:[1º Período]],3,FALSE),JORNADA_PERIODO_1),
IF(VLOOKUP(tblHorasJul[Dia],tblDiaUtil[[Abreviatura]:[1º Período]],3,FALSE)&gt;0,VLOOKUP(tblHorasJul[Dia],tblDiaUtil[[Abreviatura]:[1º Período]],3,FALSE),JORNADA/2)),
        IF(AND(ISNUMBER(tblHorasJul[Saída - 1 (Almoço)]),ISNUMBER(tblHorasJul[Entrada - 1])),
              IF(OR(AND(tblHorasJul[Evento 
(1º Período)]&lt;&gt;"",IF(ISERROR(VLOOKUP(tblHorasJul[Evento 
(1º Período)],tblEvento[],Tabelas!$E$1,FALSE)),FALSE,VLOOKUP(tblHorasJul[Evento 
(1º Período)],tblEvento[],Tabelas!$E$1,FALSE)="Sim")),IF(VLOOKUP(TEXT(tblHorasJul[Data],"dddd"),tblDiaUtil[],2,FALSE)="Não",TRUE,FALSE)),
                   tblHorasJul[Saída - 1 (Almoço)]-tblHorasJul[Entrada - 1],
                   IF(OR(HOUR(tblHorasJul[Saída - 1 (Almoço)]-tblHorasJul[Entrada - 1])&gt;0,ROUND(tblHorasJul[Saída - 1 (Almoço)]-tblHorasJul[Entrada - 1],6)&gt;ROUND(CARENCIA,6)),
                          tblHorasJul[Saída - 1 (Almoço)]-tblHorasJul[Entrada - 1],
                          0)),
                    0)),0)</f>
        <v>0</v>
      </c>
      <c r="K16" s="4">
        <f>IF($B$6&lt;&gt;"",
IF(AND(tblHorasJul[Evento 
(2º Período)]&lt;&gt;"",IF(ISERROR(VLOOKUP(tblHorasJul[Evento 
(2º Período)],tblEvento[],Tabelas!$D$1,FALSE)),FALSE,VLOOKUP(tblHorasJul[Evento 
(2º Período)],tblEvento[],Tabelas!$D$1,FALSE)="Sim")),
        IF(JORNADA_PERIODO_2&lt;&gt;"",
IF(VLOOKUP(tblHorasJul[Dia],tblDiaUtil[[Abreviatura]:[2º Período]],4,FALSE)&gt;0,VLOOKUP(tblHorasJul[Dia],tblDiaUtil[[Abreviatura]:[2º Período]],4,FALSE),JORNADA_PERIODO_2),
IF(VLOOKUP(tblHorasJul[Dia],tblDiaUtil[[Abreviatura]:[2º Período]],4,FALSE)&gt;0,VLOOKUP(tblHorasJul[Dia],tblDiaUtil[[Abreviatura]:[2º Período]],4,FALSE),JORNADA/2)),
        IF(AND(ISNUMBER(tblHorasJul[Saída - 2]),ISNUMBER(tblHorasJul[Entrada - 2 (Almoço)])),
              IF(OR(AND(tblHorasJul[Evento 
(2º Período)]&lt;&gt;"",IF(ISERROR(VLOOKUP(tblHorasJul[Evento 
(2º Período)],tblEvento[],Tabelas!$E$1,FALSE)),FALSE,VLOOKUP(tblHorasJul[Evento 
(2º Período)],tblEvento[],Tabelas!$E$1,FALSE)="Sim")),IF(VLOOKUP(TEXT(tblHorasJul[Data],"dddd"),tblDiaUtil[],2,FALSE)="Não",TRUE,FALSE)),
                   tblHorasJul[Saída - 2]-tblHorasJul[Entrada - 2 (Almoço)],
                   IF(OR(HOUR(tblHorasJul[Saída - 2]-tblHorasJul[Entrada - 2 (Almoço)])&gt;0,MINUTE(tblHorasJul[Saída - 2]-tblHorasJul[Entrada - 2 (Almoço)])&gt;CARENCIA),
                         tblHorasJul[Saída - 2]-tblHorasJul[Entrada - 2 (Almoço)],
                         0)),
       0)),0)</f>
        <v>0</v>
      </c>
      <c r="L16" s="4">
        <f>tblHorasJul[Horas Trabalhadas (1º Período)]+tblHorasJul[Horas Trabalhadas (2º Período)]</f>
        <v>0</v>
      </c>
      <c r="M16" s="4" t="str">
        <f>IF(tblHorasJul[Data]&lt;&gt;"",
        IF(
AND(VLOOKUP(TEXT(tblHorasJul[Data],"dddd"),tblDiaUtil[],3,FALSE)="Sim",IF(tblHorasJul[Evento 
(1º Período)]&lt;&gt;"",IF(VLOOKUP(tblHorasJul[Evento 
(1º Período)],tblEvento[],Tabelas!$E$1,FALSE)="Sim",FALSE,TRUE),TRUE),IF(tblHorasJul[Evento 
(2º Período)]&lt;&gt;"",IF(VLOOKUP(tblHorasJul[Evento 
(2º Período)],tblEvento[],Tabelas!$E$1,FALSE)="Sim",FALSE,TRUE),TRUE)),
              IF(VLOOKUP(tblHorasJul[Dia],tblDiaUtil[[Abreviatura]:[1º Período]],3,FALSE)&gt;0,VLOOKUP(tblHorasJul[Dia],tblDiaUtil[[Abreviatura]:[1º Período]],3,FALSE),JORNADA),
              ""),
         "")</f>
        <v/>
      </c>
      <c r="N16" s="14">
        <f>IF(OR(tblHorasJul[Horas Trabalhadas (1º Período)]&lt;&gt;0,tblHorasJul[Horas Trabalhadas (2º Período)]&lt;&gt;0),
        IF(ISNUMBER(tblHorasJul[Jornada Diária]),
              IF(tblHorasJul[Jornada Diária]&gt;(tblHorasJul[Horas Trabalhadas (2º Período)]+tblHorasJul[Horas Trabalhadas (1º Período)]),
                     IF(ROUND((tblHorasJul[Jornada Diária]-(tblHorasJul[Horas Trabalhadas (2º Período)]+tblHorasJul[Horas Trabalhadas (1º Período)])),6)&gt;ROUND(CARENCIA,6),
                           -tblHorasJul[Jornada Diária]+(tblHorasJul[Horas Trabalhadas (2º Período)]+tblHorasJul[Horas Trabalhadas (1º Período)]),
                           0),
                      IF(ROUND((tblHorasJul[Jornada Diária]-(tblHorasJul[Horas Trabalhadas (2º Período)]+tblHorasJul[Horas Trabalhadas (1º Período)])),6)&lt;ROUND(-CARENCIA,6),
                           -tblHorasJul[Jornada Diária]+(tblHorasJul[Horas Trabalhadas (2º Período)]+tblHorasJul[Horas Trabalhadas (1º Período)]),
                           0)),
              tblHorasJul[Horas Trabalhadas (2º Período)]+tblHorasJul[Horas Trabalhadas (1º Período)]),
         IF(AND(IF(ISERROR(VLOOKUP(tblHorasJul[Evento 
(1º Período)],tblEvento[[Evento]:[Libera o Período]],4,FALSE)),FALSE,IF(VLOOKUP(tblHorasJul[Evento 
(1º Período)],tblEvento[[Evento]:[Libera o Período]],4,FALSE)="Não",TRUE,FALSE)),IF(ISERROR(VLOOKUP(tblHorasJul[Evento 
(2º Período)],tblEvento[[Evento]:[Libera o Período]],4,FALSE)),FALSE,IF(VLOOKUP(tblHorasJul[Evento 
(2º Período)],tblEvento[[Evento]:[Libera o Período]],4,FALSE)="Não",TRUE,FALSE))),
-IF(VLOOKUP(tblHorasJul[Dia],tblDiaUtil[[Abreviatura]:[Total Jornada]],5,FALSE)&lt;&gt;"",VLOOKUP(tblHorasJul[Dia],tblDiaUtil[[Abreviatura]:[Total Jornada]],5,FALSE),JORNADA),
IF(IF(ISERROR(VLOOKUP(tblHorasJul[Evento 
(1º Período)],tblEvento[[Evento]:[Libera o Período]],4,FALSE)),FALSE,
IF(VLOOKUP(tblHorasJul[Evento 
(1º Período)],tblEvento[[Evento]:[Libera o Período]],4,FALSE)="Não",TRUE,FALSE)
),
-IF(VLOOKUP(tblHorasJul[Dia],tblDiaUtil[[Abreviatura]:[1º Período]],3,FALSE)&lt;&gt;"",VLOOKUP(tblHorasJul[Dia],tblDiaUtil[[Abreviatura]:[1º Período]],3,FALSE),JORNADA_PERIODO_1),
IF(IF(ISERROR(VLOOKUP(tblHorasJul[Evento 
(2º Período)],tblEvento[[Evento]:[Libera o Período]],4,FALSE)),FALSE,IF(VLOOKUP(tblHorasJul[Evento 
(2º Período)],tblEvento[[Evento]:[Libera o Período]],4,FALSE)="Não",TRUE,FALSE)),
-IF(VLOOKUP(tblHorasJul[Dia],tblDiaUtil[[Abreviatura]:[2º Período]],4,FALSE)&lt;&gt;"",VLOOKUP(tblHorasJul[Dia],tblDiaUtil[[Abreviatura]:[2º Período]],4,FALSE),JORNADA_PERIODO_2),0))))</f>
        <v>0</v>
      </c>
      <c r="O16" s="14">
        <f>IF(tblHorasJul[Horas Trabalhadas Além Jornada]&gt;0,
        IF(ISNUMBER(tblHorasJul[Jornada Diária]),
              IF(HOUR(tblHorasJul[Horas Trabalhadas Além Jornada])&gt;=VLOOKUP(LIMITE,tblLimiteHora[],Tabelas!$I$1,FALSE),
                    VLOOKUP(LIMITE,tblLimiteHora[],Tabelas!$J$1,FALSE),
                    tblHorasJul[Horas Trabalhadas Além Jornada]),
              tblHorasJul[Horas Trabalhadas Além Jornada]),
        tblHorasJul[Horas Trabalhadas Além Jornada])+O15</f>
        <v>0</v>
      </c>
      <c r="P16" s="14" t="str">
        <f>IF(tblHorasJul[Horas Trabalhadas Além Jornada]&lt;0,IF(OR(tblHorasJul[Evento 
(1º Período)]="",tblHorasJul[Evento 
(2º Período)]=""),tblHorasJul[Horas Trabalhadas Além Jornada],""),"")</f>
        <v/>
      </c>
      <c r="Q16" s="14" t="str">
        <f>IF(tblHorasJul[Jornada Diária]&lt;&gt;"",IF((N(tblHorasJul[Jornada Diária])-ABS(N(tblHorasJul[Horas Trabalhadas Além Jornada])))=0,1,""),"")</f>
        <v/>
      </c>
      <c r="R16" s="14" t="str">
        <f>IF(tblHorasJul[Horas Trabalhadas Além Jornada]&gt;0,
IF(AND(VLOOKUP(TEXT(tblHorasJul[Data],"dddd"),tblDiaUtil[],3,FALSE)="Sim",IF(tblHorasJul[Evento 
(1º Período)]&lt;&gt;"",IF(VLOOKUP(tblHorasJul[Evento 
(1º Período)],tblEvento[],Tabelas!$E$1,FALSE)="Sim",FALSE,TRUE),TRUE),IF(tblHorasJul[Evento 
(2º Período)]&lt;&gt;"",IF(VLOOKUP(tblHorasJul[Evento 
(2º Período)],tblEvento[],Tabelas!$E$1,FALSE)="Sim",FALSE,TRUE),TRUE)),
tblHorasJul[Horas Trabalhadas Além Jornada],""),"")</f>
        <v/>
      </c>
      <c r="S16" s="14" t="str">
        <f>IF(tblHorasJul[Horas Trabalhadas Além Jornada]&gt;0,
IF(OR(VLOOKUP(TEXT(tblHorasJul[Data],"dddd"),tblDiaUtil[],3,FALSE)="Não",IF(tblHorasJul[Evento 
(1º Período)]&lt;&gt;"",IF(VLOOKUP(tblHorasJul[Evento 
(1º Período)],tblEvento[],Tabelas!$E$1,FALSE)="Sim",TRUE,FALSE),FALSE),IF(tblHorasJul[Evento 
(2º Período)]&lt;&gt;"",IF(VLOOKUP(tblHorasJul[Evento 
(2º Período)],tblEvento[],Tabelas!$E$1,FALSE)="Sim",TRUE,FALSE),FALSE)),
tblHorasJul[Horas Trabalhadas Além Jornada],""),"")</f>
        <v/>
      </c>
      <c r="T16" s="15" t="str">
        <f>IF(tblHorasJul[Evento 
(1º Período)]&lt;&gt;""," - " &amp;VLOOKUP(tblHorasJul[Evento 
(1º Período)],tblEvento[],Tabelas!$F$1,FALSE),"")&amp;IF(AND(tblHorasJul[Evento 
(2º Período)]&lt;&gt;"",tblHorasJul[Evento 
(2º Período)]&lt;&gt;tblHorasJul[Evento 
(1º Período)])," - " &amp; VLOOKUP(tblHorasJul[Evento 
(2º Período)],tblEvento[],Tabelas!$F$1,FALSE),"")</f>
        <v/>
      </c>
    </row>
    <row r="17" spans="2:20" x14ac:dyDescent="0.25">
      <c r="B17" s="11" t="str">
        <f t="shared" si="0"/>
        <v/>
      </c>
      <c r="C17" s="12" t="str">
        <f>TEXT(tblHorasJul[Data],"ddd")</f>
        <v/>
      </c>
      <c r="D17" s="25"/>
      <c r="E17" s="1"/>
      <c r="F17" s="1"/>
      <c r="G17" s="1"/>
      <c r="H17" s="1"/>
      <c r="I17" s="53"/>
      <c r="J17" s="4">
        <f>IF($B$6&lt;&gt;"",
IF(AND(tblHorasJul[Evento 
(1º Período)]&lt;&gt;"",IF(ISERROR(VLOOKUP(tblHorasJul[Evento 
(1º Período)],tblEvento[],Tabelas!$D$1,FALSE)),FALSE,VLOOKUP(tblHorasJul[Evento 
(1º Período)],tblEvento[],Tabelas!$D$1,FALSE)="Sim")),
        IF(JORNADA_PERIODO_1&lt;&gt;"",
IF(VLOOKUP(tblHorasJul[Dia],tblDiaUtil[[Abreviatura]:[1º Período]],3,FALSE)&gt;0,VLOOKUP(tblHorasJul[Dia],tblDiaUtil[[Abreviatura]:[1º Período]],3,FALSE),JORNADA_PERIODO_1),
IF(VLOOKUP(tblHorasJul[Dia],tblDiaUtil[[Abreviatura]:[1º Período]],3,FALSE)&gt;0,VLOOKUP(tblHorasJul[Dia],tblDiaUtil[[Abreviatura]:[1º Período]],3,FALSE),JORNADA/2)),
        IF(AND(ISNUMBER(tblHorasJul[Saída - 1 (Almoço)]),ISNUMBER(tblHorasJul[Entrada - 1])),
              IF(OR(AND(tblHorasJul[Evento 
(1º Período)]&lt;&gt;"",IF(ISERROR(VLOOKUP(tblHorasJul[Evento 
(1º Período)],tblEvento[],Tabelas!$E$1,FALSE)),FALSE,VLOOKUP(tblHorasJul[Evento 
(1º Período)],tblEvento[],Tabelas!$E$1,FALSE)="Sim")),IF(VLOOKUP(TEXT(tblHorasJul[Data],"dddd"),tblDiaUtil[],2,FALSE)="Não",TRUE,FALSE)),
                   tblHorasJul[Saída - 1 (Almoço)]-tblHorasJul[Entrada - 1],
                   IF(OR(HOUR(tblHorasJul[Saída - 1 (Almoço)]-tblHorasJul[Entrada - 1])&gt;0,ROUND(tblHorasJul[Saída - 1 (Almoço)]-tblHorasJul[Entrada - 1],6)&gt;ROUND(CARENCIA,6)),
                          tblHorasJul[Saída - 1 (Almoço)]-tblHorasJul[Entrada - 1],
                          0)),
                    0)),0)</f>
        <v>0</v>
      </c>
      <c r="K17" s="4">
        <f>IF($B$6&lt;&gt;"",
IF(AND(tblHorasJul[Evento 
(2º Período)]&lt;&gt;"",IF(ISERROR(VLOOKUP(tblHorasJul[Evento 
(2º Período)],tblEvento[],Tabelas!$D$1,FALSE)),FALSE,VLOOKUP(tblHorasJul[Evento 
(2º Período)],tblEvento[],Tabelas!$D$1,FALSE)="Sim")),
        IF(JORNADA_PERIODO_2&lt;&gt;"",
IF(VLOOKUP(tblHorasJul[Dia],tblDiaUtil[[Abreviatura]:[2º Período]],4,FALSE)&gt;0,VLOOKUP(tblHorasJul[Dia],tblDiaUtil[[Abreviatura]:[2º Período]],4,FALSE),JORNADA_PERIODO_2),
IF(VLOOKUP(tblHorasJul[Dia],tblDiaUtil[[Abreviatura]:[2º Período]],4,FALSE)&gt;0,VLOOKUP(tblHorasJul[Dia],tblDiaUtil[[Abreviatura]:[2º Período]],4,FALSE),JORNADA/2)),
        IF(AND(ISNUMBER(tblHorasJul[Saída - 2]),ISNUMBER(tblHorasJul[Entrada - 2 (Almoço)])),
              IF(OR(AND(tblHorasJul[Evento 
(2º Período)]&lt;&gt;"",IF(ISERROR(VLOOKUP(tblHorasJul[Evento 
(2º Período)],tblEvento[],Tabelas!$E$1,FALSE)),FALSE,VLOOKUP(tblHorasJul[Evento 
(2º Período)],tblEvento[],Tabelas!$E$1,FALSE)="Sim")),IF(VLOOKUP(TEXT(tblHorasJul[Data],"dddd"),tblDiaUtil[],2,FALSE)="Não",TRUE,FALSE)),
                   tblHorasJul[Saída - 2]-tblHorasJul[Entrada - 2 (Almoço)],
                   IF(OR(HOUR(tblHorasJul[Saída - 2]-tblHorasJul[Entrada - 2 (Almoço)])&gt;0,MINUTE(tblHorasJul[Saída - 2]-tblHorasJul[Entrada - 2 (Almoço)])&gt;CARENCIA),
                         tblHorasJul[Saída - 2]-tblHorasJul[Entrada - 2 (Almoço)],
                         0)),
       0)),0)</f>
        <v>0</v>
      </c>
      <c r="L17" s="4">
        <f>tblHorasJul[Horas Trabalhadas (1º Período)]+tblHorasJul[Horas Trabalhadas (2º Período)]</f>
        <v>0</v>
      </c>
      <c r="M17" s="4" t="str">
        <f>IF(tblHorasJul[Data]&lt;&gt;"",
        IF(
AND(VLOOKUP(TEXT(tblHorasJul[Data],"dddd"),tblDiaUtil[],3,FALSE)="Sim",IF(tblHorasJul[Evento 
(1º Período)]&lt;&gt;"",IF(VLOOKUP(tblHorasJul[Evento 
(1º Período)],tblEvento[],Tabelas!$E$1,FALSE)="Sim",FALSE,TRUE),TRUE),IF(tblHorasJul[Evento 
(2º Período)]&lt;&gt;"",IF(VLOOKUP(tblHorasJul[Evento 
(2º Período)],tblEvento[],Tabelas!$E$1,FALSE)="Sim",FALSE,TRUE),TRUE)),
              IF(VLOOKUP(tblHorasJul[Dia],tblDiaUtil[[Abreviatura]:[1º Período]],3,FALSE)&gt;0,VLOOKUP(tblHorasJul[Dia],tblDiaUtil[[Abreviatura]:[1º Período]],3,FALSE),JORNADA),
              ""),
         "")</f>
        <v/>
      </c>
      <c r="N17" s="14">
        <f>IF(OR(tblHorasJul[Horas Trabalhadas (1º Período)]&lt;&gt;0,tblHorasJul[Horas Trabalhadas (2º Período)]&lt;&gt;0),
        IF(ISNUMBER(tblHorasJul[Jornada Diária]),
              IF(tblHorasJul[Jornada Diária]&gt;(tblHorasJul[Horas Trabalhadas (2º Período)]+tblHorasJul[Horas Trabalhadas (1º Período)]),
                     IF(ROUND((tblHorasJul[Jornada Diária]-(tblHorasJul[Horas Trabalhadas (2º Período)]+tblHorasJul[Horas Trabalhadas (1º Período)])),6)&gt;ROUND(CARENCIA,6),
                           -tblHorasJul[Jornada Diária]+(tblHorasJul[Horas Trabalhadas (2º Período)]+tblHorasJul[Horas Trabalhadas (1º Período)]),
                           0),
                      IF(ROUND((tblHorasJul[Jornada Diária]-(tblHorasJul[Horas Trabalhadas (2º Período)]+tblHorasJul[Horas Trabalhadas (1º Período)])),6)&lt;ROUND(-CARENCIA,6),
                           -tblHorasJul[Jornada Diária]+(tblHorasJul[Horas Trabalhadas (2º Período)]+tblHorasJul[Horas Trabalhadas (1º Período)]),
                           0)),
              tblHorasJul[Horas Trabalhadas (2º Período)]+tblHorasJul[Horas Trabalhadas (1º Período)]),
         IF(AND(IF(ISERROR(VLOOKUP(tblHorasJul[Evento 
(1º Período)],tblEvento[[Evento]:[Libera o Período]],4,FALSE)),FALSE,IF(VLOOKUP(tblHorasJul[Evento 
(1º Período)],tblEvento[[Evento]:[Libera o Período]],4,FALSE)="Não",TRUE,FALSE)),IF(ISERROR(VLOOKUP(tblHorasJul[Evento 
(2º Período)],tblEvento[[Evento]:[Libera o Período]],4,FALSE)),FALSE,IF(VLOOKUP(tblHorasJul[Evento 
(2º Período)],tblEvento[[Evento]:[Libera o Período]],4,FALSE)="Não",TRUE,FALSE))),
-IF(VLOOKUP(tblHorasJul[Dia],tblDiaUtil[[Abreviatura]:[Total Jornada]],5,FALSE)&lt;&gt;"",VLOOKUP(tblHorasJul[Dia],tblDiaUtil[[Abreviatura]:[Total Jornada]],5,FALSE),JORNADA),
IF(IF(ISERROR(VLOOKUP(tblHorasJul[Evento 
(1º Período)],tblEvento[[Evento]:[Libera o Período]],4,FALSE)),FALSE,
IF(VLOOKUP(tblHorasJul[Evento 
(1º Período)],tblEvento[[Evento]:[Libera o Período]],4,FALSE)="Não",TRUE,FALSE)
),
-IF(VLOOKUP(tblHorasJul[Dia],tblDiaUtil[[Abreviatura]:[1º Período]],3,FALSE)&lt;&gt;"",VLOOKUP(tblHorasJul[Dia],tblDiaUtil[[Abreviatura]:[1º Período]],3,FALSE),JORNADA_PERIODO_1),
IF(IF(ISERROR(VLOOKUP(tblHorasJul[Evento 
(2º Período)],tblEvento[[Evento]:[Libera o Período]],4,FALSE)),FALSE,IF(VLOOKUP(tblHorasJul[Evento 
(2º Período)],tblEvento[[Evento]:[Libera o Período]],4,FALSE)="Não",TRUE,FALSE)),
-IF(VLOOKUP(tblHorasJul[Dia],tblDiaUtil[[Abreviatura]:[2º Período]],4,FALSE)&lt;&gt;"",VLOOKUP(tblHorasJul[Dia],tblDiaUtil[[Abreviatura]:[2º Período]],4,FALSE),JORNADA_PERIODO_2),0))))</f>
        <v>0</v>
      </c>
      <c r="O17" s="14">
        <f>IF(tblHorasJul[Horas Trabalhadas Além Jornada]&gt;0,
        IF(ISNUMBER(tblHorasJul[Jornada Diária]),
              IF(HOUR(tblHorasJul[Horas Trabalhadas Além Jornada])&gt;=VLOOKUP(LIMITE,tblLimiteHora[],Tabelas!$I$1,FALSE),
                    VLOOKUP(LIMITE,tblLimiteHora[],Tabelas!$J$1,FALSE),
                    tblHorasJul[Horas Trabalhadas Além Jornada]),
              tblHorasJul[Horas Trabalhadas Além Jornada]),
        tblHorasJul[Horas Trabalhadas Além Jornada])+O16</f>
        <v>0</v>
      </c>
      <c r="P17" s="14" t="str">
        <f>IF(tblHorasJul[Horas Trabalhadas Além Jornada]&lt;0,IF(OR(tblHorasJul[Evento 
(1º Período)]="",tblHorasJul[Evento 
(2º Período)]=""),tblHorasJul[Horas Trabalhadas Além Jornada],""),"")</f>
        <v/>
      </c>
      <c r="Q17" s="14" t="str">
        <f>IF(tblHorasJul[Jornada Diária]&lt;&gt;"",IF((N(tblHorasJul[Jornada Diária])-ABS(N(tblHorasJul[Horas Trabalhadas Além Jornada])))=0,1,""),"")</f>
        <v/>
      </c>
      <c r="R17" s="14" t="str">
        <f>IF(tblHorasJul[Horas Trabalhadas Além Jornada]&gt;0,
IF(AND(VLOOKUP(TEXT(tblHorasJul[Data],"dddd"),tblDiaUtil[],3,FALSE)="Sim",IF(tblHorasJul[Evento 
(1º Período)]&lt;&gt;"",IF(VLOOKUP(tblHorasJul[Evento 
(1º Período)],tblEvento[],Tabelas!$E$1,FALSE)="Sim",FALSE,TRUE),TRUE),IF(tblHorasJul[Evento 
(2º Período)]&lt;&gt;"",IF(VLOOKUP(tblHorasJul[Evento 
(2º Período)],tblEvento[],Tabelas!$E$1,FALSE)="Sim",FALSE,TRUE),TRUE)),
tblHorasJul[Horas Trabalhadas Além Jornada],""),"")</f>
        <v/>
      </c>
      <c r="S17" s="14" t="str">
        <f>IF(tblHorasJul[Horas Trabalhadas Além Jornada]&gt;0,
IF(OR(VLOOKUP(TEXT(tblHorasJul[Data],"dddd"),tblDiaUtil[],3,FALSE)="Não",IF(tblHorasJul[Evento 
(1º Período)]&lt;&gt;"",IF(VLOOKUP(tblHorasJul[Evento 
(1º Período)],tblEvento[],Tabelas!$E$1,FALSE)="Sim",TRUE,FALSE),FALSE),IF(tblHorasJul[Evento 
(2º Período)]&lt;&gt;"",IF(VLOOKUP(tblHorasJul[Evento 
(2º Período)],tblEvento[],Tabelas!$E$1,FALSE)="Sim",TRUE,FALSE),FALSE)),
tblHorasJul[Horas Trabalhadas Além Jornada],""),"")</f>
        <v/>
      </c>
      <c r="T17" s="15" t="str">
        <f>IF(tblHorasJul[Evento 
(1º Período)]&lt;&gt;""," - " &amp;VLOOKUP(tblHorasJul[Evento 
(1º Período)],tblEvento[],Tabelas!$F$1,FALSE),"")&amp;IF(AND(tblHorasJul[Evento 
(2º Período)]&lt;&gt;"",tblHorasJul[Evento 
(2º Período)]&lt;&gt;tblHorasJul[Evento 
(1º Período)])," - " &amp; VLOOKUP(tblHorasJul[Evento 
(2º Período)],tblEvento[],Tabelas!$F$1,FALSE),"")</f>
        <v/>
      </c>
    </row>
    <row r="18" spans="2:20" x14ac:dyDescent="0.25">
      <c r="B18" s="11" t="str">
        <f t="shared" si="0"/>
        <v/>
      </c>
      <c r="C18" s="12" t="str">
        <f>TEXT(tblHorasJul[Data],"ddd")</f>
        <v/>
      </c>
      <c r="D18" s="25"/>
      <c r="E18" s="1"/>
      <c r="F18" s="1"/>
      <c r="G18" s="1"/>
      <c r="H18" s="1"/>
      <c r="I18" s="53"/>
      <c r="J18" s="4">
        <f>IF($B$6&lt;&gt;"",
IF(AND(tblHorasJul[Evento 
(1º Período)]&lt;&gt;"",IF(ISERROR(VLOOKUP(tblHorasJul[Evento 
(1º Período)],tblEvento[],Tabelas!$D$1,FALSE)),FALSE,VLOOKUP(tblHorasJul[Evento 
(1º Período)],tblEvento[],Tabelas!$D$1,FALSE)="Sim")),
        IF(JORNADA_PERIODO_1&lt;&gt;"",
IF(VLOOKUP(tblHorasJul[Dia],tblDiaUtil[[Abreviatura]:[1º Período]],3,FALSE)&gt;0,VLOOKUP(tblHorasJul[Dia],tblDiaUtil[[Abreviatura]:[1º Período]],3,FALSE),JORNADA_PERIODO_1),
IF(VLOOKUP(tblHorasJul[Dia],tblDiaUtil[[Abreviatura]:[1º Período]],3,FALSE)&gt;0,VLOOKUP(tblHorasJul[Dia],tblDiaUtil[[Abreviatura]:[1º Período]],3,FALSE),JORNADA/2)),
        IF(AND(ISNUMBER(tblHorasJul[Saída - 1 (Almoço)]),ISNUMBER(tblHorasJul[Entrada - 1])),
              IF(OR(AND(tblHorasJul[Evento 
(1º Período)]&lt;&gt;"",IF(ISERROR(VLOOKUP(tblHorasJul[Evento 
(1º Período)],tblEvento[],Tabelas!$E$1,FALSE)),FALSE,VLOOKUP(tblHorasJul[Evento 
(1º Período)],tblEvento[],Tabelas!$E$1,FALSE)="Sim")),IF(VLOOKUP(TEXT(tblHorasJul[Data],"dddd"),tblDiaUtil[],2,FALSE)="Não",TRUE,FALSE)),
                   tblHorasJul[Saída - 1 (Almoço)]-tblHorasJul[Entrada - 1],
                   IF(OR(HOUR(tblHorasJul[Saída - 1 (Almoço)]-tblHorasJul[Entrada - 1])&gt;0,ROUND(tblHorasJul[Saída - 1 (Almoço)]-tblHorasJul[Entrada - 1],6)&gt;ROUND(CARENCIA,6)),
                          tblHorasJul[Saída - 1 (Almoço)]-tblHorasJul[Entrada - 1],
                          0)),
                    0)),0)</f>
        <v>0</v>
      </c>
      <c r="K18" s="4">
        <f>IF($B$6&lt;&gt;"",
IF(AND(tblHorasJul[Evento 
(2º Período)]&lt;&gt;"",IF(ISERROR(VLOOKUP(tblHorasJul[Evento 
(2º Período)],tblEvento[],Tabelas!$D$1,FALSE)),FALSE,VLOOKUP(tblHorasJul[Evento 
(2º Período)],tblEvento[],Tabelas!$D$1,FALSE)="Sim")),
        IF(JORNADA_PERIODO_2&lt;&gt;"",
IF(VLOOKUP(tblHorasJul[Dia],tblDiaUtil[[Abreviatura]:[2º Período]],4,FALSE)&gt;0,VLOOKUP(tblHorasJul[Dia],tblDiaUtil[[Abreviatura]:[2º Período]],4,FALSE),JORNADA_PERIODO_2),
IF(VLOOKUP(tblHorasJul[Dia],tblDiaUtil[[Abreviatura]:[2º Período]],4,FALSE)&gt;0,VLOOKUP(tblHorasJul[Dia],tblDiaUtil[[Abreviatura]:[2º Período]],4,FALSE),JORNADA/2)),
        IF(AND(ISNUMBER(tblHorasJul[Saída - 2]),ISNUMBER(tblHorasJul[Entrada - 2 (Almoço)])),
              IF(OR(AND(tblHorasJul[Evento 
(2º Período)]&lt;&gt;"",IF(ISERROR(VLOOKUP(tblHorasJul[Evento 
(2º Período)],tblEvento[],Tabelas!$E$1,FALSE)),FALSE,VLOOKUP(tblHorasJul[Evento 
(2º Período)],tblEvento[],Tabelas!$E$1,FALSE)="Sim")),IF(VLOOKUP(TEXT(tblHorasJul[Data],"dddd"),tblDiaUtil[],2,FALSE)="Não",TRUE,FALSE)),
                   tblHorasJul[Saída - 2]-tblHorasJul[Entrada - 2 (Almoço)],
                   IF(OR(HOUR(tblHorasJul[Saída - 2]-tblHorasJul[Entrada - 2 (Almoço)])&gt;0,MINUTE(tblHorasJul[Saída - 2]-tblHorasJul[Entrada - 2 (Almoço)])&gt;CARENCIA),
                         tblHorasJul[Saída - 2]-tblHorasJul[Entrada - 2 (Almoço)],
                         0)),
       0)),0)</f>
        <v>0</v>
      </c>
      <c r="L18" s="4">
        <f>tblHorasJul[Horas Trabalhadas (1º Período)]+tblHorasJul[Horas Trabalhadas (2º Período)]</f>
        <v>0</v>
      </c>
      <c r="M18" s="4" t="str">
        <f>IF(tblHorasJul[Data]&lt;&gt;"",
        IF(
AND(VLOOKUP(TEXT(tblHorasJul[Data],"dddd"),tblDiaUtil[],3,FALSE)="Sim",IF(tblHorasJul[Evento 
(1º Período)]&lt;&gt;"",IF(VLOOKUP(tblHorasJul[Evento 
(1º Período)],tblEvento[],Tabelas!$E$1,FALSE)="Sim",FALSE,TRUE),TRUE),IF(tblHorasJul[Evento 
(2º Período)]&lt;&gt;"",IF(VLOOKUP(tblHorasJul[Evento 
(2º Período)],tblEvento[],Tabelas!$E$1,FALSE)="Sim",FALSE,TRUE),TRUE)),
              IF(VLOOKUP(tblHorasJul[Dia],tblDiaUtil[[Abreviatura]:[1º Período]],3,FALSE)&gt;0,VLOOKUP(tblHorasJul[Dia],tblDiaUtil[[Abreviatura]:[1º Período]],3,FALSE),JORNADA),
              ""),
         "")</f>
        <v/>
      </c>
      <c r="N18" s="14">
        <f>IF(OR(tblHorasJul[Horas Trabalhadas (1º Período)]&lt;&gt;0,tblHorasJul[Horas Trabalhadas (2º Período)]&lt;&gt;0),
        IF(ISNUMBER(tblHorasJul[Jornada Diária]),
              IF(tblHorasJul[Jornada Diária]&gt;(tblHorasJul[Horas Trabalhadas (2º Período)]+tblHorasJul[Horas Trabalhadas (1º Período)]),
                     IF(ROUND((tblHorasJul[Jornada Diária]-(tblHorasJul[Horas Trabalhadas (2º Período)]+tblHorasJul[Horas Trabalhadas (1º Período)])),6)&gt;ROUND(CARENCIA,6),
                           -tblHorasJul[Jornada Diária]+(tblHorasJul[Horas Trabalhadas (2º Período)]+tblHorasJul[Horas Trabalhadas (1º Período)]),
                           0),
                      IF(ROUND((tblHorasJul[Jornada Diária]-(tblHorasJul[Horas Trabalhadas (2º Período)]+tblHorasJul[Horas Trabalhadas (1º Período)])),6)&lt;ROUND(-CARENCIA,6),
                           -tblHorasJul[Jornada Diária]+(tblHorasJul[Horas Trabalhadas (2º Período)]+tblHorasJul[Horas Trabalhadas (1º Período)]),
                           0)),
              tblHorasJul[Horas Trabalhadas (2º Período)]+tblHorasJul[Horas Trabalhadas (1º Período)]),
         IF(AND(IF(ISERROR(VLOOKUP(tblHorasJul[Evento 
(1º Período)],tblEvento[[Evento]:[Libera o Período]],4,FALSE)),FALSE,IF(VLOOKUP(tblHorasJul[Evento 
(1º Período)],tblEvento[[Evento]:[Libera o Período]],4,FALSE)="Não",TRUE,FALSE)),IF(ISERROR(VLOOKUP(tblHorasJul[Evento 
(2º Período)],tblEvento[[Evento]:[Libera o Período]],4,FALSE)),FALSE,IF(VLOOKUP(tblHorasJul[Evento 
(2º Período)],tblEvento[[Evento]:[Libera o Período]],4,FALSE)="Não",TRUE,FALSE))),
-IF(VLOOKUP(tblHorasJul[Dia],tblDiaUtil[[Abreviatura]:[Total Jornada]],5,FALSE)&lt;&gt;"",VLOOKUP(tblHorasJul[Dia],tblDiaUtil[[Abreviatura]:[Total Jornada]],5,FALSE),JORNADA),
IF(IF(ISERROR(VLOOKUP(tblHorasJul[Evento 
(1º Período)],tblEvento[[Evento]:[Libera o Período]],4,FALSE)),FALSE,
IF(VLOOKUP(tblHorasJul[Evento 
(1º Período)],tblEvento[[Evento]:[Libera o Período]],4,FALSE)="Não",TRUE,FALSE)
),
-IF(VLOOKUP(tblHorasJul[Dia],tblDiaUtil[[Abreviatura]:[1º Período]],3,FALSE)&lt;&gt;"",VLOOKUP(tblHorasJul[Dia],tblDiaUtil[[Abreviatura]:[1º Período]],3,FALSE),JORNADA_PERIODO_1),
IF(IF(ISERROR(VLOOKUP(tblHorasJul[Evento 
(2º Período)],tblEvento[[Evento]:[Libera o Período]],4,FALSE)),FALSE,IF(VLOOKUP(tblHorasJul[Evento 
(2º Período)],tblEvento[[Evento]:[Libera o Período]],4,FALSE)="Não",TRUE,FALSE)),
-IF(VLOOKUP(tblHorasJul[Dia],tblDiaUtil[[Abreviatura]:[2º Período]],4,FALSE)&lt;&gt;"",VLOOKUP(tblHorasJul[Dia],tblDiaUtil[[Abreviatura]:[2º Período]],4,FALSE),JORNADA_PERIODO_2),0))))</f>
        <v>0</v>
      </c>
      <c r="O18" s="14">
        <f>IF(tblHorasJul[Horas Trabalhadas Além Jornada]&gt;0,
        IF(ISNUMBER(tblHorasJul[Jornada Diária]),
              IF(HOUR(tblHorasJul[Horas Trabalhadas Além Jornada])&gt;=VLOOKUP(LIMITE,tblLimiteHora[],Tabelas!$I$1,FALSE),
                    VLOOKUP(LIMITE,tblLimiteHora[],Tabelas!$J$1,FALSE),
                    tblHorasJul[Horas Trabalhadas Além Jornada]),
              tblHorasJul[Horas Trabalhadas Além Jornada]),
        tblHorasJul[Horas Trabalhadas Além Jornada])+O17</f>
        <v>0</v>
      </c>
      <c r="P18" s="14" t="str">
        <f>IF(tblHorasJul[Horas Trabalhadas Além Jornada]&lt;0,IF(OR(tblHorasJul[Evento 
(1º Período)]="",tblHorasJul[Evento 
(2º Período)]=""),tblHorasJul[Horas Trabalhadas Além Jornada],""),"")</f>
        <v/>
      </c>
      <c r="Q18" s="14" t="str">
        <f>IF(tblHorasJul[Jornada Diária]&lt;&gt;"",IF((N(tblHorasJul[Jornada Diária])-ABS(N(tblHorasJul[Horas Trabalhadas Além Jornada])))=0,1,""),"")</f>
        <v/>
      </c>
      <c r="R18" s="14" t="str">
        <f>IF(tblHorasJul[Horas Trabalhadas Além Jornada]&gt;0,
IF(AND(VLOOKUP(TEXT(tblHorasJul[Data],"dddd"),tblDiaUtil[],3,FALSE)="Sim",IF(tblHorasJul[Evento 
(1º Período)]&lt;&gt;"",IF(VLOOKUP(tblHorasJul[Evento 
(1º Período)],tblEvento[],Tabelas!$E$1,FALSE)="Sim",FALSE,TRUE),TRUE),IF(tblHorasJul[Evento 
(2º Período)]&lt;&gt;"",IF(VLOOKUP(tblHorasJul[Evento 
(2º Período)],tblEvento[],Tabelas!$E$1,FALSE)="Sim",FALSE,TRUE),TRUE)),
tblHorasJul[Horas Trabalhadas Além Jornada],""),"")</f>
        <v/>
      </c>
      <c r="S18" s="14" t="str">
        <f>IF(tblHorasJul[Horas Trabalhadas Além Jornada]&gt;0,
IF(OR(VLOOKUP(TEXT(tblHorasJul[Data],"dddd"),tblDiaUtil[],3,FALSE)="Não",IF(tblHorasJul[Evento 
(1º Período)]&lt;&gt;"",IF(VLOOKUP(tblHorasJul[Evento 
(1º Período)],tblEvento[],Tabelas!$E$1,FALSE)="Sim",TRUE,FALSE),FALSE),IF(tblHorasJul[Evento 
(2º Período)]&lt;&gt;"",IF(VLOOKUP(tblHorasJul[Evento 
(2º Período)],tblEvento[],Tabelas!$E$1,FALSE)="Sim",TRUE,FALSE),FALSE)),
tblHorasJul[Horas Trabalhadas Além Jornada],""),"")</f>
        <v/>
      </c>
      <c r="T18" s="15" t="str">
        <f>IF(tblHorasJul[Evento 
(1º Período)]&lt;&gt;""," - " &amp;VLOOKUP(tblHorasJul[Evento 
(1º Período)],tblEvento[],Tabelas!$F$1,FALSE),"")&amp;IF(AND(tblHorasJul[Evento 
(2º Período)]&lt;&gt;"",tblHorasJul[Evento 
(2º Período)]&lt;&gt;tblHorasJul[Evento 
(1º Período)])," - " &amp; VLOOKUP(tblHorasJul[Evento 
(2º Período)],tblEvento[],Tabelas!$F$1,FALSE),"")</f>
        <v/>
      </c>
    </row>
    <row r="19" spans="2:20" x14ac:dyDescent="0.25">
      <c r="B19" s="11" t="str">
        <f t="shared" si="0"/>
        <v/>
      </c>
      <c r="C19" s="12" t="str">
        <f>TEXT(tblHorasJul[Data],"ddd")</f>
        <v/>
      </c>
      <c r="D19" s="25"/>
      <c r="E19" s="1"/>
      <c r="F19" s="1"/>
      <c r="G19" s="1"/>
      <c r="H19" s="1"/>
      <c r="I19" s="53"/>
      <c r="J19" s="4">
        <f>IF($B$6&lt;&gt;"",
IF(AND(tblHorasJul[Evento 
(1º Período)]&lt;&gt;"",IF(ISERROR(VLOOKUP(tblHorasJul[Evento 
(1º Período)],tblEvento[],Tabelas!$D$1,FALSE)),FALSE,VLOOKUP(tblHorasJul[Evento 
(1º Período)],tblEvento[],Tabelas!$D$1,FALSE)="Sim")),
        IF(JORNADA_PERIODO_1&lt;&gt;"",
IF(VLOOKUP(tblHorasJul[Dia],tblDiaUtil[[Abreviatura]:[1º Período]],3,FALSE)&gt;0,VLOOKUP(tblHorasJul[Dia],tblDiaUtil[[Abreviatura]:[1º Período]],3,FALSE),JORNADA_PERIODO_1),
IF(VLOOKUP(tblHorasJul[Dia],tblDiaUtil[[Abreviatura]:[1º Período]],3,FALSE)&gt;0,VLOOKUP(tblHorasJul[Dia],tblDiaUtil[[Abreviatura]:[1º Período]],3,FALSE),JORNADA/2)),
        IF(AND(ISNUMBER(tblHorasJul[Saída - 1 (Almoço)]),ISNUMBER(tblHorasJul[Entrada - 1])),
              IF(OR(AND(tblHorasJul[Evento 
(1º Período)]&lt;&gt;"",IF(ISERROR(VLOOKUP(tblHorasJul[Evento 
(1º Período)],tblEvento[],Tabelas!$E$1,FALSE)),FALSE,VLOOKUP(tblHorasJul[Evento 
(1º Período)],tblEvento[],Tabelas!$E$1,FALSE)="Sim")),IF(VLOOKUP(TEXT(tblHorasJul[Data],"dddd"),tblDiaUtil[],2,FALSE)="Não",TRUE,FALSE)),
                   tblHorasJul[Saída - 1 (Almoço)]-tblHorasJul[Entrada - 1],
                   IF(OR(HOUR(tblHorasJul[Saída - 1 (Almoço)]-tblHorasJul[Entrada - 1])&gt;0,ROUND(tblHorasJul[Saída - 1 (Almoço)]-tblHorasJul[Entrada - 1],6)&gt;ROUND(CARENCIA,6)),
                          tblHorasJul[Saída - 1 (Almoço)]-tblHorasJul[Entrada - 1],
                          0)),
                    0)),0)</f>
        <v>0</v>
      </c>
      <c r="K19" s="4">
        <f>IF($B$6&lt;&gt;"",
IF(AND(tblHorasJul[Evento 
(2º Período)]&lt;&gt;"",IF(ISERROR(VLOOKUP(tblHorasJul[Evento 
(2º Período)],tblEvento[],Tabelas!$D$1,FALSE)),FALSE,VLOOKUP(tblHorasJul[Evento 
(2º Período)],tblEvento[],Tabelas!$D$1,FALSE)="Sim")),
        IF(JORNADA_PERIODO_2&lt;&gt;"",
IF(VLOOKUP(tblHorasJul[Dia],tblDiaUtil[[Abreviatura]:[2º Período]],4,FALSE)&gt;0,VLOOKUP(tblHorasJul[Dia],tblDiaUtil[[Abreviatura]:[2º Período]],4,FALSE),JORNADA_PERIODO_2),
IF(VLOOKUP(tblHorasJul[Dia],tblDiaUtil[[Abreviatura]:[2º Período]],4,FALSE)&gt;0,VLOOKUP(tblHorasJul[Dia],tblDiaUtil[[Abreviatura]:[2º Período]],4,FALSE),JORNADA/2)),
        IF(AND(ISNUMBER(tblHorasJul[Saída - 2]),ISNUMBER(tblHorasJul[Entrada - 2 (Almoço)])),
              IF(OR(AND(tblHorasJul[Evento 
(2º Período)]&lt;&gt;"",IF(ISERROR(VLOOKUP(tblHorasJul[Evento 
(2º Período)],tblEvento[],Tabelas!$E$1,FALSE)),FALSE,VLOOKUP(tblHorasJul[Evento 
(2º Período)],tblEvento[],Tabelas!$E$1,FALSE)="Sim")),IF(VLOOKUP(TEXT(tblHorasJul[Data],"dddd"),tblDiaUtil[],2,FALSE)="Não",TRUE,FALSE)),
                   tblHorasJul[Saída - 2]-tblHorasJul[Entrada - 2 (Almoço)],
                   IF(OR(HOUR(tblHorasJul[Saída - 2]-tblHorasJul[Entrada - 2 (Almoço)])&gt;0,MINUTE(tblHorasJul[Saída - 2]-tblHorasJul[Entrada - 2 (Almoço)])&gt;CARENCIA),
                         tblHorasJul[Saída - 2]-tblHorasJul[Entrada - 2 (Almoço)],
                         0)),
       0)),0)</f>
        <v>0</v>
      </c>
      <c r="L19" s="4">
        <f>tblHorasJul[Horas Trabalhadas (1º Período)]+tblHorasJul[Horas Trabalhadas (2º Período)]</f>
        <v>0</v>
      </c>
      <c r="M19" s="4" t="str">
        <f>IF(tblHorasJul[Data]&lt;&gt;"",
        IF(
AND(VLOOKUP(TEXT(tblHorasJul[Data],"dddd"),tblDiaUtil[],3,FALSE)="Sim",IF(tblHorasJul[Evento 
(1º Período)]&lt;&gt;"",IF(VLOOKUP(tblHorasJul[Evento 
(1º Período)],tblEvento[],Tabelas!$E$1,FALSE)="Sim",FALSE,TRUE),TRUE),IF(tblHorasJul[Evento 
(2º Período)]&lt;&gt;"",IF(VLOOKUP(tblHorasJul[Evento 
(2º Período)],tblEvento[],Tabelas!$E$1,FALSE)="Sim",FALSE,TRUE),TRUE)),
              IF(VLOOKUP(tblHorasJul[Dia],tblDiaUtil[[Abreviatura]:[1º Período]],3,FALSE)&gt;0,VLOOKUP(tblHorasJul[Dia],tblDiaUtil[[Abreviatura]:[1º Período]],3,FALSE),JORNADA),
              ""),
         "")</f>
        <v/>
      </c>
      <c r="N19" s="14">
        <f>IF(OR(tblHorasJul[Horas Trabalhadas (1º Período)]&lt;&gt;0,tblHorasJul[Horas Trabalhadas (2º Período)]&lt;&gt;0),
        IF(ISNUMBER(tblHorasJul[Jornada Diária]),
              IF(tblHorasJul[Jornada Diária]&gt;(tblHorasJul[Horas Trabalhadas (2º Período)]+tblHorasJul[Horas Trabalhadas (1º Período)]),
                     IF(ROUND((tblHorasJul[Jornada Diária]-(tblHorasJul[Horas Trabalhadas (2º Período)]+tblHorasJul[Horas Trabalhadas (1º Período)])),6)&gt;ROUND(CARENCIA,6),
                           -tblHorasJul[Jornada Diária]+(tblHorasJul[Horas Trabalhadas (2º Período)]+tblHorasJul[Horas Trabalhadas (1º Período)]),
                           0),
                      IF(ROUND((tblHorasJul[Jornada Diária]-(tblHorasJul[Horas Trabalhadas (2º Período)]+tblHorasJul[Horas Trabalhadas (1º Período)])),6)&lt;ROUND(-CARENCIA,6),
                           -tblHorasJul[Jornada Diária]+(tblHorasJul[Horas Trabalhadas (2º Período)]+tblHorasJul[Horas Trabalhadas (1º Período)]),
                           0)),
              tblHorasJul[Horas Trabalhadas (2º Período)]+tblHorasJul[Horas Trabalhadas (1º Período)]),
         IF(AND(IF(ISERROR(VLOOKUP(tblHorasJul[Evento 
(1º Período)],tblEvento[[Evento]:[Libera o Período]],4,FALSE)),FALSE,IF(VLOOKUP(tblHorasJul[Evento 
(1º Período)],tblEvento[[Evento]:[Libera o Período]],4,FALSE)="Não",TRUE,FALSE)),IF(ISERROR(VLOOKUP(tblHorasJul[Evento 
(2º Período)],tblEvento[[Evento]:[Libera o Período]],4,FALSE)),FALSE,IF(VLOOKUP(tblHorasJul[Evento 
(2º Período)],tblEvento[[Evento]:[Libera o Período]],4,FALSE)="Não",TRUE,FALSE))),
-IF(VLOOKUP(tblHorasJul[Dia],tblDiaUtil[[Abreviatura]:[Total Jornada]],5,FALSE)&lt;&gt;"",VLOOKUP(tblHorasJul[Dia],tblDiaUtil[[Abreviatura]:[Total Jornada]],5,FALSE),JORNADA),
IF(IF(ISERROR(VLOOKUP(tblHorasJul[Evento 
(1º Período)],tblEvento[[Evento]:[Libera o Período]],4,FALSE)),FALSE,
IF(VLOOKUP(tblHorasJul[Evento 
(1º Período)],tblEvento[[Evento]:[Libera o Período]],4,FALSE)="Não",TRUE,FALSE)
),
-IF(VLOOKUP(tblHorasJul[Dia],tblDiaUtil[[Abreviatura]:[1º Período]],3,FALSE)&lt;&gt;"",VLOOKUP(tblHorasJul[Dia],tblDiaUtil[[Abreviatura]:[1º Período]],3,FALSE),JORNADA_PERIODO_1),
IF(IF(ISERROR(VLOOKUP(tblHorasJul[Evento 
(2º Período)],tblEvento[[Evento]:[Libera o Período]],4,FALSE)),FALSE,IF(VLOOKUP(tblHorasJul[Evento 
(2º Período)],tblEvento[[Evento]:[Libera o Período]],4,FALSE)="Não",TRUE,FALSE)),
-IF(VLOOKUP(tblHorasJul[Dia],tblDiaUtil[[Abreviatura]:[2º Período]],4,FALSE)&lt;&gt;"",VLOOKUP(tblHorasJul[Dia],tblDiaUtil[[Abreviatura]:[2º Período]],4,FALSE),JORNADA_PERIODO_2),0))))</f>
        <v>0</v>
      </c>
      <c r="O19" s="14">
        <f>IF(tblHorasJul[Horas Trabalhadas Além Jornada]&gt;0,
        IF(ISNUMBER(tblHorasJul[Jornada Diária]),
              IF(HOUR(tblHorasJul[Horas Trabalhadas Além Jornada])&gt;=VLOOKUP(LIMITE,tblLimiteHora[],Tabelas!$I$1,FALSE),
                    VLOOKUP(LIMITE,tblLimiteHora[],Tabelas!$J$1,FALSE),
                    tblHorasJul[Horas Trabalhadas Além Jornada]),
              tblHorasJul[Horas Trabalhadas Além Jornada]),
        tblHorasJul[Horas Trabalhadas Além Jornada])+O18</f>
        <v>0</v>
      </c>
      <c r="P19" s="14" t="str">
        <f>IF(tblHorasJul[Horas Trabalhadas Além Jornada]&lt;0,IF(OR(tblHorasJul[Evento 
(1º Período)]="",tblHorasJul[Evento 
(2º Período)]=""),tblHorasJul[Horas Trabalhadas Além Jornada],""),"")</f>
        <v/>
      </c>
      <c r="Q19" s="14" t="str">
        <f>IF(tblHorasJul[Jornada Diária]&lt;&gt;"",IF((N(tblHorasJul[Jornada Diária])-ABS(N(tblHorasJul[Horas Trabalhadas Além Jornada])))=0,1,""),"")</f>
        <v/>
      </c>
      <c r="R19" s="14" t="str">
        <f>IF(tblHorasJul[Horas Trabalhadas Além Jornada]&gt;0,
IF(AND(VLOOKUP(TEXT(tblHorasJul[Data],"dddd"),tblDiaUtil[],3,FALSE)="Sim",IF(tblHorasJul[Evento 
(1º Período)]&lt;&gt;"",IF(VLOOKUP(tblHorasJul[Evento 
(1º Período)],tblEvento[],Tabelas!$E$1,FALSE)="Sim",FALSE,TRUE),TRUE),IF(tblHorasJul[Evento 
(2º Período)]&lt;&gt;"",IF(VLOOKUP(tblHorasJul[Evento 
(2º Período)],tblEvento[],Tabelas!$E$1,FALSE)="Sim",FALSE,TRUE),TRUE)),
tblHorasJul[Horas Trabalhadas Além Jornada],""),"")</f>
        <v/>
      </c>
      <c r="S19" s="14" t="str">
        <f>IF(tblHorasJul[Horas Trabalhadas Além Jornada]&gt;0,
IF(OR(VLOOKUP(TEXT(tblHorasJul[Data],"dddd"),tblDiaUtil[],3,FALSE)="Não",IF(tblHorasJul[Evento 
(1º Período)]&lt;&gt;"",IF(VLOOKUP(tblHorasJul[Evento 
(1º Período)],tblEvento[],Tabelas!$E$1,FALSE)="Sim",TRUE,FALSE),FALSE),IF(tblHorasJul[Evento 
(2º Período)]&lt;&gt;"",IF(VLOOKUP(tblHorasJul[Evento 
(2º Período)],tblEvento[],Tabelas!$E$1,FALSE)="Sim",TRUE,FALSE),FALSE)),
tblHorasJul[Horas Trabalhadas Além Jornada],""),"")</f>
        <v/>
      </c>
      <c r="T19" s="15" t="str">
        <f>IF(tblHorasJul[Evento 
(1º Período)]&lt;&gt;""," - " &amp;VLOOKUP(tblHorasJul[Evento 
(1º Período)],tblEvento[],Tabelas!$F$1,FALSE),"")&amp;IF(AND(tblHorasJul[Evento 
(2º Período)]&lt;&gt;"",tblHorasJul[Evento 
(2º Período)]&lt;&gt;tblHorasJul[Evento 
(1º Período)])," - " &amp; VLOOKUP(tblHorasJul[Evento 
(2º Período)],tblEvento[],Tabelas!$F$1,FALSE),"")</f>
        <v/>
      </c>
    </row>
    <row r="20" spans="2:20" x14ac:dyDescent="0.25">
      <c r="B20" s="11" t="str">
        <f t="shared" si="0"/>
        <v/>
      </c>
      <c r="C20" s="12" t="str">
        <f>TEXT(tblHorasJul[Data],"ddd")</f>
        <v/>
      </c>
      <c r="D20" s="25"/>
      <c r="E20" s="1"/>
      <c r="F20" s="1"/>
      <c r="G20" s="1"/>
      <c r="H20" s="1"/>
      <c r="I20" s="53"/>
      <c r="J20" s="4">
        <f>IF($B$6&lt;&gt;"",
IF(AND(tblHorasJul[Evento 
(1º Período)]&lt;&gt;"",IF(ISERROR(VLOOKUP(tblHorasJul[Evento 
(1º Período)],tblEvento[],Tabelas!$D$1,FALSE)),FALSE,VLOOKUP(tblHorasJul[Evento 
(1º Período)],tblEvento[],Tabelas!$D$1,FALSE)="Sim")),
        IF(JORNADA_PERIODO_1&lt;&gt;"",
IF(VLOOKUP(tblHorasJul[Dia],tblDiaUtil[[Abreviatura]:[1º Período]],3,FALSE)&gt;0,VLOOKUP(tblHorasJul[Dia],tblDiaUtil[[Abreviatura]:[1º Período]],3,FALSE),JORNADA_PERIODO_1),
IF(VLOOKUP(tblHorasJul[Dia],tblDiaUtil[[Abreviatura]:[1º Período]],3,FALSE)&gt;0,VLOOKUP(tblHorasJul[Dia],tblDiaUtil[[Abreviatura]:[1º Período]],3,FALSE),JORNADA/2)),
        IF(AND(ISNUMBER(tblHorasJul[Saída - 1 (Almoço)]),ISNUMBER(tblHorasJul[Entrada - 1])),
              IF(OR(AND(tblHorasJul[Evento 
(1º Período)]&lt;&gt;"",IF(ISERROR(VLOOKUP(tblHorasJul[Evento 
(1º Período)],tblEvento[],Tabelas!$E$1,FALSE)),FALSE,VLOOKUP(tblHorasJul[Evento 
(1º Período)],tblEvento[],Tabelas!$E$1,FALSE)="Sim")),IF(VLOOKUP(TEXT(tblHorasJul[Data],"dddd"),tblDiaUtil[],2,FALSE)="Não",TRUE,FALSE)),
                   tblHorasJul[Saída - 1 (Almoço)]-tblHorasJul[Entrada - 1],
                   IF(OR(HOUR(tblHorasJul[Saída - 1 (Almoço)]-tblHorasJul[Entrada - 1])&gt;0,ROUND(tblHorasJul[Saída - 1 (Almoço)]-tblHorasJul[Entrada - 1],6)&gt;ROUND(CARENCIA,6)),
                          tblHorasJul[Saída - 1 (Almoço)]-tblHorasJul[Entrada - 1],
                          0)),
                    0)),0)</f>
        <v>0</v>
      </c>
      <c r="K20" s="4">
        <f>IF($B$6&lt;&gt;"",
IF(AND(tblHorasJul[Evento 
(2º Período)]&lt;&gt;"",IF(ISERROR(VLOOKUP(tblHorasJul[Evento 
(2º Período)],tblEvento[],Tabelas!$D$1,FALSE)),FALSE,VLOOKUP(tblHorasJul[Evento 
(2º Período)],tblEvento[],Tabelas!$D$1,FALSE)="Sim")),
        IF(JORNADA_PERIODO_2&lt;&gt;"",
IF(VLOOKUP(tblHorasJul[Dia],tblDiaUtil[[Abreviatura]:[2º Período]],4,FALSE)&gt;0,VLOOKUP(tblHorasJul[Dia],tblDiaUtil[[Abreviatura]:[2º Período]],4,FALSE),JORNADA_PERIODO_2),
IF(VLOOKUP(tblHorasJul[Dia],tblDiaUtil[[Abreviatura]:[2º Período]],4,FALSE)&gt;0,VLOOKUP(tblHorasJul[Dia],tblDiaUtil[[Abreviatura]:[2º Período]],4,FALSE),JORNADA/2)),
        IF(AND(ISNUMBER(tblHorasJul[Saída - 2]),ISNUMBER(tblHorasJul[Entrada - 2 (Almoço)])),
              IF(OR(AND(tblHorasJul[Evento 
(2º Período)]&lt;&gt;"",IF(ISERROR(VLOOKUP(tblHorasJul[Evento 
(2º Período)],tblEvento[],Tabelas!$E$1,FALSE)),FALSE,VLOOKUP(tblHorasJul[Evento 
(2º Período)],tblEvento[],Tabelas!$E$1,FALSE)="Sim")),IF(VLOOKUP(TEXT(tblHorasJul[Data],"dddd"),tblDiaUtil[],2,FALSE)="Não",TRUE,FALSE)),
                   tblHorasJul[Saída - 2]-tblHorasJul[Entrada - 2 (Almoço)],
                   IF(OR(HOUR(tblHorasJul[Saída - 2]-tblHorasJul[Entrada - 2 (Almoço)])&gt;0,MINUTE(tblHorasJul[Saída - 2]-tblHorasJul[Entrada - 2 (Almoço)])&gt;CARENCIA),
                         tblHorasJul[Saída - 2]-tblHorasJul[Entrada - 2 (Almoço)],
                         0)),
       0)),0)</f>
        <v>0</v>
      </c>
      <c r="L20" s="4">
        <f>tblHorasJul[Horas Trabalhadas (1º Período)]+tblHorasJul[Horas Trabalhadas (2º Período)]</f>
        <v>0</v>
      </c>
      <c r="M20" s="4" t="str">
        <f>IF(tblHorasJul[Data]&lt;&gt;"",
        IF(
AND(VLOOKUP(TEXT(tblHorasJul[Data],"dddd"),tblDiaUtil[],3,FALSE)="Sim",IF(tblHorasJul[Evento 
(1º Período)]&lt;&gt;"",IF(VLOOKUP(tblHorasJul[Evento 
(1º Período)],tblEvento[],Tabelas!$E$1,FALSE)="Sim",FALSE,TRUE),TRUE),IF(tblHorasJul[Evento 
(2º Período)]&lt;&gt;"",IF(VLOOKUP(tblHorasJul[Evento 
(2º Período)],tblEvento[],Tabelas!$E$1,FALSE)="Sim",FALSE,TRUE),TRUE)),
              IF(VLOOKUP(tblHorasJul[Dia],tblDiaUtil[[Abreviatura]:[1º Período]],3,FALSE)&gt;0,VLOOKUP(tblHorasJul[Dia],tblDiaUtil[[Abreviatura]:[1º Período]],3,FALSE),JORNADA),
              ""),
         "")</f>
        <v/>
      </c>
      <c r="N20" s="14">
        <f>IF(OR(tblHorasJul[Horas Trabalhadas (1º Período)]&lt;&gt;0,tblHorasJul[Horas Trabalhadas (2º Período)]&lt;&gt;0),
        IF(ISNUMBER(tblHorasJul[Jornada Diária]),
              IF(tblHorasJul[Jornada Diária]&gt;(tblHorasJul[Horas Trabalhadas (2º Período)]+tblHorasJul[Horas Trabalhadas (1º Período)]),
                     IF(ROUND((tblHorasJul[Jornada Diária]-(tblHorasJul[Horas Trabalhadas (2º Período)]+tblHorasJul[Horas Trabalhadas (1º Período)])),6)&gt;ROUND(CARENCIA,6),
                           -tblHorasJul[Jornada Diária]+(tblHorasJul[Horas Trabalhadas (2º Período)]+tblHorasJul[Horas Trabalhadas (1º Período)]),
                           0),
                      IF(ROUND((tblHorasJul[Jornada Diária]-(tblHorasJul[Horas Trabalhadas (2º Período)]+tblHorasJul[Horas Trabalhadas (1º Período)])),6)&lt;ROUND(-CARENCIA,6),
                           -tblHorasJul[Jornada Diária]+(tblHorasJul[Horas Trabalhadas (2º Período)]+tblHorasJul[Horas Trabalhadas (1º Período)]),
                           0)),
              tblHorasJul[Horas Trabalhadas (2º Período)]+tblHorasJul[Horas Trabalhadas (1º Período)]),
         IF(AND(IF(ISERROR(VLOOKUP(tblHorasJul[Evento 
(1º Período)],tblEvento[[Evento]:[Libera o Período]],4,FALSE)),FALSE,IF(VLOOKUP(tblHorasJul[Evento 
(1º Período)],tblEvento[[Evento]:[Libera o Período]],4,FALSE)="Não",TRUE,FALSE)),IF(ISERROR(VLOOKUP(tblHorasJul[Evento 
(2º Período)],tblEvento[[Evento]:[Libera o Período]],4,FALSE)),FALSE,IF(VLOOKUP(tblHorasJul[Evento 
(2º Período)],tblEvento[[Evento]:[Libera o Período]],4,FALSE)="Não",TRUE,FALSE))),
-IF(VLOOKUP(tblHorasJul[Dia],tblDiaUtil[[Abreviatura]:[Total Jornada]],5,FALSE)&lt;&gt;"",VLOOKUP(tblHorasJul[Dia],tblDiaUtil[[Abreviatura]:[Total Jornada]],5,FALSE),JORNADA),
IF(IF(ISERROR(VLOOKUP(tblHorasJul[Evento 
(1º Período)],tblEvento[[Evento]:[Libera o Período]],4,FALSE)),FALSE,
IF(VLOOKUP(tblHorasJul[Evento 
(1º Período)],tblEvento[[Evento]:[Libera o Período]],4,FALSE)="Não",TRUE,FALSE)
),
-IF(VLOOKUP(tblHorasJul[Dia],tblDiaUtil[[Abreviatura]:[1º Período]],3,FALSE)&lt;&gt;"",VLOOKUP(tblHorasJul[Dia],tblDiaUtil[[Abreviatura]:[1º Período]],3,FALSE),JORNADA_PERIODO_1),
IF(IF(ISERROR(VLOOKUP(tblHorasJul[Evento 
(2º Período)],tblEvento[[Evento]:[Libera o Período]],4,FALSE)),FALSE,IF(VLOOKUP(tblHorasJul[Evento 
(2º Período)],tblEvento[[Evento]:[Libera o Período]],4,FALSE)="Não",TRUE,FALSE)),
-IF(VLOOKUP(tblHorasJul[Dia],tblDiaUtil[[Abreviatura]:[2º Período]],4,FALSE)&lt;&gt;"",VLOOKUP(tblHorasJul[Dia],tblDiaUtil[[Abreviatura]:[2º Período]],4,FALSE),JORNADA_PERIODO_2),0))))</f>
        <v>0</v>
      </c>
      <c r="O20" s="14">
        <f>IF(tblHorasJul[Horas Trabalhadas Além Jornada]&gt;0,
        IF(ISNUMBER(tblHorasJul[Jornada Diária]),
              IF(HOUR(tblHorasJul[Horas Trabalhadas Além Jornada])&gt;=VLOOKUP(LIMITE,tblLimiteHora[],Tabelas!$I$1,FALSE),
                    VLOOKUP(LIMITE,tblLimiteHora[],Tabelas!$J$1,FALSE),
                    tblHorasJul[Horas Trabalhadas Além Jornada]),
              tblHorasJul[Horas Trabalhadas Além Jornada]),
        tblHorasJul[Horas Trabalhadas Além Jornada])+O19</f>
        <v>0</v>
      </c>
      <c r="P20" s="14" t="str">
        <f>IF(tblHorasJul[Horas Trabalhadas Além Jornada]&lt;0,IF(OR(tblHorasJul[Evento 
(1º Período)]="",tblHorasJul[Evento 
(2º Período)]=""),tblHorasJul[Horas Trabalhadas Além Jornada],""),"")</f>
        <v/>
      </c>
      <c r="Q20" s="14" t="str">
        <f>IF(tblHorasJul[Jornada Diária]&lt;&gt;"",IF((N(tblHorasJul[Jornada Diária])-ABS(N(tblHorasJul[Horas Trabalhadas Além Jornada])))=0,1,""),"")</f>
        <v/>
      </c>
      <c r="R20" s="14" t="str">
        <f>IF(tblHorasJul[Horas Trabalhadas Além Jornada]&gt;0,
IF(AND(VLOOKUP(TEXT(tblHorasJul[Data],"dddd"),tblDiaUtil[],3,FALSE)="Sim",IF(tblHorasJul[Evento 
(1º Período)]&lt;&gt;"",IF(VLOOKUP(tblHorasJul[Evento 
(1º Período)],tblEvento[],Tabelas!$E$1,FALSE)="Sim",FALSE,TRUE),TRUE),IF(tblHorasJul[Evento 
(2º Período)]&lt;&gt;"",IF(VLOOKUP(tblHorasJul[Evento 
(2º Período)],tblEvento[],Tabelas!$E$1,FALSE)="Sim",FALSE,TRUE),TRUE)),
tblHorasJul[Horas Trabalhadas Além Jornada],""),"")</f>
        <v/>
      </c>
      <c r="S20" s="14" t="str">
        <f>IF(tblHorasJul[Horas Trabalhadas Além Jornada]&gt;0,
IF(OR(VLOOKUP(TEXT(tblHorasJul[Data],"dddd"),tblDiaUtil[],3,FALSE)="Não",IF(tblHorasJul[Evento 
(1º Período)]&lt;&gt;"",IF(VLOOKUP(tblHorasJul[Evento 
(1º Período)],tblEvento[],Tabelas!$E$1,FALSE)="Sim",TRUE,FALSE),FALSE),IF(tblHorasJul[Evento 
(2º Período)]&lt;&gt;"",IF(VLOOKUP(tblHorasJul[Evento 
(2º Período)],tblEvento[],Tabelas!$E$1,FALSE)="Sim",TRUE,FALSE),FALSE)),
tblHorasJul[Horas Trabalhadas Além Jornada],""),"")</f>
        <v/>
      </c>
      <c r="T20" s="15" t="str">
        <f>IF(tblHorasJul[Evento 
(1º Período)]&lt;&gt;""," - " &amp;VLOOKUP(tblHorasJul[Evento 
(1º Período)],tblEvento[],Tabelas!$F$1,FALSE),"")&amp;IF(AND(tblHorasJul[Evento 
(2º Período)]&lt;&gt;"",tblHorasJul[Evento 
(2º Período)]&lt;&gt;tblHorasJul[Evento 
(1º Período)])," - " &amp; VLOOKUP(tblHorasJul[Evento 
(2º Período)],tblEvento[],Tabelas!$F$1,FALSE),"")</f>
        <v/>
      </c>
    </row>
    <row r="21" spans="2:20" x14ac:dyDescent="0.25">
      <c r="B21" s="11" t="str">
        <f t="shared" si="0"/>
        <v/>
      </c>
      <c r="C21" s="12" t="str">
        <f>TEXT(tblHorasJul[Data],"ddd")</f>
        <v/>
      </c>
      <c r="D21" s="25"/>
      <c r="E21" s="1"/>
      <c r="F21" s="1"/>
      <c r="G21" s="1"/>
      <c r="H21" s="1"/>
      <c r="I21" s="53"/>
      <c r="J21" s="4">
        <f>IF($B$6&lt;&gt;"",
IF(AND(tblHorasJul[Evento 
(1º Período)]&lt;&gt;"",IF(ISERROR(VLOOKUP(tblHorasJul[Evento 
(1º Período)],tblEvento[],Tabelas!$D$1,FALSE)),FALSE,VLOOKUP(tblHorasJul[Evento 
(1º Período)],tblEvento[],Tabelas!$D$1,FALSE)="Sim")),
        IF(JORNADA_PERIODO_1&lt;&gt;"",
IF(VLOOKUP(tblHorasJul[Dia],tblDiaUtil[[Abreviatura]:[1º Período]],3,FALSE)&gt;0,VLOOKUP(tblHorasJul[Dia],tblDiaUtil[[Abreviatura]:[1º Período]],3,FALSE),JORNADA_PERIODO_1),
IF(VLOOKUP(tblHorasJul[Dia],tblDiaUtil[[Abreviatura]:[1º Período]],3,FALSE)&gt;0,VLOOKUP(tblHorasJul[Dia],tblDiaUtil[[Abreviatura]:[1º Período]],3,FALSE),JORNADA/2)),
        IF(AND(ISNUMBER(tblHorasJul[Saída - 1 (Almoço)]),ISNUMBER(tblHorasJul[Entrada - 1])),
              IF(OR(AND(tblHorasJul[Evento 
(1º Período)]&lt;&gt;"",IF(ISERROR(VLOOKUP(tblHorasJul[Evento 
(1º Período)],tblEvento[],Tabelas!$E$1,FALSE)),FALSE,VLOOKUP(tblHorasJul[Evento 
(1º Período)],tblEvento[],Tabelas!$E$1,FALSE)="Sim")),IF(VLOOKUP(TEXT(tblHorasJul[Data],"dddd"),tblDiaUtil[],2,FALSE)="Não",TRUE,FALSE)),
                   tblHorasJul[Saída - 1 (Almoço)]-tblHorasJul[Entrada - 1],
                   IF(OR(HOUR(tblHorasJul[Saída - 1 (Almoço)]-tblHorasJul[Entrada - 1])&gt;0,ROUND(tblHorasJul[Saída - 1 (Almoço)]-tblHorasJul[Entrada - 1],6)&gt;ROUND(CARENCIA,6)),
                          tblHorasJul[Saída - 1 (Almoço)]-tblHorasJul[Entrada - 1],
                          0)),
                    0)),0)</f>
        <v>0</v>
      </c>
      <c r="K21" s="4">
        <f>IF($B$6&lt;&gt;"",
IF(AND(tblHorasJul[Evento 
(2º Período)]&lt;&gt;"",IF(ISERROR(VLOOKUP(tblHorasJul[Evento 
(2º Período)],tblEvento[],Tabelas!$D$1,FALSE)),FALSE,VLOOKUP(tblHorasJul[Evento 
(2º Período)],tblEvento[],Tabelas!$D$1,FALSE)="Sim")),
        IF(JORNADA_PERIODO_2&lt;&gt;"",
IF(VLOOKUP(tblHorasJul[Dia],tblDiaUtil[[Abreviatura]:[2º Período]],4,FALSE)&gt;0,VLOOKUP(tblHorasJul[Dia],tblDiaUtil[[Abreviatura]:[2º Período]],4,FALSE),JORNADA_PERIODO_2),
IF(VLOOKUP(tblHorasJul[Dia],tblDiaUtil[[Abreviatura]:[2º Período]],4,FALSE)&gt;0,VLOOKUP(tblHorasJul[Dia],tblDiaUtil[[Abreviatura]:[2º Período]],4,FALSE),JORNADA/2)),
        IF(AND(ISNUMBER(tblHorasJul[Saída - 2]),ISNUMBER(tblHorasJul[Entrada - 2 (Almoço)])),
              IF(OR(AND(tblHorasJul[Evento 
(2º Período)]&lt;&gt;"",IF(ISERROR(VLOOKUP(tblHorasJul[Evento 
(2º Período)],tblEvento[],Tabelas!$E$1,FALSE)),FALSE,VLOOKUP(tblHorasJul[Evento 
(2º Período)],tblEvento[],Tabelas!$E$1,FALSE)="Sim")),IF(VLOOKUP(TEXT(tblHorasJul[Data],"dddd"),tblDiaUtil[],2,FALSE)="Não",TRUE,FALSE)),
                   tblHorasJul[Saída - 2]-tblHorasJul[Entrada - 2 (Almoço)],
                   IF(OR(HOUR(tblHorasJul[Saída - 2]-tblHorasJul[Entrada - 2 (Almoço)])&gt;0,MINUTE(tblHorasJul[Saída - 2]-tblHorasJul[Entrada - 2 (Almoço)])&gt;CARENCIA),
                         tblHorasJul[Saída - 2]-tblHorasJul[Entrada - 2 (Almoço)],
                         0)),
       0)),0)</f>
        <v>0</v>
      </c>
      <c r="L21" s="4">
        <f>tblHorasJul[Horas Trabalhadas (1º Período)]+tblHorasJul[Horas Trabalhadas (2º Período)]</f>
        <v>0</v>
      </c>
      <c r="M21" s="4" t="str">
        <f>IF(tblHorasJul[Data]&lt;&gt;"",
        IF(
AND(VLOOKUP(TEXT(tblHorasJul[Data],"dddd"),tblDiaUtil[],3,FALSE)="Sim",IF(tblHorasJul[Evento 
(1º Período)]&lt;&gt;"",IF(VLOOKUP(tblHorasJul[Evento 
(1º Período)],tblEvento[],Tabelas!$E$1,FALSE)="Sim",FALSE,TRUE),TRUE),IF(tblHorasJul[Evento 
(2º Período)]&lt;&gt;"",IF(VLOOKUP(tblHorasJul[Evento 
(2º Período)],tblEvento[],Tabelas!$E$1,FALSE)="Sim",FALSE,TRUE),TRUE)),
              IF(VLOOKUP(tblHorasJul[Dia],tblDiaUtil[[Abreviatura]:[1º Período]],3,FALSE)&gt;0,VLOOKUP(tblHorasJul[Dia],tblDiaUtil[[Abreviatura]:[1º Período]],3,FALSE),JORNADA),
              ""),
         "")</f>
        <v/>
      </c>
      <c r="N21" s="14">
        <f>IF(OR(tblHorasJul[Horas Trabalhadas (1º Período)]&lt;&gt;0,tblHorasJul[Horas Trabalhadas (2º Período)]&lt;&gt;0),
        IF(ISNUMBER(tblHorasJul[Jornada Diária]),
              IF(tblHorasJul[Jornada Diária]&gt;(tblHorasJul[Horas Trabalhadas (2º Período)]+tblHorasJul[Horas Trabalhadas (1º Período)]),
                     IF(ROUND((tblHorasJul[Jornada Diária]-(tblHorasJul[Horas Trabalhadas (2º Período)]+tblHorasJul[Horas Trabalhadas (1º Período)])),6)&gt;ROUND(CARENCIA,6),
                           -tblHorasJul[Jornada Diária]+(tblHorasJul[Horas Trabalhadas (2º Período)]+tblHorasJul[Horas Trabalhadas (1º Período)]),
                           0),
                      IF(ROUND((tblHorasJul[Jornada Diária]-(tblHorasJul[Horas Trabalhadas (2º Período)]+tblHorasJul[Horas Trabalhadas (1º Período)])),6)&lt;ROUND(-CARENCIA,6),
                           -tblHorasJul[Jornada Diária]+(tblHorasJul[Horas Trabalhadas (2º Período)]+tblHorasJul[Horas Trabalhadas (1º Período)]),
                           0)),
              tblHorasJul[Horas Trabalhadas (2º Período)]+tblHorasJul[Horas Trabalhadas (1º Período)]),
         IF(AND(IF(ISERROR(VLOOKUP(tblHorasJul[Evento 
(1º Período)],tblEvento[[Evento]:[Libera o Período]],4,FALSE)),FALSE,IF(VLOOKUP(tblHorasJul[Evento 
(1º Período)],tblEvento[[Evento]:[Libera o Período]],4,FALSE)="Não",TRUE,FALSE)),IF(ISERROR(VLOOKUP(tblHorasJul[Evento 
(2º Período)],tblEvento[[Evento]:[Libera o Período]],4,FALSE)),FALSE,IF(VLOOKUP(tblHorasJul[Evento 
(2º Período)],tblEvento[[Evento]:[Libera o Período]],4,FALSE)="Não",TRUE,FALSE))),
-IF(VLOOKUP(tblHorasJul[Dia],tblDiaUtil[[Abreviatura]:[Total Jornada]],5,FALSE)&lt;&gt;"",VLOOKUP(tblHorasJul[Dia],tblDiaUtil[[Abreviatura]:[Total Jornada]],5,FALSE),JORNADA),
IF(IF(ISERROR(VLOOKUP(tblHorasJul[Evento 
(1º Período)],tblEvento[[Evento]:[Libera o Período]],4,FALSE)),FALSE,
IF(VLOOKUP(tblHorasJul[Evento 
(1º Período)],tblEvento[[Evento]:[Libera o Período]],4,FALSE)="Não",TRUE,FALSE)
),
-IF(VLOOKUP(tblHorasJul[Dia],tblDiaUtil[[Abreviatura]:[1º Período]],3,FALSE)&lt;&gt;"",VLOOKUP(tblHorasJul[Dia],tblDiaUtil[[Abreviatura]:[1º Período]],3,FALSE),JORNADA_PERIODO_1),
IF(IF(ISERROR(VLOOKUP(tblHorasJul[Evento 
(2º Período)],tblEvento[[Evento]:[Libera o Período]],4,FALSE)),FALSE,IF(VLOOKUP(tblHorasJul[Evento 
(2º Período)],tblEvento[[Evento]:[Libera o Período]],4,FALSE)="Não",TRUE,FALSE)),
-IF(VLOOKUP(tblHorasJul[Dia],tblDiaUtil[[Abreviatura]:[2º Período]],4,FALSE)&lt;&gt;"",VLOOKUP(tblHorasJul[Dia],tblDiaUtil[[Abreviatura]:[2º Período]],4,FALSE),JORNADA_PERIODO_2),0))))</f>
        <v>0</v>
      </c>
      <c r="O21" s="14">
        <f>IF(tblHorasJul[Horas Trabalhadas Além Jornada]&gt;0,
        IF(ISNUMBER(tblHorasJul[Jornada Diária]),
              IF(HOUR(tblHorasJul[Horas Trabalhadas Além Jornada])&gt;=VLOOKUP(LIMITE,tblLimiteHora[],Tabelas!$I$1,FALSE),
                    VLOOKUP(LIMITE,tblLimiteHora[],Tabelas!$J$1,FALSE),
                    tblHorasJul[Horas Trabalhadas Além Jornada]),
              tblHorasJul[Horas Trabalhadas Além Jornada]),
        tblHorasJul[Horas Trabalhadas Além Jornada])+O20</f>
        <v>0</v>
      </c>
      <c r="P21" s="14" t="str">
        <f>IF(tblHorasJul[Horas Trabalhadas Além Jornada]&lt;0,IF(OR(tblHorasJul[Evento 
(1º Período)]="",tblHorasJul[Evento 
(2º Período)]=""),tblHorasJul[Horas Trabalhadas Além Jornada],""),"")</f>
        <v/>
      </c>
      <c r="Q21" s="14" t="str">
        <f>IF(tblHorasJul[Jornada Diária]&lt;&gt;"",IF((N(tblHorasJul[Jornada Diária])-ABS(N(tblHorasJul[Horas Trabalhadas Além Jornada])))=0,1,""),"")</f>
        <v/>
      </c>
      <c r="R21" s="14" t="str">
        <f>IF(tblHorasJul[Horas Trabalhadas Além Jornada]&gt;0,
IF(AND(VLOOKUP(TEXT(tblHorasJul[Data],"dddd"),tblDiaUtil[],3,FALSE)="Sim",IF(tblHorasJul[Evento 
(1º Período)]&lt;&gt;"",IF(VLOOKUP(tblHorasJul[Evento 
(1º Período)],tblEvento[],Tabelas!$E$1,FALSE)="Sim",FALSE,TRUE),TRUE),IF(tblHorasJul[Evento 
(2º Período)]&lt;&gt;"",IF(VLOOKUP(tblHorasJul[Evento 
(2º Período)],tblEvento[],Tabelas!$E$1,FALSE)="Sim",FALSE,TRUE),TRUE)),
tblHorasJul[Horas Trabalhadas Além Jornada],""),"")</f>
        <v/>
      </c>
      <c r="S21" s="14" t="str">
        <f>IF(tblHorasJul[Horas Trabalhadas Além Jornada]&gt;0,
IF(OR(VLOOKUP(TEXT(tblHorasJul[Data],"dddd"),tblDiaUtil[],3,FALSE)="Não",IF(tblHorasJul[Evento 
(1º Período)]&lt;&gt;"",IF(VLOOKUP(tblHorasJul[Evento 
(1º Período)],tblEvento[],Tabelas!$E$1,FALSE)="Sim",TRUE,FALSE),FALSE),IF(tblHorasJul[Evento 
(2º Período)]&lt;&gt;"",IF(VLOOKUP(tblHorasJul[Evento 
(2º Período)],tblEvento[],Tabelas!$E$1,FALSE)="Sim",TRUE,FALSE),FALSE)),
tblHorasJul[Horas Trabalhadas Além Jornada],""),"")</f>
        <v/>
      </c>
      <c r="T21" s="15" t="str">
        <f>IF(tblHorasJul[Evento 
(1º Período)]&lt;&gt;""," - " &amp;VLOOKUP(tblHorasJul[Evento 
(1º Período)],tblEvento[],Tabelas!$F$1,FALSE),"")&amp;IF(AND(tblHorasJul[Evento 
(2º Período)]&lt;&gt;"",tblHorasJul[Evento 
(2º Período)]&lt;&gt;tblHorasJul[Evento 
(1º Período)])," - " &amp; VLOOKUP(tblHorasJul[Evento 
(2º Período)],tblEvento[],Tabelas!$F$1,FALSE),"")</f>
        <v/>
      </c>
    </row>
    <row r="22" spans="2:20" x14ac:dyDescent="0.25">
      <c r="B22" s="11" t="str">
        <f t="shared" si="0"/>
        <v/>
      </c>
      <c r="C22" s="12" t="str">
        <f>TEXT(tblHorasJul[Data],"ddd")</f>
        <v/>
      </c>
      <c r="D22" s="25"/>
      <c r="E22" s="1"/>
      <c r="F22" s="1"/>
      <c r="G22" s="1"/>
      <c r="H22" s="1"/>
      <c r="I22" s="53"/>
      <c r="J22" s="4">
        <f>IF($B$6&lt;&gt;"",
IF(AND(tblHorasJul[Evento 
(1º Período)]&lt;&gt;"",IF(ISERROR(VLOOKUP(tblHorasJul[Evento 
(1º Período)],tblEvento[],Tabelas!$D$1,FALSE)),FALSE,VLOOKUP(tblHorasJul[Evento 
(1º Período)],tblEvento[],Tabelas!$D$1,FALSE)="Sim")),
        IF(JORNADA_PERIODO_1&lt;&gt;"",
IF(VLOOKUP(tblHorasJul[Dia],tblDiaUtil[[Abreviatura]:[1º Período]],3,FALSE)&gt;0,VLOOKUP(tblHorasJul[Dia],tblDiaUtil[[Abreviatura]:[1º Período]],3,FALSE),JORNADA_PERIODO_1),
IF(VLOOKUP(tblHorasJul[Dia],tblDiaUtil[[Abreviatura]:[1º Período]],3,FALSE)&gt;0,VLOOKUP(tblHorasJul[Dia],tblDiaUtil[[Abreviatura]:[1º Período]],3,FALSE),JORNADA/2)),
        IF(AND(ISNUMBER(tblHorasJul[Saída - 1 (Almoço)]),ISNUMBER(tblHorasJul[Entrada - 1])),
              IF(OR(AND(tblHorasJul[Evento 
(1º Período)]&lt;&gt;"",IF(ISERROR(VLOOKUP(tblHorasJul[Evento 
(1º Período)],tblEvento[],Tabelas!$E$1,FALSE)),FALSE,VLOOKUP(tblHorasJul[Evento 
(1º Período)],tblEvento[],Tabelas!$E$1,FALSE)="Sim")),IF(VLOOKUP(TEXT(tblHorasJul[Data],"dddd"),tblDiaUtil[],2,FALSE)="Não",TRUE,FALSE)),
                   tblHorasJul[Saída - 1 (Almoço)]-tblHorasJul[Entrada - 1],
                   IF(OR(HOUR(tblHorasJul[Saída - 1 (Almoço)]-tblHorasJul[Entrada - 1])&gt;0,ROUND(tblHorasJul[Saída - 1 (Almoço)]-tblHorasJul[Entrada - 1],6)&gt;ROUND(CARENCIA,6)),
                          tblHorasJul[Saída - 1 (Almoço)]-tblHorasJul[Entrada - 1],
                          0)),
                    0)),0)</f>
        <v>0</v>
      </c>
      <c r="K22" s="4">
        <f>IF($B$6&lt;&gt;"",
IF(AND(tblHorasJul[Evento 
(2º Período)]&lt;&gt;"",IF(ISERROR(VLOOKUP(tblHorasJul[Evento 
(2º Período)],tblEvento[],Tabelas!$D$1,FALSE)),FALSE,VLOOKUP(tblHorasJul[Evento 
(2º Período)],tblEvento[],Tabelas!$D$1,FALSE)="Sim")),
        IF(JORNADA_PERIODO_2&lt;&gt;"",
IF(VLOOKUP(tblHorasJul[Dia],tblDiaUtil[[Abreviatura]:[2º Período]],4,FALSE)&gt;0,VLOOKUP(tblHorasJul[Dia],tblDiaUtil[[Abreviatura]:[2º Período]],4,FALSE),JORNADA_PERIODO_2),
IF(VLOOKUP(tblHorasJul[Dia],tblDiaUtil[[Abreviatura]:[2º Período]],4,FALSE)&gt;0,VLOOKUP(tblHorasJul[Dia],tblDiaUtil[[Abreviatura]:[2º Período]],4,FALSE),JORNADA/2)),
        IF(AND(ISNUMBER(tblHorasJul[Saída - 2]),ISNUMBER(tblHorasJul[Entrada - 2 (Almoço)])),
              IF(OR(AND(tblHorasJul[Evento 
(2º Período)]&lt;&gt;"",IF(ISERROR(VLOOKUP(tblHorasJul[Evento 
(2º Período)],tblEvento[],Tabelas!$E$1,FALSE)),FALSE,VLOOKUP(tblHorasJul[Evento 
(2º Período)],tblEvento[],Tabelas!$E$1,FALSE)="Sim")),IF(VLOOKUP(TEXT(tblHorasJul[Data],"dddd"),tblDiaUtil[],2,FALSE)="Não",TRUE,FALSE)),
                   tblHorasJul[Saída - 2]-tblHorasJul[Entrada - 2 (Almoço)],
                   IF(OR(HOUR(tblHorasJul[Saída - 2]-tblHorasJul[Entrada - 2 (Almoço)])&gt;0,MINUTE(tblHorasJul[Saída - 2]-tblHorasJul[Entrada - 2 (Almoço)])&gt;CARENCIA),
                         tblHorasJul[Saída - 2]-tblHorasJul[Entrada - 2 (Almoço)],
                         0)),
       0)),0)</f>
        <v>0</v>
      </c>
      <c r="L22" s="4">
        <f>tblHorasJul[Horas Trabalhadas (1º Período)]+tblHorasJul[Horas Trabalhadas (2º Período)]</f>
        <v>0</v>
      </c>
      <c r="M22" s="4" t="str">
        <f>IF(tblHorasJul[Data]&lt;&gt;"",
        IF(
AND(VLOOKUP(TEXT(tblHorasJul[Data],"dddd"),tblDiaUtil[],3,FALSE)="Sim",IF(tblHorasJul[Evento 
(1º Período)]&lt;&gt;"",IF(VLOOKUP(tblHorasJul[Evento 
(1º Período)],tblEvento[],Tabelas!$E$1,FALSE)="Sim",FALSE,TRUE),TRUE),IF(tblHorasJul[Evento 
(2º Período)]&lt;&gt;"",IF(VLOOKUP(tblHorasJul[Evento 
(2º Período)],tblEvento[],Tabelas!$E$1,FALSE)="Sim",FALSE,TRUE),TRUE)),
              IF(VLOOKUP(tblHorasJul[Dia],tblDiaUtil[[Abreviatura]:[1º Período]],3,FALSE)&gt;0,VLOOKUP(tblHorasJul[Dia],tblDiaUtil[[Abreviatura]:[1º Período]],3,FALSE),JORNADA),
              ""),
         "")</f>
        <v/>
      </c>
      <c r="N22" s="14">
        <f>IF(OR(tblHorasJul[Horas Trabalhadas (1º Período)]&lt;&gt;0,tblHorasJul[Horas Trabalhadas (2º Período)]&lt;&gt;0),
        IF(ISNUMBER(tblHorasJul[Jornada Diária]),
              IF(tblHorasJul[Jornada Diária]&gt;(tblHorasJul[Horas Trabalhadas (2º Período)]+tblHorasJul[Horas Trabalhadas (1º Período)]),
                     IF(ROUND((tblHorasJul[Jornada Diária]-(tblHorasJul[Horas Trabalhadas (2º Período)]+tblHorasJul[Horas Trabalhadas (1º Período)])),6)&gt;ROUND(CARENCIA,6),
                           -tblHorasJul[Jornada Diária]+(tblHorasJul[Horas Trabalhadas (2º Período)]+tblHorasJul[Horas Trabalhadas (1º Período)]),
                           0),
                      IF(ROUND((tblHorasJul[Jornada Diária]-(tblHorasJul[Horas Trabalhadas (2º Período)]+tblHorasJul[Horas Trabalhadas (1º Período)])),6)&lt;ROUND(-CARENCIA,6),
                           -tblHorasJul[Jornada Diária]+(tblHorasJul[Horas Trabalhadas (2º Período)]+tblHorasJul[Horas Trabalhadas (1º Período)]),
                           0)),
              tblHorasJul[Horas Trabalhadas (2º Período)]+tblHorasJul[Horas Trabalhadas (1º Período)]),
         IF(AND(IF(ISERROR(VLOOKUP(tblHorasJul[Evento 
(1º Período)],tblEvento[[Evento]:[Libera o Período]],4,FALSE)),FALSE,IF(VLOOKUP(tblHorasJul[Evento 
(1º Período)],tblEvento[[Evento]:[Libera o Período]],4,FALSE)="Não",TRUE,FALSE)),IF(ISERROR(VLOOKUP(tblHorasJul[Evento 
(2º Período)],tblEvento[[Evento]:[Libera o Período]],4,FALSE)),FALSE,IF(VLOOKUP(tblHorasJul[Evento 
(2º Período)],tblEvento[[Evento]:[Libera o Período]],4,FALSE)="Não",TRUE,FALSE))),
-IF(VLOOKUP(tblHorasJul[Dia],tblDiaUtil[[Abreviatura]:[Total Jornada]],5,FALSE)&lt;&gt;"",VLOOKUP(tblHorasJul[Dia],tblDiaUtil[[Abreviatura]:[Total Jornada]],5,FALSE),JORNADA),
IF(IF(ISERROR(VLOOKUP(tblHorasJul[Evento 
(1º Período)],tblEvento[[Evento]:[Libera o Período]],4,FALSE)),FALSE,
IF(VLOOKUP(tblHorasJul[Evento 
(1º Período)],tblEvento[[Evento]:[Libera o Período]],4,FALSE)="Não",TRUE,FALSE)
),
-IF(VLOOKUP(tblHorasJul[Dia],tblDiaUtil[[Abreviatura]:[1º Período]],3,FALSE)&lt;&gt;"",VLOOKUP(tblHorasJul[Dia],tblDiaUtil[[Abreviatura]:[1º Período]],3,FALSE),JORNADA_PERIODO_1),
IF(IF(ISERROR(VLOOKUP(tblHorasJul[Evento 
(2º Período)],tblEvento[[Evento]:[Libera o Período]],4,FALSE)),FALSE,IF(VLOOKUP(tblHorasJul[Evento 
(2º Período)],tblEvento[[Evento]:[Libera o Período]],4,FALSE)="Não",TRUE,FALSE)),
-IF(VLOOKUP(tblHorasJul[Dia],tblDiaUtil[[Abreviatura]:[2º Período]],4,FALSE)&lt;&gt;"",VLOOKUP(tblHorasJul[Dia],tblDiaUtil[[Abreviatura]:[2º Período]],4,FALSE),JORNADA_PERIODO_2),0))))</f>
        <v>0</v>
      </c>
      <c r="O22" s="14">
        <f>IF(tblHorasJul[Horas Trabalhadas Além Jornada]&gt;0,
        IF(ISNUMBER(tblHorasJul[Jornada Diária]),
              IF(HOUR(tblHorasJul[Horas Trabalhadas Além Jornada])&gt;=VLOOKUP(LIMITE,tblLimiteHora[],Tabelas!$I$1,FALSE),
                    VLOOKUP(LIMITE,tblLimiteHora[],Tabelas!$J$1,FALSE),
                    tblHorasJul[Horas Trabalhadas Além Jornada]),
              tblHorasJul[Horas Trabalhadas Além Jornada]),
        tblHorasJul[Horas Trabalhadas Além Jornada])+O21</f>
        <v>0</v>
      </c>
      <c r="P22" s="14" t="str">
        <f>IF(tblHorasJul[Horas Trabalhadas Além Jornada]&lt;0,IF(OR(tblHorasJul[Evento 
(1º Período)]="",tblHorasJul[Evento 
(2º Período)]=""),tblHorasJul[Horas Trabalhadas Além Jornada],""),"")</f>
        <v/>
      </c>
      <c r="Q22" s="14" t="str">
        <f>IF(tblHorasJul[Jornada Diária]&lt;&gt;"",IF((N(tblHorasJul[Jornada Diária])-ABS(N(tblHorasJul[Horas Trabalhadas Além Jornada])))=0,1,""),"")</f>
        <v/>
      </c>
      <c r="R22" s="14" t="str">
        <f>IF(tblHorasJul[Horas Trabalhadas Além Jornada]&gt;0,
IF(AND(VLOOKUP(TEXT(tblHorasJul[Data],"dddd"),tblDiaUtil[],3,FALSE)="Sim",IF(tblHorasJul[Evento 
(1º Período)]&lt;&gt;"",IF(VLOOKUP(tblHorasJul[Evento 
(1º Período)],tblEvento[],Tabelas!$E$1,FALSE)="Sim",FALSE,TRUE),TRUE),IF(tblHorasJul[Evento 
(2º Período)]&lt;&gt;"",IF(VLOOKUP(tblHorasJul[Evento 
(2º Período)],tblEvento[],Tabelas!$E$1,FALSE)="Sim",FALSE,TRUE),TRUE)),
tblHorasJul[Horas Trabalhadas Além Jornada],""),"")</f>
        <v/>
      </c>
      <c r="S22" s="14" t="str">
        <f>IF(tblHorasJul[Horas Trabalhadas Além Jornada]&gt;0,
IF(OR(VLOOKUP(TEXT(tblHorasJul[Data],"dddd"),tblDiaUtil[],3,FALSE)="Não",IF(tblHorasJul[Evento 
(1º Período)]&lt;&gt;"",IF(VLOOKUP(tblHorasJul[Evento 
(1º Período)],tblEvento[],Tabelas!$E$1,FALSE)="Sim",TRUE,FALSE),FALSE),IF(tblHorasJul[Evento 
(2º Período)]&lt;&gt;"",IF(VLOOKUP(tblHorasJul[Evento 
(2º Período)],tblEvento[],Tabelas!$E$1,FALSE)="Sim",TRUE,FALSE),FALSE)),
tblHorasJul[Horas Trabalhadas Além Jornada],""),"")</f>
        <v/>
      </c>
      <c r="T22" s="15" t="str">
        <f>IF(tblHorasJul[Evento 
(1º Período)]&lt;&gt;""," - " &amp;VLOOKUP(tblHorasJul[Evento 
(1º Período)],tblEvento[],Tabelas!$F$1,FALSE),"")&amp;IF(AND(tblHorasJul[Evento 
(2º Período)]&lt;&gt;"",tblHorasJul[Evento 
(2º Período)]&lt;&gt;tblHorasJul[Evento 
(1º Período)])," - " &amp; VLOOKUP(tblHorasJul[Evento 
(2º Período)],tblEvento[],Tabelas!$F$1,FALSE),"")</f>
        <v/>
      </c>
    </row>
    <row r="23" spans="2:20" x14ac:dyDescent="0.25">
      <c r="B23" s="11" t="str">
        <f t="shared" si="0"/>
        <v/>
      </c>
      <c r="C23" s="12" t="str">
        <f>TEXT(tblHorasJul[Data],"ddd")</f>
        <v/>
      </c>
      <c r="D23" s="25"/>
      <c r="E23" s="1"/>
      <c r="F23" s="1"/>
      <c r="G23" s="1"/>
      <c r="H23" s="1"/>
      <c r="I23" s="53"/>
      <c r="J23" s="4">
        <f>IF($B$6&lt;&gt;"",
IF(AND(tblHorasJul[Evento 
(1º Período)]&lt;&gt;"",IF(ISERROR(VLOOKUP(tblHorasJul[Evento 
(1º Período)],tblEvento[],Tabelas!$D$1,FALSE)),FALSE,VLOOKUP(tblHorasJul[Evento 
(1º Período)],tblEvento[],Tabelas!$D$1,FALSE)="Sim")),
        IF(JORNADA_PERIODO_1&lt;&gt;"",
IF(VLOOKUP(tblHorasJul[Dia],tblDiaUtil[[Abreviatura]:[1º Período]],3,FALSE)&gt;0,VLOOKUP(tblHorasJul[Dia],tblDiaUtil[[Abreviatura]:[1º Período]],3,FALSE),JORNADA_PERIODO_1),
IF(VLOOKUP(tblHorasJul[Dia],tblDiaUtil[[Abreviatura]:[1º Período]],3,FALSE)&gt;0,VLOOKUP(tblHorasJul[Dia],tblDiaUtil[[Abreviatura]:[1º Período]],3,FALSE),JORNADA/2)),
        IF(AND(ISNUMBER(tblHorasJul[Saída - 1 (Almoço)]),ISNUMBER(tblHorasJul[Entrada - 1])),
              IF(OR(AND(tblHorasJul[Evento 
(1º Período)]&lt;&gt;"",IF(ISERROR(VLOOKUP(tblHorasJul[Evento 
(1º Período)],tblEvento[],Tabelas!$E$1,FALSE)),FALSE,VLOOKUP(tblHorasJul[Evento 
(1º Período)],tblEvento[],Tabelas!$E$1,FALSE)="Sim")),IF(VLOOKUP(TEXT(tblHorasJul[Data],"dddd"),tblDiaUtil[],2,FALSE)="Não",TRUE,FALSE)),
                   tblHorasJul[Saída - 1 (Almoço)]-tblHorasJul[Entrada - 1],
                   IF(OR(HOUR(tblHorasJul[Saída - 1 (Almoço)]-tblHorasJul[Entrada - 1])&gt;0,ROUND(tblHorasJul[Saída - 1 (Almoço)]-tblHorasJul[Entrada - 1],6)&gt;ROUND(CARENCIA,6)),
                          tblHorasJul[Saída - 1 (Almoço)]-tblHorasJul[Entrada - 1],
                          0)),
                    0)),0)</f>
        <v>0</v>
      </c>
      <c r="K23" s="4">
        <f>IF($B$6&lt;&gt;"",
IF(AND(tblHorasJul[Evento 
(2º Período)]&lt;&gt;"",IF(ISERROR(VLOOKUP(tblHorasJul[Evento 
(2º Período)],tblEvento[],Tabelas!$D$1,FALSE)),FALSE,VLOOKUP(tblHorasJul[Evento 
(2º Período)],tblEvento[],Tabelas!$D$1,FALSE)="Sim")),
        IF(JORNADA_PERIODO_2&lt;&gt;"",
IF(VLOOKUP(tblHorasJul[Dia],tblDiaUtil[[Abreviatura]:[2º Período]],4,FALSE)&gt;0,VLOOKUP(tblHorasJul[Dia],tblDiaUtil[[Abreviatura]:[2º Período]],4,FALSE),JORNADA_PERIODO_2),
IF(VLOOKUP(tblHorasJul[Dia],tblDiaUtil[[Abreviatura]:[2º Período]],4,FALSE)&gt;0,VLOOKUP(tblHorasJul[Dia],tblDiaUtil[[Abreviatura]:[2º Período]],4,FALSE),JORNADA/2)),
        IF(AND(ISNUMBER(tblHorasJul[Saída - 2]),ISNUMBER(tblHorasJul[Entrada - 2 (Almoço)])),
              IF(OR(AND(tblHorasJul[Evento 
(2º Período)]&lt;&gt;"",IF(ISERROR(VLOOKUP(tblHorasJul[Evento 
(2º Período)],tblEvento[],Tabelas!$E$1,FALSE)),FALSE,VLOOKUP(tblHorasJul[Evento 
(2º Período)],tblEvento[],Tabelas!$E$1,FALSE)="Sim")),IF(VLOOKUP(TEXT(tblHorasJul[Data],"dddd"),tblDiaUtil[],2,FALSE)="Não",TRUE,FALSE)),
                   tblHorasJul[Saída - 2]-tblHorasJul[Entrada - 2 (Almoço)],
                   IF(OR(HOUR(tblHorasJul[Saída - 2]-tblHorasJul[Entrada - 2 (Almoço)])&gt;0,MINUTE(tblHorasJul[Saída - 2]-tblHorasJul[Entrada - 2 (Almoço)])&gt;CARENCIA),
                         tblHorasJul[Saída - 2]-tblHorasJul[Entrada - 2 (Almoço)],
                         0)),
       0)),0)</f>
        <v>0</v>
      </c>
      <c r="L23" s="4">
        <f>tblHorasJul[Horas Trabalhadas (1º Período)]+tblHorasJul[Horas Trabalhadas (2º Período)]</f>
        <v>0</v>
      </c>
      <c r="M23" s="4" t="str">
        <f>IF(tblHorasJul[Data]&lt;&gt;"",
        IF(
AND(VLOOKUP(TEXT(tblHorasJul[Data],"dddd"),tblDiaUtil[],3,FALSE)="Sim",IF(tblHorasJul[Evento 
(1º Período)]&lt;&gt;"",IF(VLOOKUP(tblHorasJul[Evento 
(1º Período)],tblEvento[],Tabelas!$E$1,FALSE)="Sim",FALSE,TRUE),TRUE),IF(tblHorasJul[Evento 
(2º Período)]&lt;&gt;"",IF(VLOOKUP(tblHorasJul[Evento 
(2º Período)],tblEvento[],Tabelas!$E$1,FALSE)="Sim",FALSE,TRUE),TRUE)),
              IF(VLOOKUP(tblHorasJul[Dia],tblDiaUtil[[Abreviatura]:[1º Período]],3,FALSE)&gt;0,VLOOKUP(tblHorasJul[Dia],tblDiaUtil[[Abreviatura]:[1º Período]],3,FALSE),JORNADA),
              ""),
         "")</f>
        <v/>
      </c>
      <c r="N23" s="14">
        <f>IF(OR(tblHorasJul[Horas Trabalhadas (1º Período)]&lt;&gt;0,tblHorasJul[Horas Trabalhadas (2º Período)]&lt;&gt;0),
        IF(ISNUMBER(tblHorasJul[Jornada Diária]),
              IF(tblHorasJul[Jornada Diária]&gt;(tblHorasJul[Horas Trabalhadas (2º Período)]+tblHorasJul[Horas Trabalhadas (1º Período)]),
                     IF(ROUND((tblHorasJul[Jornada Diária]-(tblHorasJul[Horas Trabalhadas (2º Período)]+tblHorasJul[Horas Trabalhadas (1º Período)])),6)&gt;ROUND(CARENCIA,6),
                           -tblHorasJul[Jornada Diária]+(tblHorasJul[Horas Trabalhadas (2º Período)]+tblHorasJul[Horas Trabalhadas (1º Período)]),
                           0),
                      IF(ROUND((tblHorasJul[Jornada Diária]-(tblHorasJul[Horas Trabalhadas (2º Período)]+tblHorasJul[Horas Trabalhadas (1º Período)])),6)&lt;ROUND(-CARENCIA,6),
                           -tblHorasJul[Jornada Diária]+(tblHorasJul[Horas Trabalhadas (2º Período)]+tblHorasJul[Horas Trabalhadas (1º Período)]),
                           0)),
              tblHorasJul[Horas Trabalhadas (2º Período)]+tblHorasJul[Horas Trabalhadas (1º Período)]),
         IF(AND(IF(ISERROR(VLOOKUP(tblHorasJul[Evento 
(1º Período)],tblEvento[[Evento]:[Libera o Período]],4,FALSE)),FALSE,IF(VLOOKUP(tblHorasJul[Evento 
(1º Período)],tblEvento[[Evento]:[Libera o Período]],4,FALSE)="Não",TRUE,FALSE)),IF(ISERROR(VLOOKUP(tblHorasJul[Evento 
(2º Período)],tblEvento[[Evento]:[Libera o Período]],4,FALSE)),FALSE,IF(VLOOKUP(tblHorasJul[Evento 
(2º Período)],tblEvento[[Evento]:[Libera o Período]],4,FALSE)="Não",TRUE,FALSE))),
-IF(VLOOKUP(tblHorasJul[Dia],tblDiaUtil[[Abreviatura]:[Total Jornada]],5,FALSE)&lt;&gt;"",VLOOKUP(tblHorasJul[Dia],tblDiaUtil[[Abreviatura]:[Total Jornada]],5,FALSE),JORNADA),
IF(IF(ISERROR(VLOOKUP(tblHorasJul[Evento 
(1º Período)],tblEvento[[Evento]:[Libera o Período]],4,FALSE)),FALSE,
IF(VLOOKUP(tblHorasJul[Evento 
(1º Período)],tblEvento[[Evento]:[Libera o Período]],4,FALSE)="Não",TRUE,FALSE)
),
-IF(VLOOKUP(tblHorasJul[Dia],tblDiaUtil[[Abreviatura]:[1º Período]],3,FALSE)&lt;&gt;"",VLOOKUP(tblHorasJul[Dia],tblDiaUtil[[Abreviatura]:[1º Período]],3,FALSE),JORNADA_PERIODO_1),
IF(IF(ISERROR(VLOOKUP(tblHorasJul[Evento 
(2º Período)],tblEvento[[Evento]:[Libera o Período]],4,FALSE)),FALSE,IF(VLOOKUP(tblHorasJul[Evento 
(2º Período)],tblEvento[[Evento]:[Libera o Período]],4,FALSE)="Não",TRUE,FALSE)),
-IF(VLOOKUP(tblHorasJul[Dia],tblDiaUtil[[Abreviatura]:[2º Período]],4,FALSE)&lt;&gt;"",VLOOKUP(tblHorasJul[Dia],tblDiaUtil[[Abreviatura]:[2º Período]],4,FALSE),JORNADA_PERIODO_2),0))))</f>
        <v>0</v>
      </c>
      <c r="O23" s="14">
        <f>IF(tblHorasJul[Horas Trabalhadas Além Jornada]&gt;0,
        IF(ISNUMBER(tblHorasJul[Jornada Diária]),
              IF(HOUR(tblHorasJul[Horas Trabalhadas Além Jornada])&gt;=VLOOKUP(LIMITE,tblLimiteHora[],Tabelas!$I$1,FALSE),
                    VLOOKUP(LIMITE,tblLimiteHora[],Tabelas!$J$1,FALSE),
                    tblHorasJul[Horas Trabalhadas Além Jornada]),
              tblHorasJul[Horas Trabalhadas Além Jornada]),
        tblHorasJul[Horas Trabalhadas Além Jornada])+O22</f>
        <v>0</v>
      </c>
      <c r="P23" s="14" t="str">
        <f>IF(tblHorasJul[Horas Trabalhadas Além Jornada]&lt;0,IF(OR(tblHorasJul[Evento 
(1º Período)]="",tblHorasJul[Evento 
(2º Período)]=""),tblHorasJul[Horas Trabalhadas Além Jornada],""),"")</f>
        <v/>
      </c>
      <c r="Q23" s="14" t="str">
        <f>IF(tblHorasJul[Jornada Diária]&lt;&gt;"",IF((N(tblHorasJul[Jornada Diária])-ABS(N(tblHorasJul[Horas Trabalhadas Além Jornada])))=0,1,""),"")</f>
        <v/>
      </c>
      <c r="R23" s="14" t="str">
        <f>IF(tblHorasJul[Horas Trabalhadas Além Jornada]&gt;0,
IF(AND(VLOOKUP(TEXT(tblHorasJul[Data],"dddd"),tblDiaUtil[],3,FALSE)="Sim",IF(tblHorasJul[Evento 
(1º Período)]&lt;&gt;"",IF(VLOOKUP(tblHorasJul[Evento 
(1º Período)],tblEvento[],Tabelas!$E$1,FALSE)="Sim",FALSE,TRUE),TRUE),IF(tblHorasJul[Evento 
(2º Período)]&lt;&gt;"",IF(VLOOKUP(tblHorasJul[Evento 
(2º Período)],tblEvento[],Tabelas!$E$1,FALSE)="Sim",FALSE,TRUE),TRUE)),
tblHorasJul[Horas Trabalhadas Além Jornada],""),"")</f>
        <v/>
      </c>
      <c r="S23" s="14" t="str">
        <f>IF(tblHorasJul[Horas Trabalhadas Além Jornada]&gt;0,
IF(OR(VLOOKUP(TEXT(tblHorasJul[Data],"dddd"),tblDiaUtil[],3,FALSE)="Não",IF(tblHorasJul[Evento 
(1º Período)]&lt;&gt;"",IF(VLOOKUP(tblHorasJul[Evento 
(1º Período)],tblEvento[],Tabelas!$E$1,FALSE)="Sim",TRUE,FALSE),FALSE),IF(tblHorasJul[Evento 
(2º Período)]&lt;&gt;"",IF(VLOOKUP(tblHorasJul[Evento 
(2º Período)],tblEvento[],Tabelas!$E$1,FALSE)="Sim",TRUE,FALSE),FALSE)),
tblHorasJul[Horas Trabalhadas Além Jornada],""),"")</f>
        <v/>
      </c>
      <c r="T23" s="15" t="str">
        <f>IF(tblHorasJul[Evento 
(1º Período)]&lt;&gt;""," - " &amp;VLOOKUP(tblHorasJul[Evento 
(1º Período)],tblEvento[],Tabelas!$F$1,FALSE),"")&amp;IF(AND(tblHorasJul[Evento 
(2º Período)]&lt;&gt;"",tblHorasJul[Evento 
(2º Período)]&lt;&gt;tblHorasJul[Evento 
(1º Período)])," - " &amp; VLOOKUP(tblHorasJul[Evento 
(2º Período)],tblEvento[],Tabelas!$F$1,FALSE),"")</f>
        <v/>
      </c>
    </row>
    <row r="24" spans="2:20" x14ac:dyDescent="0.25">
      <c r="B24" s="11" t="str">
        <f t="shared" si="0"/>
        <v/>
      </c>
      <c r="C24" s="12" t="str">
        <f>TEXT(tblHorasJul[Data],"ddd")</f>
        <v/>
      </c>
      <c r="D24" s="25"/>
      <c r="E24" s="1"/>
      <c r="F24" s="1"/>
      <c r="G24" s="1"/>
      <c r="H24" s="1"/>
      <c r="I24" s="53"/>
      <c r="J24" s="4">
        <f>IF($B$6&lt;&gt;"",
IF(AND(tblHorasJul[Evento 
(1º Período)]&lt;&gt;"",IF(ISERROR(VLOOKUP(tblHorasJul[Evento 
(1º Período)],tblEvento[],Tabelas!$D$1,FALSE)),FALSE,VLOOKUP(tblHorasJul[Evento 
(1º Período)],tblEvento[],Tabelas!$D$1,FALSE)="Sim")),
        IF(JORNADA_PERIODO_1&lt;&gt;"",
IF(VLOOKUP(tblHorasJul[Dia],tblDiaUtil[[Abreviatura]:[1º Período]],3,FALSE)&gt;0,VLOOKUP(tblHorasJul[Dia],tblDiaUtil[[Abreviatura]:[1º Período]],3,FALSE),JORNADA_PERIODO_1),
IF(VLOOKUP(tblHorasJul[Dia],tblDiaUtil[[Abreviatura]:[1º Período]],3,FALSE)&gt;0,VLOOKUP(tblHorasJul[Dia],tblDiaUtil[[Abreviatura]:[1º Período]],3,FALSE),JORNADA/2)),
        IF(AND(ISNUMBER(tblHorasJul[Saída - 1 (Almoço)]),ISNUMBER(tblHorasJul[Entrada - 1])),
              IF(OR(AND(tblHorasJul[Evento 
(1º Período)]&lt;&gt;"",IF(ISERROR(VLOOKUP(tblHorasJul[Evento 
(1º Período)],tblEvento[],Tabelas!$E$1,FALSE)),FALSE,VLOOKUP(tblHorasJul[Evento 
(1º Período)],tblEvento[],Tabelas!$E$1,FALSE)="Sim")),IF(VLOOKUP(TEXT(tblHorasJul[Data],"dddd"),tblDiaUtil[],2,FALSE)="Não",TRUE,FALSE)),
                   tblHorasJul[Saída - 1 (Almoço)]-tblHorasJul[Entrada - 1],
                   IF(OR(HOUR(tblHorasJul[Saída - 1 (Almoço)]-tblHorasJul[Entrada - 1])&gt;0,ROUND(tblHorasJul[Saída - 1 (Almoço)]-tblHorasJul[Entrada - 1],6)&gt;ROUND(CARENCIA,6)),
                          tblHorasJul[Saída - 1 (Almoço)]-tblHorasJul[Entrada - 1],
                          0)),
                    0)),0)</f>
        <v>0</v>
      </c>
      <c r="K24" s="4">
        <f>IF($B$6&lt;&gt;"",
IF(AND(tblHorasJul[Evento 
(2º Período)]&lt;&gt;"",IF(ISERROR(VLOOKUP(tblHorasJul[Evento 
(2º Período)],tblEvento[],Tabelas!$D$1,FALSE)),FALSE,VLOOKUP(tblHorasJul[Evento 
(2º Período)],tblEvento[],Tabelas!$D$1,FALSE)="Sim")),
        IF(JORNADA_PERIODO_2&lt;&gt;"",
IF(VLOOKUP(tblHorasJul[Dia],tblDiaUtil[[Abreviatura]:[2º Período]],4,FALSE)&gt;0,VLOOKUP(tblHorasJul[Dia],tblDiaUtil[[Abreviatura]:[2º Período]],4,FALSE),JORNADA_PERIODO_2),
IF(VLOOKUP(tblHorasJul[Dia],tblDiaUtil[[Abreviatura]:[2º Período]],4,FALSE)&gt;0,VLOOKUP(tblHorasJul[Dia],tblDiaUtil[[Abreviatura]:[2º Período]],4,FALSE),JORNADA/2)),
        IF(AND(ISNUMBER(tblHorasJul[Saída - 2]),ISNUMBER(tblHorasJul[Entrada - 2 (Almoço)])),
              IF(OR(AND(tblHorasJul[Evento 
(2º Período)]&lt;&gt;"",IF(ISERROR(VLOOKUP(tblHorasJul[Evento 
(2º Período)],tblEvento[],Tabelas!$E$1,FALSE)),FALSE,VLOOKUP(tblHorasJul[Evento 
(2º Período)],tblEvento[],Tabelas!$E$1,FALSE)="Sim")),IF(VLOOKUP(TEXT(tblHorasJul[Data],"dddd"),tblDiaUtil[],2,FALSE)="Não",TRUE,FALSE)),
                   tblHorasJul[Saída - 2]-tblHorasJul[Entrada - 2 (Almoço)],
                   IF(OR(HOUR(tblHorasJul[Saída - 2]-tblHorasJul[Entrada - 2 (Almoço)])&gt;0,MINUTE(tblHorasJul[Saída - 2]-tblHorasJul[Entrada - 2 (Almoço)])&gt;CARENCIA),
                         tblHorasJul[Saída - 2]-tblHorasJul[Entrada - 2 (Almoço)],
                         0)),
       0)),0)</f>
        <v>0</v>
      </c>
      <c r="L24" s="4">
        <f>tblHorasJul[Horas Trabalhadas (1º Período)]+tblHorasJul[Horas Trabalhadas (2º Período)]</f>
        <v>0</v>
      </c>
      <c r="M24" s="4" t="str">
        <f>IF(tblHorasJul[Data]&lt;&gt;"",
        IF(
AND(VLOOKUP(TEXT(tblHorasJul[Data],"dddd"),tblDiaUtil[],3,FALSE)="Sim",IF(tblHorasJul[Evento 
(1º Período)]&lt;&gt;"",IF(VLOOKUP(tblHorasJul[Evento 
(1º Período)],tblEvento[],Tabelas!$E$1,FALSE)="Sim",FALSE,TRUE),TRUE),IF(tblHorasJul[Evento 
(2º Período)]&lt;&gt;"",IF(VLOOKUP(tblHorasJul[Evento 
(2º Período)],tblEvento[],Tabelas!$E$1,FALSE)="Sim",FALSE,TRUE),TRUE)),
              IF(VLOOKUP(tblHorasJul[Dia],tblDiaUtil[[Abreviatura]:[1º Período]],3,FALSE)&gt;0,VLOOKUP(tblHorasJul[Dia],tblDiaUtil[[Abreviatura]:[1º Período]],3,FALSE),JORNADA),
              ""),
         "")</f>
        <v/>
      </c>
      <c r="N24" s="14">
        <f>IF(OR(tblHorasJul[Horas Trabalhadas (1º Período)]&lt;&gt;0,tblHorasJul[Horas Trabalhadas (2º Período)]&lt;&gt;0),
        IF(ISNUMBER(tblHorasJul[Jornada Diária]),
              IF(tblHorasJul[Jornada Diária]&gt;(tblHorasJul[Horas Trabalhadas (2º Período)]+tblHorasJul[Horas Trabalhadas (1º Período)]),
                     IF(ROUND((tblHorasJul[Jornada Diária]-(tblHorasJul[Horas Trabalhadas (2º Período)]+tblHorasJul[Horas Trabalhadas (1º Período)])),6)&gt;ROUND(CARENCIA,6),
                           -tblHorasJul[Jornada Diária]+(tblHorasJul[Horas Trabalhadas (2º Período)]+tblHorasJul[Horas Trabalhadas (1º Período)]),
                           0),
                      IF(ROUND((tblHorasJul[Jornada Diária]-(tblHorasJul[Horas Trabalhadas (2º Período)]+tblHorasJul[Horas Trabalhadas (1º Período)])),6)&lt;ROUND(-CARENCIA,6),
                           -tblHorasJul[Jornada Diária]+(tblHorasJul[Horas Trabalhadas (2º Período)]+tblHorasJul[Horas Trabalhadas (1º Período)]),
                           0)),
              tblHorasJul[Horas Trabalhadas (2º Período)]+tblHorasJul[Horas Trabalhadas (1º Período)]),
         IF(AND(IF(ISERROR(VLOOKUP(tblHorasJul[Evento 
(1º Período)],tblEvento[[Evento]:[Libera o Período]],4,FALSE)),FALSE,IF(VLOOKUP(tblHorasJul[Evento 
(1º Período)],tblEvento[[Evento]:[Libera o Período]],4,FALSE)="Não",TRUE,FALSE)),IF(ISERROR(VLOOKUP(tblHorasJul[Evento 
(2º Período)],tblEvento[[Evento]:[Libera o Período]],4,FALSE)),FALSE,IF(VLOOKUP(tblHorasJul[Evento 
(2º Período)],tblEvento[[Evento]:[Libera o Período]],4,FALSE)="Não",TRUE,FALSE))),
-IF(VLOOKUP(tblHorasJul[Dia],tblDiaUtil[[Abreviatura]:[Total Jornada]],5,FALSE)&lt;&gt;"",VLOOKUP(tblHorasJul[Dia],tblDiaUtil[[Abreviatura]:[Total Jornada]],5,FALSE),JORNADA),
IF(IF(ISERROR(VLOOKUP(tblHorasJul[Evento 
(1º Período)],tblEvento[[Evento]:[Libera o Período]],4,FALSE)),FALSE,
IF(VLOOKUP(tblHorasJul[Evento 
(1º Período)],tblEvento[[Evento]:[Libera o Período]],4,FALSE)="Não",TRUE,FALSE)
),
-IF(VLOOKUP(tblHorasJul[Dia],tblDiaUtil[[Abreviatura]:[1º Período]],3,FALSE)&lt;&gt;"",VLOOKUP(tblHorasJul[Dia],tblDiaUtil[[Abreviatura]:[1º Período]],3,FALSE),JORNADA_PERIODO_1),
IF(IF(ISERROR(VLOOKUP(tblHorasJul[Evento 
(2º Período)],tblEvento[[Evento]:[Libera o Período]],4,FALSE)),FALSE,IF(VLOOKUP(tblHorasJul[Evento 
(2º Período)],tblEvento[[Evento]:[Libera o Período]],4,FALSE)="Não",TRUE,FALSE)),
-IF(VLOOKUP(tblHorasJul[Dia],tblDiaUtil[[Abreviatura]:[2º Período]],4,FALSE)&lt;&gt;"",VLOOKUP(tblHorasJul[Dia],tblDiaUtil[[Abreviatura]:[2º Período]],4,FALSE),JORNADA_PERIODO_2),0))))</f>
        <v>0</v>
      </c>
      <c r="O24" s="14">
        <f>IF(tblHorasJul[Horas Trabalhadas Além Jornada]&gt;0,
        IF(ISNUMBER(tblHorasJul[Jornada Diária]),
              IF(HOUR(tblHorasJul[Horas Trabalhadas Além Jornada])&gt;=VLOOKUP(LIMITE,tblLimiteHora[],Tabelas!$I$1,FALSE),
                    VLOOKUP(LIMITE,tblLimiteHora[],Tabelas!$J$1,FALSE),
                    tblHorasJul[Horas Trabalhadas Além Jornada]),
              tblHorasJul[Horas Trabalhadas Além Jornada]),
        tblHorasJul[Horas Trabalhadas Além Jornada])+O23</f>
        <v>0</v>
      </c>
      <c r="P24" s="14" t="str">
        <f>IF(tblHorasJul[Horas Trabalhadas Além Jornada]&lt;0,IF(OR(tblHorasJul[Evento 
(1º Período)]="",tblHorasJul[Evento 
(2º Período)]=""),tblHorasJul[Horas Trabalhadas Além Jornada],""),"")</f>
        <v/>
      </c>
      <c r="Q24" s="14" t="str">
        <f>IF(tblHorasJul[Jornada Diária]&lt;&gt;"",IF((N(tblHorasJul[Jornada Diária])-ABS(N(tblHorasJul[Horas Trabalhadas Além Jornada])))=0,1,""),"")</f>
        <v/>
      </c>
      <c r="R24" s="14" t="str">
        <f>IF(tblHorasJul[Horas Trabalhadas Além Jornada]&gt;0,
IF(AND(VLOOKUP(TEXT(tblHorasJul[Data],"dddd"),tblDiaUtil[],3,FALSE)="Sim",IF(tblHorasJul[Evento 
(1º Período)]&lt;&gt;"",IF(VLOOKUP(tblHorasJul[Evento 
(1º Período)],tblEvento[],Tabelas!$E$1,FALSE)="Sim",FALSE,TRUE),TRUE),IF(tblHorasJul[Evento 
(2º Período)]&lt;&gt;"",IF(VLOOKUP(tblHorasJul[Evento 
(2º Período)],tblEvento[],Tabelas!$E$1,FALSE)="Sim",FALSE,TRUE),TRUE)),
tblHorasJul[Horas Trabalhadas Além Jornada],""),"")</f>
        <v/>
      </c>
      <c r="S24" s="14" t="str">
        <f>IF(tblHorasJul[Horas Trabalhadas Além Jornada]&gt;0,
IF(OR(VLOOKUP(TEXT(tblHorasJul[Data],"dddd"),tblDiaUtil[],3,FALSE)="Não",IF(tblHorasJul[Evento 
(1º Período)]&lt;&gt;"",IF(VLOOKUP(tblHorasJul[Evento 
(1º Período)],tblEvento[],Tabelas!$E$1,FALSE)="Sim",TRUE,FALSE),FALSE),IF(tblHorasJul[Evento 
(2º Período)]&lt;&gt;"",IF(VLOOKUP(tblHorasJul[Evento 
(2º Período)],tblEvento[],Tabelas!$E$1,FALSE)="Sim",TRUE,FALSE),FALSE)),
tblHorasJul[Horas Trabalhadas Além Jornada],""),"")</f>
        <v/>
      </c>
      <c r="T24" s="15" t="str">
        <f>IF(tblHorasJul[Evento 
(1º Período)]&lt;&gt;""," - " &amp;VLOOKUP(tblHorasJul[Evento 
(1º Período)],tblEvento[],Tabelas!$F$1,FALSE),"")&amp;IF(AND(tblHorasJul[Evento 
(2º Período)]&lt;&gt;"",tblHorasJul[Evento 
(2º Período)]&lt;&gt;tblHorasJul[Evento 
(1º Período)])," - " &amp; VLOOKUP(tblHorasJul[Evento 
(2º Período)],tblEvento[],Tabelas!$F$1,FALSE),"")</f>
        <v/>
      </c>
    </row>
    <row r="25" spans="2:20" x14ac:dyDescent="0.25">
      <c r="B25" s="11" t="str">
        <f t="shared" si="0"/>
        <v/>
      </c>
      <c r="C25" s="12" t="str">
        <f>TEXT(tblHorasJul[Data],"ddd")</f>
        <v/>
      </c>
      <c r="D25" s="25"/>
      <c r="E25" s="1"/>
      <c r="F25" s="1"/>
      <c r="G25" s="1"/>
      <c r="H25" s="1"/>
      <c r="I25" s="53"/>
      <c r="J25" s="4">
        <f>IF($B$6&lt;&gt;"",
IF(AND(tblHorasJul[Evento 
(1º Período)]&lt;&gt;"",IF(ISERROR(VLOOKUP(tblHorasJul[Evento 
(1º Período)],tblEvento[],Tabelas!$D$1,FALSE)),FALSE,VLOOKUP(tblHorasJul[Evento 
(1º Período)],tblEvento[],Tabelas!$D$1,FALSE)="Sim")),
        IF(JORNADA_PERIODO_1&lt;&gt;"",
IF(VLOOKUP(tblHorasJul[Dia],tblDiaUtil[[Abreviatura]:[1º Período]],3,FALSE)&gt;0,VLOOKUP(tblHorasJul[Dia],tblDiaUtil[[Abreviatura]:[1º Período]],3,FALSE),JORNADA_PERIODO_1),
IF(VLOOKUP(tblHorasJul[Dia],tblDiaUtil[[Abreviatura]:[1º Período]],3,FALSE)&gt;0,VLOOKUP(tblHorasJul[Dia],tblDiaUtil[[Abreviatura]:[1º Período]],3,FALSE),JORNADA/2)),
        IF(AND(ISNUMBER(tblHorasJul[Saída - 1 (Almoço)]),ISNUMBER(tblHorasJul[Entrada - 1])),
              IF(OR(AND(tblHorasJul[Evento 
(1º Período)]&lt;&gt;"",IF(ISERROR(VLOOKUP(tblHorasJul[Evento 
(1º Período)],tblEvento[],Tabelas!$E$1,FALSE)),FALSE,VLOOKUP(tblHorasJul[Evento 
(1º Período)],tblEvento[],Tabelas!$E$1,FALSE)="Sim")),IF(VLOOKUP(TEXT(tblHorasJul[Data],"dddd"),tblDiaUtil[],2,FALSE)="Não",TRUE,FALSE)),
                   tblHorasJul[Saída - 1 (Almoço)]-tblHorasJul[Entrada - 1],
                   IF(OR(HOUR(tblHorasJul[Saída - 1 (Almoço)]-tblHorasJul[Entrada - 1])&gt;0,ROUND(tblHorasJul[Saída - 1 (Almoço)]-tblHorasJul[Entrada - 1],6)&gt;ROUND(CARENCIA,6)),
                          tblHorasJul[Saída - 1 (Almoço)]-tblHorasJul[Entrada - 1],
                          0)),
                    0)),0)</f>
        <v>0</v>
      </c>
      <c r="K25" s="4">
        <f>IF($B$6&lt;&gt;"",
IF(AND(tblHorasJul[Evento 
(2º Período)]&lt;&gt;"",IF(ISERROR(VLOOKUP(tblHorasJul[Evento 
(2º Período)],tblEvento[],Tabelas!$D$1,FALSE)),FALSE,VLOOKUP(tblHorasJul[Evento 
(2º Período)],tblEvento[],Tabelas!$D$1,FALSE)="Sim")),
        IF(JORNADA_PERIODO_2&lt;&gt;"",
IF(VLOOKUP(tblHorasJul[Dia],tblDiaUtil[[Abreviatura]:[2º Período]],4,FALSE)&gt;0,VLOOKUP(tblHorasJul[Dia],tblDiaUtil[[Abreviatura]:[2º Período]],4,FALSE),JORNADA_PERIODO_2),
IF(VLOOKUP(tblHorasJul[Dia],tblDiaUtil[[Abreviatura]:[2º Período]],4,FALSE)&gt;0,VLOOKUP(tblHorasJul[Dia],tblDiaUtil[[Abreviatura]:[2º Período]],4,FALSE),JORNADA/2)),
        IF(AND(ISNUMBER(tblHorasJul[Saída - 2]),ISNUMBER(tblHorasJul[Entrada - 2 (Almoço)])),
              IF(OR(AND(tblHorasJul[Evento 
(2º Período)]&lt;&gt;"",IF(ISERROR(VLOOKUP(tblHorasJul[Evento 
(2º Período)],tblEvento[],Tabelas!$E$1,FALSE)),FALSE,VLOOKUP(tblHorasJul[Evento 
(2º Período)],tblEvento[],Tabelas!$E$1,FALSE)="Sim")),IF(VLOOKUP(TEXT(tblHorasJul[Data],"dddd"),tblDiaUtil[],2,FALSE)="Não",TRUE,FALSE)),
                   tblHorasJul[Saída - 2]-tblHorasJul[Entrada - 2 (Almoço)],
                   IF(OR(HOUR(tblHorasJul[Saída - 2]-tblHorasJul[Entrada - 2 (Almoço)])&gt;0,MINUTE(tblHorasJul[Saída - 2]-tblHorasJul[Entrada - 2 (Almoço)])&gt;CARENCIA),
                         tblHorasJul[Saída - 2]-tblHorasJul[Entrada - 2 (Almoço)],
                         0)),
       0)),0)</f>
        <v>0</v>
      </c>
      <c r="L25" s="4">
        <f>tblHorasJul[Horas Trabalhadas (1º Período)]+tblHorasJul[Horas Trabalhadas (2º Período)]</f>
        <v>0</v>
      </c>
      <c r="M25" s="4" t="str">
        <f>IF(tblHorasJul[Data]&lt;&gt;"",
        IF(
AND(VLOOKUP(TEXT(tblHorasJul[Data],"dddd"),tblDiaUtil[],3,FALSE)="Sim",IF(tblHorasJul[Evento 
(1º Período)]&lt;&gt;"",IF(VLOOKUP(tblHorasJul[Evento 
(1º Período)],tblEvento[],Tabelas!$E$1,FALSE)="Sim",FALSE,TRUE),TRUE),IF(tblHorasJul[Evento 
(2º Período)]&lt;&gt;"",IF(VLOOKUP(tblHorasJul[Evento 
(2º Período)],tblEvento[],Tabelas!$E$1,FALSE)="Sim",FALSE,TRUE),TRUE)),
              IF(VLOOKUP(tblHorasJul[Dia],tblDiaUtil[[Abreviatura]:[1º Período]],3,FALSE)&gt;0,VLOOKUP(tblHorasJul[Dia],tblDiaUtil[[Abreviatura]:[1º Período]],3,FALSE),JORNADA),
              ""),
         "")</f>
        <v/>
      </c>
      <c r="N25" s="14">
        <f>IF(OR(tblHorasJul[Horas Trabalhadas (1º Período)]&lt;&gt;0,tblHorasJul[Horas Trabalhadas (2º Período)]&lt;&gt;0),
        IF(ISNUMBER(tblHorasJul[Jornada Diária]),
              IF(tblHorasJul[Jornada Diária]&gt;(tblHorasJul[Horas Trabalhadas (2º Período)]+tblHorasJul[Horas Trabalhadas (1º Período)]),
                     IF(ROUND((tblHorasJul[Jornada Diária]-(tblHorasJul[Horas Trabalhadas (2º Período)]+tblHorasJul[Horas Trabalhadas (1º Período)])),6)&gt;ROUND(CARENCIA,6),
                           -tblHorasJul[Jornada Diária]+(tblHorasJul[Horas Trabalhadas (2º Período)]+tblHorasJul[Horas Trabalhadas (1º Período)]),
                           0),
                      IF(ROUND((tblHorasJul[Jornada Diária]-(tblHorasJul[Horas Trabalhadas (2º Período)]+tblHorasJul[Horas Trabalhadas (1º Período)])),6)&lt;ROUND(-CARENCIA,6),
                           -tblHorasJul[Jornada Diária]+(tblHorasJul[Horas Trabalhadas (2º Período)]+tblHorasJul[Horas Trabalhadas (1º Período)]),
                           0)),
              tblHorasJul[Horas Trabalhadas (2º Período)]+tblHorasJul[Horas Trabalhadas (1º Período)]),
         IF(AND(IF(ISERROR(VLOOKUP(tblHorasJul[Evento 
(1º Período)],tblEvento[[Evento]:[Libera o Período]],4,FALSE)),FALSE,IF(VLOOKUP(tblHorasJul[Evento 
(1º Período)],tblEvento[[Evento]:[Libera o Período]],4,FALSE)="Não",TRUE,FALSE)),IF(ISERROR(VLOOKUP(tblHorasJul[Evento 
(2º Período)],tblEvento[[Evento]:[Libera o Período]],4,FALSE)),FALSE,IF(VLOOKUP(tblHorasJul[Evento 
(2º Período)],tblEvento[[Evento]:[Libera o Período]],4,FALSE)="Não",TRUE,FALSE))),
-IF(VLOOKUP(tblHorasJul[Dia],tblDiaUtil[[Abreviatura]:[Total Jornada]],5,FALSE)&lt;&gt;"",VLOOKUP(tblHorasJul[Dia],tblDiaUtil[[Abreviatura]:[Total Jornada]],5,FALSE),JORNADA),
IF(IF(ISERROR(VLOOKUP(tblHorasJul[Evento 
(1º Período)],tblEvento[[Evento]:[Libera o Período]],4,FALSE)),FALSE,
IF(VLOOKUP(tblHorasJul[Evento 
(1º Período)],tblEvento[[Evento]:[Libera o Período]],4,FALSE)="Não",TRUE,FALSE)
),
-IF(VLOOKUP(tblHorasJul[Dia],tblDiaUtil[[Abreviatura]:[1º Período]],3,FALSE)&lt;&gt;"",VLOOKUP(tblHorasJul[Dia],tblDiaUtil[[Abreviatura]:[1º Período]],3,FALSE),JORNADA_PERIODO_1),
IF(IF(ISERROR(VLOOKUP(tblHorasJul[Evento 
(2º Período)],tblEvento[[Evento]:[Libera o Período]],4,FALSE)),FALSE,IF(VLOOKUP(tblHorasJul[Evento 
(2º Período)],tblEvento[[Evento]:[Libera o Período]],4,FALSE)="Não",TRUE,FALSE)),
-IF(VLOOKUP(tblHorasJul[Dia],tblDiaUtil[[Abreviatura]:[2º Período]],4,FALSE)&lt;&gt;"",VLOOKUP(tblHorasJul[Dia],tblDiaUtil[[Abreviatura]:[2º Período]],4,FALSE),JORNADA_PERIODO_2),0))))</f>
        <v>0</v>
      </c>
      <c r="O25" s="14">
        <f>IF(tblHorasJul[Horas Trabalhadas Além Jornada]&gt;0,
        IF(ISNUMBER(tblHorasJul[Jornada Diária]),
              IF(HOUR(tblHorasJul[Horas Trabalhadas Além Jornada])&gt;=VLOOKUP(LIMITE,tblLimiteHora[],Tabelas!$I$1,FALSE),
                    VLOOKUP(LIMITE,tblLimiteHora[],Tabelas!$J$1,FALSE),
                    tblHorasJul[Horas Trabalhadas Além Jornada]),
              tblHorasJul[Horas Trabalhadas Além Jornada]),
        tblHorasJul[Horas Trabalhadas Além Jornada])+O24</f>
        <v>0</v>
      </c>
      <c r="P25" s="14" t="str">
        <f>IF(tblHorasJul[Horas Trabalhadas Além Jornada]&lt;0,IF(OR(tblHorasJul[Evento 
(1º Período)]="",tblHorasJul[Evento 
(2º Período)]=""),tblHorasJul[Horas Trabalhadas Além Jornada],""),"")</f>
        <v/>
      </c>
      <c r="Q25" s="14" t="str">
        <f>IF(tblHorasJul[Jornada Diária]&lt;&gt;"",IF((N(tblHorasJul[Jornada Diária])-ABS(N(tblHorasJul[Horas Trabalhadas Além Jornada])))=0,1,""),"")</f>
        <v/>
      </c>
      <c r="R25" s="14" t="str">
        <f>IF(tblHorasJul[Horas Trabalhadas Além Jornada]&gt;0,
IF(AND(VLOOKUP(TEXT(tblHorasJul[Data],"dddd"),tblDiaUtil[],3,FALSE)="Sim",IF(tblHorasJul[Evento 
(1º Período)]&lt;&gt;"",IF(VLOOKUP(tblHorasJul[Evento 
(1º Período)],tblEvento[],Tabelas!$E$1,FALSE)="Sim",FALSE,TRUE),TRUE),IF(tblHorasJul[Evento 
(2º Período)]&lt;&gt;"",IF(VLOOKUP(tblHorasJul[Evento 
(2º Período)],tblEvento[],Tabelas!$E$1,FALSE)="Sim",FALSE,TRUE),TRUE)),
tblHorasJul[Horas Trabalhadas Além Jornada],""),"")</f>
        <v/>
      </c>
      <c r="S25" s="14" t="str">
        <f>IF(tblHorasJul[Horas Trabalhadas Além Jornada]&gt;0,
IF(OR(VLOOKUP(TEXT(tblHorasJul[Data],"dddd"),tblDiaUtil[],3,FALSE)="Não",IF(tblHorasJul[Evento 
(1º Período)]&lt;&gt;"",IF(VLOOKUP(tblHorasJul[Evento 
(1º Período)],tblEvento[],Tabelas!$E$1,FALSE)="Sim",TRUE,FALSE),FALSE),IF(tblHorasJul[Evento 
(2º Período)]&lt;&gt;"",IF(VLOOKUP(tblHorasJul[Evento 
(2º Período)],tblEvento[],Tabelas!$E$1,FALSE)="Sim",TRUE,FALSE),FALSE)),
tblHorasJul[Horas Trabalhadas Além Jornada],""),"")</f>
        <v/>
      </c>
      <c r="T25" s="15" t="str">
        <f>IF(tblHorasJul[Evento 
(1º Período)]&lt;&gt;""," - " &amp;VLOOKUP(tblHorasJul[Evento 
(1º Período)],tblEvento[],Tabelas!$F$1,FALSE),"")&amp;IF(AND(tblHorasJul[Evento 
(2º Período)]&lt;&gt;"",tblHorasJul[Evento 
(2º Período)]&lt;&gt;tblHorasJul[Evento 
(1º Período)])," - " &amp; VLOOKUP(tblHorasJul[Evento 
(2º Período)],tblEvento[],Tabelas!$F$1,FALSE),"")</f>
        <v/>
      </c>
    </row>
    <row r="26" spans="2:20" x14ac:dyDescent="0.25">
      <c r="B26" s="11" t="str">
        <f t="shared" si="0"/>
        <v/>
      </c>
      <c r="C26" s="12" t="str">
        <f>TEXT(tblHorasJul[Data],"ddd")</f>
        <v/>
      </c>
      <c r="D26" s="25"/>
      <c r="E26" s="1"/>
      <c r="F26" s="1"/>
      <c r="G26" s="1"/>
      <c r="H26" s="1"/>
      <c r="I26" s="53"/>
      <c r="J26" s="4">
        <f>IF($B$6&lt;&gt;"",
IF(AND(tblHorasJul[Evento 
(1º Período)]&lt;&gt;"",IF(ISERROR(VLOOKUP(tblHorasJul[Evento 
(1º Período)],tblEvento[],Tabelas!$D$1,FALSE)),FALSE,VLOOKUP(tblHorasJul[Evento 
(1º Período)],tblEvento[],Tabelas!$D$1,FALSE)="Sim")),
        IF(JORNADA_PERIODO_1&lt;&gt;"",
IF(VLOOKUP(tblHorasJul[Dia],tblDiaUtil[[Abreviatura]:[1º Período]],3,FALSE)&gt;0,VLOOKUP(tblHorasJul[Dia],tblDiaUtil[[Abreviatura]:[1º Período]],3,FALSE),JORNADA_PERIODO_1),
IF(VLOOKUP(tblHorasJul[Dia],tblDiaUtil[[Abreviatura]:[1º Período]],3,FALSE)&gt;0,VLOOKUP(tblHorasJul[Dia],tblDiaUtil[[Abreviatura]:[1º Período]],3,FALSE),JORNADA/2)),
        IF(AND(ISNUMBER(tblHorasJul[Saída - 1 (Almoço)]),ISNUMBER(tblHorasJul[Entrada - 1])),
              IF(OR(AND(tblHorasJul[Evento 
(1º Período)]&lt;&gt;"",IF(ISERROR(VLOOKUP(tblHorasJul[Evento 
(1º Período)],tblEvento[],Tabelas!$E$1,FALSE)),FALSE,VLOOKUP(tblHorasJul[Evento 
(1º Período)],tblEvento[],Tabelas!$E$1,FALSE)="Sim")),IF(VLOOKUP(TEXT(tblHorasJul[Data],"dddd"),tblDiaUtil[],2,FALSE)="Não",TRUE,FALSE)),
                   tblHorasJul[Saída - 1 (Almoço)]-tblHorasJul[Entrada - 1],
                   IF(OR(HOUR(tblHorasJul[Saída - 1 (Almoço)]-tblHorasJul[Entrada - 1])&gt;0,ROUND(tblHorasJul[Saída - 1 (Almoço)]-tblHorasJul[Entrada - 1],6)&gt;ROUND(CARENCIA,6)),
                          tblHorasJul[Saída - 1 (Almoço)]-tblHorasJul[Entrada - 1],
                          0)),
                    0)),0)</f>
        <v>0</v>
      </c>
      <c r="K26" s="4">
        <f>IF($B$6&lt;&gt;"",
IF(AND(tblHorasJul[Evento 
(2º Período)]&lt;&gt;"",IF(ISERROR(VLOOKUP(tblHorasJul[Evento 
(2º Período)],tblEvento[],Tabelas!$D$1,FALSE)),FALSE,VLOOKUP(tblHorasJul[Evento 
(2º Período)],tblEvento[],Tabelas!$D$1,FALSE)="Sim")),
        IF(JORNADA_PERIODO_2&lt;&gt;"",
IF(VLOOKUP(tblHorasJul[Dia],tblDiaUtil[[Abreviatura]:[2º Período]],4,FALSE)&gt;0,VLOOKUP(tblHorasJul[Dia],tblDiaUtil[[Abreviatura]:[2º Período]],4,FALSE),JORNADA_PERIODO_2),
IF(VLOOKUP(tblHorasJul[Dia],tblDiaUtil[[Abreviatura]:[2º Período]],4,FALSE)&gt;0,VLOOKUP(tblHorasJul[Dia],tblDiaUtil[[Abreviatura]:[2º Período]],4,FALSE),JORNADA/2)),
        IF(AND(ISNUMBER(tblHorasJul[Saída - 2]),ISNUMBER(tblHorasJul[Entrada - 2 (Almoço)])),
              IF(OR(AND(tblHorasJul[Evento 
(2º Período)]&lt;&gt;"",IF(ISERROR(VLOOKUP(tblHorasJul[Evento 
(2º Período)],tblEvento[],Tabelas!$E$1,FALSE)),FALSE,VLOOKUP(tblHorasJul[Evento 
(2º Período)],tblEvento[],Tabelas!$E$1,FALSE)="Sim")),IF(VLOOKUP(TEXT(tblHorasJul[Data],"dddd"),tblDiaUtil[],2,FALSE)="Não",TRUE,FALSE)),
                   tblHorasJul[Saída - 2]-tblHorasJul[Entrada - 2 (Almoço)],
                   IF(OR(HOUR(tblHorasJul[Saída - 2]-tblHorasJul[Entrada - 2 (Almoço)])&gt;0,MINUTE(tblHorasJul[Saída - 2]-tblHorasJul[Entrada - 2 (Almoço)])&gt;CARENCIA),
                         tblHorasJul[Saída - 2]-tblHorasJul[Entrada - 2 (Almoço)],
                         0)),
       0)),0)</f>
        <v>0</v>
      </c>
      <c r="L26" s="4">
        <f>tblHorasJul[Horas Trabalhadas (1º Período)]+tblHorasJul[Horas Trabalhadas (2º Período)]</f>
        <v>0</v>
      </c>
      <c r="M26" s="4" t="str">
        <f>IF(tblHorasJul[Data]&lt;&gt;"",
        IF(
AND(VLOOKUP(TEXT(tblHorasJul[Data],"dddd"),tblDiaUtil[],3,FALSE)="Sim",IF(tblHorasJul[Evento 
(1º Período)]&lt;&gt;"",IF(VLOOKUP(tblHorasJul[Evento 
(1º Período)],tblEvento[],Tabelas!$E$1,FALSE)="Sim",FALSE,TRUE),TRUE),IF(tblHorasJul[Evento 
(2º Período)]&lt;&gt;"",IF(VLOOKUP(tblHorasJul[Evento 
(2º Período)],tblEvento[],Tabelas!$E$1,FALSE)="Sim",FALSE,TRUE),TRUE)),
              IF(VLOOKUP(tblHorasJul[Dia],tblDiaUtil[[Abreviatura]:[1º Período]],3,FALSE)&gt;0,VLOOKUP(tblHorasJul[Dia],tblDiaUtil[[Abreviatura]:[1º Período]],3,FALSE),JORNADA),
              ""),
         "")</f>
        <v/>
      </c>
      <c r="N26" s="14">
        <f>IF(OR(tblHorasJul[Horas Trabalhadas (1º Período)]&lt;&gt;0,tblHorasJul[Horas Trabalhadas (2º Período)]&lt;&gt;0),
        IF(ISNUMBER(tblHorasJul[Jornada Diária]),
              IF(tblHorasJul[Jornada Diária]&gt;(tblHorasJul[Horas Trabalhadas (2º Período)]+tblHorasJul[Horas Trabalhadas (1º Período)]),
                     IF(ROUND((tblHorasJul[Jornada Diária]-(tblHorasJul[Horas Trabalhadas (2º Período)]+tblHorasJul[Horas Trabalhadas (1º Período)])),6)&gt;ROUND(CARENCIA,6),
                           -tblHorasJul[Jornada Diária]+(tblHorasJul[Horas Trabalhadas (2º Período)]+tblHorasJul[Horas Trabalhadas (1º Período)]),
                           0),
                      IF(ROUND((tblHorasJul[Jornada Diária]-(tblHorasJul[Horas Trabalhadas (2º Período)]+tblHorasJul[Horas Trabalhadas (1º Período)])),6)&lt;ROUND(-CARENCIA,6),
                           -tblHorasJul[Jornada Diária]+(tblHorasJul[Horas Trabalhadas (2º Período)]+tblHorasJul[Horas Trabalhadas (1º Período)]),
                           0)),
              tblHorasJul[Horas Trabalhadas (2º Período)]+tblHorasJul[Horas Trabalhadas (1º Período)]),
         IF(AND(IF(ISERROR(VLOOKUP(tblHorasJul[Evento 
(1º Período)],tblEvento[[Evento]:[Libera o Período]],4,FALSE)),FALSE,IF(VLOOKUP(tblHorasJul[Evento 
(1º Período)],tblEvento[[Evento]:[Libera o Período]],4,FALSE)="Não",TRUE,FALSE)),IF(ISERROR(VLOOKUP(tblHorasJul[Evento 
(2º Período)],tblEvento[[Evento]:[Libera o Período]],4,FALSE)),FALSE,IF(VLOOKUP(tblHorasJul[Evento 
(2º Período)],tblEvento[[Evento]:[Libera o Período]],4,FALSE)="Não",TRUE,FALSE))),
-IF(VLOOKUP(tblHorasJul[Dia],tblDiaUtil[[Abreviatura]:[Total Jornada]],5,FALSE)&lt;&gt;"",VLOOKUP(tblHorasJul[Dia],tblDiaUtil[[Abreviatura]:[Total Jornada]],5,FALSE),JORNADA),
IF(IF(ISERROR(VLOOKUP(tblHorasJul[Evento 
(1º Período)],tblEvento[[Evento]:[Libera o Período]],4,FALSE)),FALSE,
IF(VLOOKUP(tblHorasJul[Evento 
(1º Período)],tblEvento[[Evento]:[Libera o Período]],4,FALSE)="Não",TRUE,FALSE)
),
-IF(VLOOKUP(tblHorasJul[Dia],tblDiaUtil[[Abreviatura]:[1º Período]],3,FALSE)&lt;&gt;"",VLOOKUP(tblHorasJul[Dia],tblDiaUtil[[Abreviatura]:[1º Período]],3,FALSE),JORNADA_PERIODO_1),
IF(IF(ISERROR(VLOOKUP(tblHorasJul[Evento 
(2º Período)],tblEvento[[Evento]:[Libera o Período]],4,FALSE)),FALSE,IF(VLOOKUP(tblHorasJul[Evento 
(2º Período)],tblEvento[[Evento]:[Libera o Período]],4,FALSE)="Não",TRUE,FALSE)),
-IF(VLOOKUP(tblHorasJul[Dia],tblDiaUtil[[Abreviatura]:[2º Período]],4,FALSE)&lt;&gt;"",VLOOKUP(tblHorasJul[Dia],tblDiaUtil[[Abreviatura]:[2º Período]],4,FALSE),JORNADA_PERIODO_2),0))))</f>
        <v>0</v>
      </c>
      <c r="O26" s="14">
        <f>IF(tblHorasJul[Horas Trabalhadas Além Jornada]&gt;0,
        IF(ISNUMBER(tblHorasJul[Jornada Diária]),
              IF(HOUR(tblHorasJul[Horas Trabalhadas Além Jornada])&gt;=VLOOKUP(LIMITE,tblLimiteHora[],Tabelas!$I$1,FALSE),
                    VLOOKUP(LIMITE,tblLimiteHora[],Tabelas!$J$1,FALSE),
                    tblHorasJul[Horas Trabalhadas Além Jornada]),
              tblHorasJul[Horas Trabalhadas Além Jornada]),
        tblHorasJul[Horas Trabalhadas Além Jornada])+O25</f>
        <v>0</v>
      </c>
      <c r="P26" s="14" t="str">
        <f>IF(tblHorasJul[Horas Trabalhadas Além Jornada]&lt;0,IF(OR(tblHorasJul[Evento 
(1º Período)]="",tblHorasJul[Evento 
(2º Período)]=""),tblHorasJul[Horas Trabalhadas Além Jornada],""),"")</f>
        <v/>
      </c>
      <c r="Q26" s="14" t="str">
        <f>IF(tblHorasJul[Jornada Diária]&lt;&gt;"",IF((N(tblHorasJul[Jornada Diária])-ABS(N(tblHorasJul[Horas Trabalhadas Além Jornada])))=0,1,""),"")</f>
        <v/>
      </c>
      <c r="R26" s="14" t="str">
        <f>IF(tblHorasJul[Horas Trabalhadas Além Jornada]&gt;0,
IF(AND(VLOOKUP(TEXT(tblHorasJul[Data],"dddd"),tblDiaUtil[],3,FALSE)="Sim",IF(tblHorasJul[Evento 
(1º Período)]&lt;&gt;"",IF(VLOOKUP(tblHorasJul[Evento 
(1º Período)],tblEvento[],Tabelas!$E$1,FALSE)="Sim",FALSE,TRUE),TRUE),IF(tblHorasJul[Evento 
(2º Período)]&lt;&gt;"",IF(VLOOKUP(tblHorasJul[Evento 
(2º Período)],tblEvento[],Tabelas!$E$1,FALSE)="Sim",FALSE,TRUE),TRUE)),
tblHorasJul[Horas Trabalhadas Além Jornada],""),"")</f>
        <v/>
      </c>
      <c r="S26" s="14" t="str">
        <f>IF(tblHorasJul[Horas Trabalhadas Além Jornada]&gt;0,
IF(OR(VLOOKUP(TEXT(tblHorasJul[Data],"dddd"),tblDiaUtil[],3,FALSE)="Não",IF(tblHorasJul[Evento 
(1º Período)]&lt;&gt;"",IF(VLOOKUP(tblHorasJul[Evento 
(1º Período)],tblEvento[],Tabelas!$E$1,FALSE)="Sim",TRUE,FALSE),FALSE),IF(tblHorasJul[Evento 
(2º Período)]&lt;&gt;"",IF(VLOOKUP(tblHorasJul[Evento 
(2º Período)],tblEvento[],Tabelas!$E$1,FALSE)="Sim",TRUE,FALSE),FALSE)),
tblHorasJul[Horas Trabalhadas Além Jornada],""),"")</f>
        <v/>
      </c>
      <c r="T26" s="15" t="str">
        <f>IF(tblHorasJul[Evento 
(1º Período)]&lt;&gt;""," - " &amp;VLOOKUP(tblHorasJul[Evento 
(1º Período)],tblEvento[],Tabelas!$F$1,FALSE),"")&amp;IF(AND(tblHorasJul[Evento 
(2º Período)]&lt;&gt;"",tblHorasJul[Evento 
(2º Período)]&lt;&gt;tblHorasJul[Evento 
(1º Período)])," - " &amp; VLOOKUP(tblHorasJul[Evento 
(2º Período)],tblEvento[],Tabelas!$F$1,FALSE),"")</f>
        <v/>
      </c>
    </row>
    <row r="27" spans="2:20" x14ac:dyDescent="0.25">
      <c r="B27" s="11" t="str">
        <f t="shared" si="0"/>
        <v/>
      </c>
      <c r="C27" s="12" t="str">
        <f>TEXT(tblHorasJul[Data],"ddd")</f>
        <v/>
      </c>
      <c r="D27" s="25"/>
      <c r="E27" s="1"/>
      <c r="F27" s="1"/>
      <c r="G27" s="1"/>
      <c r="H27" s="1"/>
      <c r="I27" s="53"/>
      <c r="J27" s="4">
        <f>IF($B$6&lt;&gt;"",
IF(AND(tblHorasJul[Evento 
(1º Período)]&lt;&gt;"",IF(ISERROR(VLOOKUP(tblHorasJul[Evento 
(1º Período)],tblEvento[],Tabelas!$D$1,FALSE)),FALSE,VLOOKUP(tblHorasJul[Evento 
(1º Período)],tblEvento[],Tabelas!$D$1,FALSE)="Sim")),
        IF(JORNADA_PERIODO_1&lt;&gt;"",
IF(VLOOKUP(tblHorasJul[Dia],tblDiaUtil[[Abreviatura]:[1º Período]],3,FALSE)&gt;0,VLOOKUP(tblHorasJul[Dia],tblDiaUtil[[Abreviatura]:[1º Período]],3,FALSE),JORNADA_PERIODO_1),
IF(VLOOKUP(tblHorasJul[Dia],tblDiaUtil[[Abreviatura]:[1º Período]],3,FALSE)&gt;0,VLOOKUP(tblHorasJul[Dia],tblDiaUtil[[Abreviatura]:[1º Período]],3,FALSE),JORNADA/2)),
        IF(AND(ISNUMBER(tblHorasJul[Saída - 1 (Almoço)]),ISNUMBER(tblHorasJul[Entrada - 1])),
              IF(OR(AND(tblHorasJul[Evento 
(1º Período)]&lt;&gt;"",IF(ISERROR(VLOOKUP(tblHorasJul[Evento 
(1º Período)],tblEvento[],Tabelas!$E$1,FALSE)),FALSE,VLOOKUP(tblHorasJul[Evento 
(1º Período)],tblEvento[],Tabelas!$E$1,FALSE)="Sim")),IF(VLOOKUP(TEXT(tblHorasJul[Data],"dddd"),tblDiaUtil[],2,FALSE)="Não",TRUE,FALSE)),
                   tblHorasJul[Saída - 1 (Almoço)]-tblHorasJul[Entrada - 1],
                   IF(OR(HOUR(tblHorasJul[Saída - 1 (Almoço)]-tblHorasJul[Entrada - 1])&gt;0,ROUND(tblHorasJul[Saída - 1 (Almoço)]-tblHorasJul[Entrada - 1],6)&gt;ROUND(CARENCIA,6)),
                          tblHorasJul[Saída - 1 (Almoço)]-tblHorasJul[Entrada - 1],
                          0)),
                    0)),0)</f>
        <v>0</v>
      </c>
      <c r="K27" s="4">
        <f>IF($B$6&lt;&gt;"",
IF(AND(tblHorasJul[Evento 
(2º Período)]&lt;&gt;"",IF(ISERROR(VLOOKUP(tblHorasJul[Evento 
(2º Período)],tblEvento[],Tabelas!$D$1,FALSE)),FALSE,VLOOKUP(tblHorasJul[Evento 
(2º Período)],tblEvento[],Tabelas!$D$1,FALSE)="Sim")),
        IF(JORNADA_PERIODO_2&lt;&gt;"",
IF(VLOOKUP(tblHorasJul[Dia],tblDiaUtil[[Abreviatura]:[2º Período]],4,FALSE)&gt;0,VLOOKUP(tblHorasJul[Dia],tblDiaUtil[[Abreviatura]:[2º Período]],4,FALSE),JORNADA_PERIODO_2),
IF(VLOOKUP(tblHorasJul[Dia],tblDiaUtil[[Abreviatura]:[2º Período]],4,FALSE)&gt;0,VLOOKUP(tblHorasJul[Dia],tblDiaUtil[[Abreviatura]:[2º Período]],4,FALSE),JORNADA/2)),
        IF(AND(ISNUMBER(tblHorasJul[Saída - 2]),ISNUMBER(tblHorasJul[Entrada - 2 (Almoço)])),
              IF(OR(AND(tblHorasJul[Evento 
(2º Período)]&lt;&gt;"",IF(ISERROR(VLOOKUP(tblHorasJul[Evento 
(2º Período)],tblEvento[],Tabelas!$E$1,FALSE)),FALSE,VLOOKUP(tblHorasJul[Evento 
(2º Período)],tblEvento[],Tabelas!$E$1,FALSE)="Sim")),IF(VLOOKUP(TEXT(tblHorasJul[Data],"dddd"),tblDiaUtil[],2,FALSE)="Não",TRUE,FALSE)),
                   tblHorasJul[Saída - 2]-tblHorasJul[Entrada - 2 (Almoço)],
                   IF(OR(HOUR(tblHorasJul[Saída - 2]-tblHorasJul[Entrada - 2 (Almoço)])&gt;0,MINUTE(tblHorasJul[Saída - 2]-tblHorasJul[Entrada - 2 (Almoço)])&gt;CARENCIA),
                         tblHorasJul[Saída - 2]-tblHorasJul[Entrada - 2 (Almoço)],
                         0)),
       0)),0)</f>
        <v>0</v>
      </c>
      <c r="L27" s="4">
        <f>tblHorasJul[Horas Trabalhadas (1º Período)]+tblHorasJul[Horas Trabalhadas (2º Período)]</f>
        <v>0</v>
      </c>
      <c r="M27" s="4" t="str">
        <f>IF(tblHorasJul[Data]&lt;&gt;"",
        IF(
AND(VLOOKUP(TEXT(tblHorasJul[Data],"dddd"),tblDiaUtil[],3,FALSE)="Sim",IF(tblHorasJul[Evento 
(1º Período)]&lt;&gt;"",IF(VLOOKUP(tblHorasJul[Evento 
(1º Período)],tblEvento[],Tabelas!$E$1,FALSE)="Sim",FALSE,TRUE),TRUE),IF(tblHorasJul[Evento 
(2º Período)]&lt;&gt;"",IF(VLOOKUP(tblHorasJul[Evento 
(2º Período)],tblEvento[],Tabelas!$E$1,FALSE)="Sim",FALSE,TRUE),TRUE)),
              IF(VLOOKUP(tblHorasJul[Dia],tblDiaUtil[[Abreviatura]:[1º Período]],3,FALSE)&gt;0,VLOOKUP(tblHorasJul[Dia],tblDiaUtil[[Abreviatura]:[1º Período]],3,FALSE),JORNADA),
              ""),
         "")</f>
        <v/>
      </c>
      <c r="N27" s="14">
        <f>IF(OR(tblHorasJul[Horas Trabalhadas (1º Período)]&lt;&gt;0,tblHorasJul[Horas Trabalhadas (2º Período)]&lt;&gt;0),
        IF(ISNUMBER(tblHorasJul[Jornada Diária]),
              IF(tblHorasJul[Jornada Diária]&gt;(tblHorasJul[Horas Trabalhadas (2º Período)]+tblHorasJul[Horas Trabalhadas (1º Período)]),
                     IF(ROUND((tblHorasJul[Jornada Diária]-(tblHorasJul[Horas Trabalhadas (2º Período)]+tblHorasJul[Horas Trabalhadas (1º Período)])),6)&gt;ROUND(CARENCIA,6),
                           -tblHorasJul[Jornada Diária]+(tblHorasJul[Horas Trabalhadas (2º Período)]+tblHorasJul[Horas Trabalhadas (1º Período)]),
                           0),
                      IF(ROUND((tblHorasJul[Jornada Diária]-(tblHorasJul[Horas Trabalhadas (2º Período)]+tblHorasJul[Horas Trabalhadas (1º Período)])),6)&lt;ROUND(-CARENCIA,6),
                           -tblHorasJul[Jornada Diária]+(tblHorasJul[Horas Trabalhadas (2º Período)]+tblHorasJul[Horas Trabalhadas (1º Período)]),
                           0)),
              tblHorasJul[Horas Trabalhadas (2º Período)]+tblHorasJul[Horas Trabalhadas (1º Período)]),
         IF(AND(IF(ISERROR(VLOOKUP(tblHorasJul[Evento 
(1º Período)],tblEvento[[Evento]:[Libera o Período]],4,FALSE)),FALSE,IF(VLOOKUP(tblHorasJul[Evento 
(1º Período)],tblEvento[[Evento]:[Libera o Período]],4,FALSE)="Não",TRUE,FALSE)),IF(ISERROR(VLOOKUP(tblHorasJul[Evento 
(2º Período)],tblEvento[[Evento]:[Libera o Período]],4,FALSE)),FALSE,IF(VLOOKUP(tblHorasJul[Evento 
(2º Período)],tblEvento[[Evento]:[Libera o Período]],4,FALSE)="Não",TRUE,FALSE))),
-IF(VLOOKUP(tblHorasJul[Dia],tblDiaUtil[[Abreviatura]:[Total Jornada]],5,FALSE)&lt;&gt;"",VLOOKUP(tblHorasJul[Dia],tblDiaUtil[[Abreviatura]:[Total Jornada]],5,FALSE),JORNADA),
IF(IF(ISERROR(VLOOKUP(tblHorasJul[Evento 
(1º Período)],tblEvento[[Evento]:[Libera o Período]],4,FALSE)),FALSE,
IF(VLOOKUP(tblHorasJul[Evento 
(1º Período)],tblEvento[[Evento]:[Libera o Período]],4,FALSE)="Não",TRUE,FALSE)
),
-IF(VLOOKUP(tblHorasJul[Dia],tblDiaUtil[[Abreviatura]:[1º Período]],3,FALSE)&lt;&gt;"",VLOOKUP(tblHorasJul[Dia],tblDiaUtil[[Abreviatura]:[1º Período]],3,FALSE),JORNADA_PERIODO_1),
IF(IF(ISERROR(VLOOKUP(tblHorasJul[Evento 
(2º Período)],tblEvento[[Evento]:[Libera o Período]],4,FALSE)),FALSE,IF(VLOOKUP(tblHorasJul[Evento 
(2º Período)],tblEvento[[Evento]:[Libera o Período]],4,FALSE)="Não",TRUE,FALSE)),
-IF(VLOOKUP(tblHorasJul[Dia],tblDiaUtil[[Abreviatura]:[2º Período]],4,FALSE)&lt;&gt;"",VLOOKUP(tblHorasJul[Dia],tblDiaUtil[[Abreviatura]:[2º Período]],4,FALSE),JORNADA_PERIODO_2),0))))</f>
        <v>0</v>
      </c>
      <c r="O27" s="14">
        <f>IF(tblHorasJul[Horas Trabalhadas Além Jornada]&gt;0,
        IF(ISNUMBER(tblHorasJul[Jornada Diária]),
              IF(HOUR(tblHorasJul[Horas Trabalhadas Além Jornada])&gt;=VLOOKUP(LIMITE,tblLimiteHora[],Tabelas!$I$1,FALSE),
                    VLOOKUP(LIMITE,tblLimiteHora[],Tabelas!$J$1,FALSE),
                    tblHorasJul[Horas Trabalhadas Além Jornada]),
              tblHorasJul[Horas Trabalhadas Além Jornada]),
        tblHorasJul[Horas Trabalhadas Além Jornada])+O26</f>
        <v>0</v>
      </c>
      <c r="P27" s="14" t="str">
        <f>IF(tblHorasJul[Horas Trabalhadas Além Jornada]&lt;0,IF(OR(tblHorasJul[Evento 
(1º Período)]="",tblHorasJul[Evento 
(2º Período)]=""),tblHorasJul[Horas Trabalhadas Além Jornada],""),"")</f>
        <v/>
      </c>
      <c r="Q27" s="14" t="str">
        <f>IF(tblHorasJul[Jornada Diária]&lt;&gt;"",IF((N(tblHorasJul[Jornada Diária])-ABS(N(tblHorasJul[Horas Trabalhadas Além Jornada])))=0,1,""),"")</f>
        <v/>
      </c>
      <c r="R27" s="14" t="str">
        <f>IF(tblHorasJul[Horas Trabalhadas Além Jornada]&gt;0,
IF(AND(VLOOKUP(TEXT(tblHorasJul[Data],"dddd"),tblDiaUtil[],3,FALSE)="Sim",IF(tblHorasJul[Evento 
(1º Período)]&lt;&gt;"",IF(VLOOKUP(tblHorasJul[Evento 
(1º Período)],tblEvento[],Tabelas!$E$1,FALSE)="Sim",FALSE,TRUE),TRUE),IF(tblHorasJul[Evento 
(2º Período)]&lt;&gt;"",IF(VLOOKUP(tblHorasJul[Evento 
(2º Período)],tblEvento[],Tabelas!$E$1,FALSE)="Sim",FALSE,TRUE),TRUE)),
tblHorasJul[Horas Trabalhadas Além Jornada],""),"")</f>
        <v/>
      </c>
      <c r="S27" s="14" t="str">
        <f>IF(tblHorasJul[Horas Trabalhadas Além Jornada]&gt;0,
IF(OR(VLOOKUP(TEXT(tblHorasJul[Data],"dddd"),tblDiaUtil[],3,FALSE)="Não",IF(tblHorasJul[Evento 
(1º Período)]&lt;&gt;"",IF(VLOOKUP(tblHorasJul[Evento 
(1º Período)],tblEvento[],Tabelas!$E$1,FALSE)="Sim",TRUE,FALSE),FALSE),IF(tblHorasJul[Evento 
(2º Período)]&lt;&gt;"",IF(VLOOKUP(tblHorasJul[Evento 
(2º Período)],tblEvento[],Tabelas!$E$1,FALSE)="Sim",TRUE,FALSE),FALSE)),
tblHorasJul[Horas Trabalhadas Além Jornada],""),"")</f>
        <v/>
      </c>
      <c r="T27" s="15" t="str">
        <f>IF(tblHorasJul[Evento 
(1º Período)]&lt;&gt;""," - " &amp;VLOOKUP(tblHorasJul[Evento 
(1º Período)],tblEvento[],Tabelas!$F$1,FALSE),"")&amp;IF(AND(tblHorasJul[Evento 
(2º Período)]&lt;&gt;"",tblHorasJul[Evento 
(2º Período)]&lt;&gt;tblHorasJul[Evento 
(1º Período)])," - " &amp; VLOOKUP(tblHorasJul[Evento 
(2º Período)],tblEvento[],Tabelas!$F$1,FALSE),"")</f>
        <v/>
      </c>
    </row>
    <row r="28" spans="2:20" x14ac:dyDescent="0.25">
      <c r="B28" s="11" t="str">
        <f t="shared" si="0"/>
        <v/>
      </c>
      <c r="C28" s="12" t="str">
        <f>TEXT(tblHorasJul[Data],"ddd")</f>
        <v/>
      </c>
      <c r="D28" s="25"/>
      <c r="E28" s="1"/>
      <c r="F28" s="1"/>
      <c r="G28" s="1"/>
      <c r="H28" s="1"/>
      <c r="I28" s="53"/>
      <c r="J28" s="4">
        <f>IF($B$6&lt;&gt;"",
IF(AND(tblHorasJul[Evento 
(1º Período)]&lt;&gt;"",IF(ISERROR(VLOOKUP(tblHorasJul[Evento 
(1º Período)],tblEvento[],Tabelas!$D$1,FALSE)),FALSE,VLOOKUP(tblHorasJul[Evento 
(1º Período)],tblEvento[],Tabelas!$D$1,FALSE)="Sim")),
        IF(JORNADA_PERIODO_1&lt;&gt;"",
IF(VLOOKUP(tblHorasJul[Dia],tblDiaUtil[[Abreviatura]:[1º Período]],3,FALSE)&gt;0,VLOOKUP(tblHorasJul[Dia],tblDiaUtil[[Abreviatura]:[1º Período]],3,FALSE),JORNADA_PERIODO_1),
IF(VLOOKUP(tblHorasJul[Dia],tblDiaUtil[[Abreviatura]:[1º Período]],3,FALSE)&gt;0,VLOOKUP(tblHorasJul[Dia],tblDiaUtil[[Abreviatura]:[1º Período]],3,FALSE),JORNADA/2)),
        IF(AND(ISNUMBER(tblHorasJul[Saída - 1 (Almoço)]),ISNUMBER(tblHorasJul[Entrada - 1])),
              IF(OR(AND(tblHorasJul[Evento 
(1º Período)]&lt;&gt;"",IF(ISERROR(VLOOKUP(tblHorasJul[Evento 
(1º Período)],tblEvento[],Tabelas!$E$1,FALSE)),FALSE,VLOOKUP(tblHorasJul[Evento 
(1º Período)],tblEvento[],Tabelas!$E$1,FALSE)="Sim")),IF(VLOOKUP(TEXT(tblHorasJul[Data],"dddd"),tblDiaUtil[],2,FALSE)="Não",TRUE,FALSE)),
                   tblHorasJul[Saída - 1 (Almoço)]-tblHorasJul[Entrada - 1],
                   IF(OR(HOUR(tblHorasJul[Saída - 1 (Almoço)]-tblHorasJul[Entrada - 1])&gt;0,ROUND(tblHorasJul[Saída - 1 (Almoço)]-tblHorasJul[Entrada - 1],6)&gt;ROUND(CARENCIA,6)),
                          tblHorasJul[Saída - 1 (Almoço)]-tblHorasJul[Entrada - 1],
                          0)),
                    0)),0)</f>
        <v>0</v>
      </c>
      <c r="K28" s="4">
        <f>IF($B$6&lt;&gt;"",
IF(AND(tblHorasJul[Evento 
(2º Período)]&lt;&gt;"",IF(ISERROR(VLOOKUP(tblHorasJul[Evento 
(2º Período)],tblEvento[],Tabelas!$D$1,FALSE)),FALSE,VLOOKUP(tblHorasJul[Evento 
(2º Período)],tblEvento[],Tabelas!$D$1,FALSE)="Sim")),
        IF(JORNADA_PERIODO_2&lt;&gt;"",
IF(VLOOKUP(tblHorasJul[Dia],tblDiaUtil[[Abreviatura]:[2º Período]],4,FALSE)&gt;0,VLOOKUP(tblHorasJul[Dia],tblDiaUtil[[Abreviatura]:[2º Período]],4,FALSE),JORNADA_PERIODO_2),
IF(VLOOKUP(tblHorasJul[Dia],tblDiaUtil[[Abreviatura]:[2º Período]],4,FALSE)&gt;0,VLOOKUP(tblHorasJul[Dia],tblDiaUtil[[Abreviatura]:[2º Período]],4,FALSE),JORNADA/2)),
        IF(AND(ISNUMBER(tblHorasJul[Saída - 2]),ISNUMBER(tblHorasJul[Entrada - 2 (Almoço)])),
              IF(OR(AND(tblHorasJul[Evento 
(2º Período)]&lt;&gt;"",IF(ISERROR(VLOOKUP(tblHorasJul[Evento 
(2º Período)],tblEvento[],Tabelas!$E$1,FALSE)),FALSE,VLOOKUP(tblHorasJul[Evento 
(2º Período)],tblEvento[],Tabelas!$E$1,FALSE)="Sim")),IF(VLOOKUP(TEXT(tblHorasJul[Data],"dddd"),tblDiaUtil[],2,FALSE)="Não",TRUE,FALSE)),
                   tblHorasJul[Saída - 2]-tblHorasJul[Entrada - 2 (Almoço)],
                   IF(OR(HOUR(tblHorasJul[Saída - 2]-tblHorasJul[Entrada - 2 (Almoço)])&gt;0,MINUTE(tblHorasJul[Saída - 2]-tblHorasJul[Entrada - 2 (Almoço)])&gt;CARENCIA),
                         tblHorasJul[Saída - 2]-tblHorasJul[Entrada - 2 (Almoço)],
                         0)),
       0)),0)</f>
        <v>0</v>
      </c>
      <c r="L28" s="4">
        <f>tblHorasJul[Horas Trabalhadas (1º Período)]+tblHorasJul[Horas Trabalhadas (2º Período)]</f>
        <v>0</v>
      </c>
      <c r="M28" s="4" t="str">
        <f>IF(tblHorasJul[Data]&lt;&gt;"",
        IF(
AND(VLOOKUP(TEXT(tblHorasJul[Data],"dddd"),tblDiaUtil[],3,FALSE)="Sim",IF(tblHorasJul[Evento 
(1º Período)]&lt;&gt;"",IF(VLOOKUP(tblHorasJul[Evento 
(1º Período)],tblEvento[],Tabelas!$E$1,FALSE)="Sim",FALSE,TRUE),TRUE),IF(tblHorasJul[Evento 
(2º Período)]&lt;&gt;"",IF(VLOOKUP(tblHorasJul[Evento 
(2º Período)],tblEvento[],Tabelas!$E$1,FALSE)="Sim",FALSE,TRUE),TRUE)),
              IF(VLOOKUP(tblHorasJul[Dia],tblDiaUtil[[Abreviatura]:[1º Período]],3,FALSE)&gt;0,VLOOKUP(tblHorasJul[Dia],tblDiaUtil[[Abreviatura]:[1º Período]],3,FALSE),JORNADA),
              ""),
         "")</f>
        <v/>
      </c>
      <c r="N28" s="14">
        <f>IF(OR(tblHorasJul[Horas Trabalhadas (1º Período)]&lt;&gt;0,tblHorasJul[Horas Trabalhadas (2º Período)]&lt;&gt;0),
        IF(ISNUMBER(tblHorasJul[Jornada Diária]),
              IF(tblHorasJul[Jornada Diária]&gt;(tblHorasJul[Horas Trabalhadas (2º Período)]+tblHorasJul[Horas Trabalhadas (1º Período)]),
                     IF(ROUND((tblHorasJul[Jornada Diária]-(tblHorasJul[Horas Trabalhadas (2º Período)]+tblHorasJul[Horas Trabalhadas (1º Período)])),6)&gt;ROUND(CARENCIA,6),
                           -tblHorasJul[Jornada Diária]+(tblHorasJul[Horas Trabalhadas (2º Período)]+tblHorasJul[Horas Trabalhadas (1º Período)]),
                           0),
                      IF(ROUND((tblHorasJul[Jornada Diária]-(tblHorasJul[Horas Trabalhadas (2º Período)]+tblHorasJul[Horas Trabalhadas (1º Período)])),6)&lt;ROUND(-CARENCIA,6),
                           -tblHorasJul[Jornada Diária]+(tblHorasJul[Horas Trabalhadas (2º Período)]+tblHorasJul[Horas Trabalhadas (1º Período)]),
                           0)),
              tblHorasJul[Horas Trabalhadas (2º Período)]+tblHorasJul[Horas Trabalhadas (1º Período)]),
         IF(AND(IF(ISERROR(VLOOKUP(tblHorasJul[Evento 
(1º Período)],tblEvento[[Evento]:[Libera o Período]],4,FALSE)),FALSE,IF(VLOOKUP(tblHorasJul[Evento 
(1º Período)],tblEvento[[Evento]:[Libera o Período]],4,FALSE)="Não",TRUE,FALSE)),IF(ISERROR(VLOOKUP(tblHorasJul[Evento 
(2º Período)],tblEvento[[Evento]:[Libera o Período]],4,FALSE)),FALSE,IF(VLOOKUP(tblHorasJul[Evento 
(2º Período)],tblEvento[[Evento]:[Libera o Período]],4,FALSE)="Não",TRUE,FALSE))),
-IF(VLOOKUP(tblHorasJul[Dia],tblDiaUtil[[Abreviatura]:[Total Jornada]],5,FALSE)&lt;&gt;"",VLOOKUP(tblHorasJul[Dia],tblDiaUtil[[Abreviatura]:[Total Jornada]],5,FALSE),JORNADA),
IF(IF(ISERROR(VLOOKUP(tblHorasJul[Evento 
(1º Período)],tblEvento[[Evento]:[Libera o Período]],4,FALSE)),FALSE,
IF(VLOOKUP(tblHorasJul[Evento 
(1º Período)],tblEvento[[Evento]:[Libera o Período]],4,FALSE)="Não",TRUE,FALSE)
),
-IF(VLOOKUP(tblHorasJul[Dia],tblDiaUtil[[Abreviatura]:[1º Período]],3,FALSE)&lt;&gt;"",VLOOKUP(tblHorasJul[Dia],tblDiaUtil[[Abreviatura]:[1º Período]],3,FALSE),JORNADA_PERIODO_1),
IF(IF(ISERROR(VLOOKUP(tblHorasJul[Evento 
(2º Período)],tblEvento[[Evento]:[Libera o Período]],4,FALSE)),FALSE,IF(VLOOKUP(tblHorasJul[Evento 
(2º Período)],tblEvento[[Evento]:[Libera o Período]],4,FALSE)="Não",TRUE,FALSE)),
-IF(VLOOKUP(tblHorasJul[Dia],tblDiaUtil[[Abreviatura]:[2º Período]],4,FALSE)&lt;&gt;"",VLOOKUP(tblHorasJul[Dia],tblDiaUtil[[Abreviatura]:[2º Período]],4,FALSE),JORNADA_PERIODO_2),0))))</f>
        <v>0</v>
      </c>
      <c r="O28" s="14">
        <f>IF(tblHorasJul[Horas Trabalhadas Além Jornada]&gt;0,
        IF(ISNUMBER(tblHorasJul[Jornada Diária]),
              IF(HOUR(tblHorasJul[Horas Trabalhadas Além Jornada])&gt;=VLOOKUP(LIMITE,tblLimiteHora[],Tabelas!$I$1,FALSE),
                    VLOOKUP(LIMITE,tblLimiteHora[],Tabelas!$J$1,FALSE),
                    tblHorasJul[Horas Trabalhadas Além Jornada]),
              tblHorasJul[Horas Trabalhadas Além Jornada]),
        tblHorasJul[Horas Trabalhadas Além Jornada])+O27</f>
        <v>0</v>
      </c>
      <c r="P28" s="14" t="str">
        <f>IF(tblHorasJul[Horas Trabalhadas Além Jornada]&lt;0,IF(OR(tblHorasJul[Evento 
(1º Período)]="",tblHorasJul[Evento 
(2º Período)]=""),tblHorasJul[Horas Trabalhadas Além Jornada],""),"")</f>
        <v/>
      </c>
      <c r="Q28" s="14" t="str">
        <f>IF(tblHorasJul[Jornada Diária]&lt;&gt;"",IF((N(tblHorasJul[Jornada Diária])-ABS(N(tblHorasJul[Horas Trabalhadas Além Jornada])))=0,1,""),"")</f>
        <v/>
      </c>
      <c r="R28" s="14" t="str">
        <f>IF(tblHorasJul[Horas Trabalhadas Além Jornada]&gt;0,
IF(AND(VLOOKUP(TEXT(tblHorasJul[Data],"dddd"),tblDiaUtil[],3,FALSE)="Sim",IF(tblHorasJul[Evento 
(1º Período)]&lt;&gt;"",IF(VLOOKUP(tblHorasJul[Evento 
(1º Período)],tblEvento[],Tabelas!$E$1,FALSE)="Sim",FALSE,TRUE),TRUE),IF(tblHorasJul[Evento 
(2º Período)]&lt;&gt;"",IF(VLOOKUP(tblHorasJul[Evento 
(2º Período)],tblEvento[],Tabelas!$E$1,FALSE)="Sim",FALSE,TRUE),TRUE)),
tblHorasJul[Horas Trabalhadas Além Jornada],""),"")</f>
        <v/>
      </c>
      <c r="S28" s="14" t="str">
        <f>IF(tblHorasJul[Horas Trabalhadas Além Jornada]&gt;0,
IF(OR(VLOOKUP(TEXT(tblHorasJul[Data],"dddd"),tblDiaUtil[],3,FALSE)="Não",IF(tblHorasJul[Evento 
(1º Período)]&lt;&gt;"",IF(VLOOKUP(tblHorasJul[Evento 
(1º Período)],tblEvento[],Tabelas!$E$1,FALSE)="Sim",TRUE,FALSE),FALSE),IF(tblHorasJul[Evento 
(2º Período)]&lt;&gt;"",IF(VLOOKUP(tblHorasJul[Evento 
(2º Período)],tblEvento[],Tabelas!$E$1,FALSE)="Sim",TRUE,FALSE),FALSE)),
tblHorasJul[Horas Trabalhadas Além Jornada],""),"")</f>
        <v/>
      </c>
      <c r="T28" s="15" t="str">
        <f>IF(tblHorasJul[Evento 
(1º Período)]&lt;&gt;""," - " &amp;VLOOKUP(tblHorasJul[Evento 
(1º Período)],tblEvento[],Tabelas!$F$1,FALSE),"")&amp;IF(AND(tblHorasJul[Evento 
(2º Período)]&lt;&gt;"",tblHorasJul[Evento 
(2º Período)]&lt;&gt;tblHorasJul[Evento 
(1º Período)])," - " &amp; VLOOKUP(tblHorasJul[Evento 
(2º Período)],tblEvento[],Tabelas!$F$1,FALSE),"")</f>
        <v/>
      </c>
    </row>
    <row r="29" spans="2:20" x14ac:dyDescent="0.25">
      <c r="B29" s="11" t="str">
        <f t="shared" si="0"/>
        <v/>
      </c>
      <c r="C29" s="12" t="str">
        <f>TEXT(tblHorasJul[Data],"ddd")</f>
        <v/>
      </c>
      <c r="D29" s="25"/>
      <c r="E29" s="1"/>
      <c r="F29" s="1"/>
      <c r="G29" s="1"/>
      <c r="H29" s="1"/>
      <c r="I29" s="53"/>
      <c r="J29" s="4">
        <f>IF($B$6&lt;&gt;"",
IF(AND(tblHorasJul[Evento 
(1º Período)]&lt;&gt;"",IF(ISERROR(VLOOKUP(tblHorasJul[Evento 
(1º Período)],tblEvento[],Tabelas!$D$1,FALSE)),FALSE,VLOOKUP(tblHorasJul[Evento 
(1º Período)],tblEvento[],Tabelas!$D$1,FALSE)="Sim")),
        IF(JORNADA_PERIODO_1&lt;&gt;"",
IF(VLOOKUP(tblHorasJul[Dia],tblDiaUtil[[Abreviatura]:[1º Período]],3,FALSE)&gt;0,VLOOKUP(tblHorasJul[Dia],tblDiaUtil[[Abreviatura]:[1º Período]],3,FALSE),JORNADA_PERIODO_1),
IF(VLOOKUP(tblHorasJul[Dia],tblDiaUtil[[Abreviatura]:[1º Período]],3,FALSE)&gt;0,VLOOKUP(tblHorasJul[Dia],tblDiaUtil[[Abreviatura]:[1º Período]],3,FALSE),JORNADA/2)),
        IF(AND(ISNUMBER(tblHorasJul[Saída - 1 (Almoço)]),ISNUMBER(tblHorasJul[Entrada - 1])),
              IF(OR(AND(tblHorasJul[Evento 
(1º Período)]&lt;&gt;"",IF(ISERROR(VLOOKUP(tblHorasJul[Evento 
(1º Período)],tblEvento[],Tabelas!$E$1,FALSE)),FALSE,VLOOKUP(tblHorasJul[Evento 
(1º Período)],tblEvento[],Tabelas!$E$1,FALSE)="Sim")),IF(VLOOKUP(TEXT(tblHorasJul[Data],"dddd"),tblDiaUtil[],2,FALSE)="Não",TRUE,FALSE)),
                   tblHorasJul[Saída - 1 (Almoço)]-tblHorasJul[Entrada - 1],
                   IF(OR(HOUR(tblHorasJul[Saída - 1 (Almoço)]-tblHorasJul[Entrada - 1])&gt;0,ROUND(tblHorasJul[Saída - 1 (Almoço)]-tblHorasJul[Entrada - 1],6)&gt;ROUND(CARENCIA,6)),
                          tblHorasJul[Saída - 1 (Almoço)]-tblHorasJul[Entrada - 1],
                          0)),
                    0)),0)</f>
        <v>0</v>
      </c>
      <c r="K29" s="4">
        <f>IF($B$6&lt;&gt;"",
IF(AND(tblHorasJul[Evento 
(2º Período)]&lt;&gt;"",IF(ISERROR(VLOOKUP(tblHorasJul[Evento 
(2º Período)],tblEvento[],Tabelas!$D$1,FALSE)),FALSE,VLOOKUP(tblHorasJul[Evento 
(2º Período)],tblEvento[],Tabelas!$D$1,FALSE)="Sim")),
        IF(JORNADA_PERIODO_2&lt;&gt;"",
IF(VLOOKUP(tblHorasJul[Dia],tblDiaUtil[[Abreviatura]:[2º Período]],4,FALSE)&gt;0,VLOOKUP(tblHorasJul[Dia],tblDiaUtil[[Abreviatura]:[2º Período]],4,FALSE),JORNADA_PERIODO_2),
IF(VLOOKUP(tblHorasJul[Dia],tblDiaUtil[[Abreviatura]:[2º Período]],4,FALSE)&gt;0,VLOOKUP(tblHorasJul[Dia],tblDiaUtil[[Abreviatura]:[2º Período]],4,FALSE),JORNADA/2)),
        IF(AND(ISNUMBER(tblHorasJul[Saída - 2]),ISNUMBER(tblHorasJul[Entrada - 2 (Almoço)])),
              IF(OR(AND(tblHorasJul[Evento 
(2º Período)]&lt;&gt;"",IF(ISERROR(VLOOKUP(tblHorasJul[Evento 
(2º Período)],tblEvento[],Tabelas!$E$1,FALSE)),FALSE,VLOOKUP(tblHorasJul[Evento 
(2º Período)],tblEvento[],Tabelas!$E$1,FALSE)="Sim")),IF(VLOOKUP(TEXT(tblHorasJul[Data],"dddd"),tblDiaUtil[],2,FALSE)="Não",TRUE,FALSE)),
                   tblHorasJul[Saída - 2]-tblHorasJul[Entrada - 2 (Almoço)],
                   IF(OR(HOUR(tblHorasJul[Saída - 2]-tblHorasJul[Entrada - 2 (Almoço)])&gt;0,MINUTE(tblHorasJul[Saída - 2]-tblHorasJul[Entrada - 2 (Almoço)])&gt;CARENCIA),
                         tblHorasJul[Saída - 2]-tblHorasJul[Entrada - 2 (Almoço)],
                         0)),
       0)),0)</f>
        <v>0</v>
      </c>
      <c r="L29" s="4">
        <f>tblHorasJul[Horas Trabalhadas (1º Período)]+tblHorasJul[Horas Trabalhadas (2º Período)]</f>
        <v>0</v>
      </c>
      <c r="M29" s="4" t="str">
        <f>IF(tblHorasJul[Data]&lt;&gt;"",
        IF(
AND(VLOOKUP(TEXT(tblHorasJul[Data],"dddd"),tblDiaUtil[],3,FALSE)="Sim",IF(tblHorasJul[Evento 
(1º Período)]&lt;&gt;"",IF(VLOOKUP(tblHorasJul[Evento 
(1º Período)],tblEvento[],Tabelas!$E$1,FALSE)="Sim",FALSE,TRUE),TRUE),IF(tblHorasJul[Evento 
(2º Período)]&lt;&gt;"",IF(VLOOKUP(tblHorasJul[Evento 
(2º Período)],tblEvento[],Tabelas!$E$1,FALSE)="Sim",FALSE,TRUE),TRUE)),
              IF(VLOOKUP(tblHorasJul[Dia],tblDiaUtil[[Abreviatura]:[1º Período]],3,FALSE)&gt;0,VLOOKUP(tblHorasJul[Dia],tblDiaUtil[[Abreviatura]:[1º Período]],3,FALSE),JORNADA),
              ""),
         "")</f>
        <v/>
      </c>
      <c r="N29" s="14">
        <f>IF(OR(tblHorasJul[Horas Trabalhadas (1º Período)]&lt;&gt;0,tblHorasJul[Horas Trabalhadas (2º Período)]&lt;&gt;0),
        IF(ISNUMBER(tblHorasJul[Jornada Diária]),
              IF(tblHorasJul[Jornada Diária]&gt;(tblHorasJul[Horas Trabalhadas (2º Período)]+tblHorasJul[Horas Trabalhadas (1º Período)]),
                     IF(ROUND((tblHorasJul[Jornada Diária]-(tblHorasJul[Horas Trabalhadas (2º Período)]+tblHorasJul[Horas Trabalhadas (1º Período)])),6)&gt;ROUND(CARENCIA,6),
                           -tblHorasJul[Jornada Diária]+(tblHorasJul[Horas Trabalhadas (2º Período)]+tblHorasJul[Horas Trabalhadas (1º Período)]),
                           0),
                      IF(ROUND((tblHorasJul[Jornada Diária]-(tblHorasJul[Horas Trabalhadas (2º Período)]+tblHorasJul[Horas Trabalhadas (1º Período)])),6)&lt;ROUND(-CARENCIA,6),
                           -tblHorasJul[Jornada Diária]+(tblHorasJul[Horas Trabalhadas (2º Período)]+tblHorasJul[Horas Trabalhadas (1º Período)]),
                           0)),
              tblHorasJul[Horas Trabalhadas (2º Período)]+tblHorasJul[Horas Trabalhadas (1º Período)]),
         IF(AND(IF(ISERROR(VLOOKUP(tblHorasJul[Evento 
(1º Período)],tblEvento[[Evento]:[Libera o Período]],4,FALSE)),FALSE,IF(VLOOKUP(tblHorasJul[Evento 
(1º Período)],tblEvento[[Evento]:[Libera o Período]],4,FALSE)="Não",TRUE,FALSE)),IF(ISERROR(VLOOKUP(tblHorasJul[Evento 
(2º Período)],tblEvento[[Evento]:[Libera o Período]],4,FALSE)),FALSE,IF(VLOOKUP(tblHorasJul[Evento 
(2º Período)],tblEvento[[Evento]:[Libera o Período]],4,FALSE)="Não",TRUE,FALSE))),
-IF(VLOOKUP(tblHorasJul[Dia],tblDiaUtil[[Abreviatura]:[Total Jornada]],5,FALSE)&lt;&gt;"",VLOOKUP(tblHorasJul[Dia],tblDiaUtil[[Abreviatura]:[Total Jornada]],5,FALSE),JORNADA),
IF(IF(ISERROR(VLOOKUP(tblHorasJul[Evento 
(1º Período)],tblEvento[[Evento]:[Libera o Período]],4,FALSE)),FALSE,
IF(VLOOKUP(tblHorasJul[Evento 
(1º Período)],tblEvento[[Evento]:[Libera o Período]],4,FALSE)="Não",TRUE,FALSE)
),
-IF(VLOOKUP(tblHorasJul[Dia],tblDiaUtil[[Abreviatura]:[1º Período]],3,FALSE)&lt;&gt;"",VLOOKUP(tblHorasJul[Dia],tblDiaUtil[[Abreviatura]:[1º Período]],3,FALSE),JORNADA_PERIODO_1),
IF(IF(ISERROR(VLOOKUP(tblHorasJul[Evento 
(2º Período)],tblEvento[[Evento]:[Libera o Período]],4,FALSE)),FALSE,IF(VLOOKUP(tblHorasJul[Evento 
(2º Período)],tblEvento[[Evento]:[Libera o Período]],4,FALSE)="Não",TRUE,FALSE)),
-IF(VLOOKUP(tblHorasJul[Dia],tblDiaUtil[[Abreviatura]:[2º Período]],4,FALSE)&lt;&gt;"",VLOOKUP(tblHorasJul[Dia],tblDiaUtil[[Abreviatura]:[2º Período]],4,FALSE),JORNADA_PERIODO_2),0))))</f>
        <v>0</v>
      </c>
      <c r="O29" s="14">
        <f>IF(tblHorasJul[Horas Trabalhadas Além Jornada]&gt;0,
        IF(ISNUMBER(tblHorasJul[Jornada Diária]),
              IF(HOUR(tblHorasJul[Horas Trabalhadas Além Jornada])&gt;=VLOOKUP(LIMITE,tblLimiteHora[],Tabelas!$I$1,FALSE),
                    VLOOKUP(LIMITE,tblLimiteHora[],Tabelas!$J$1,FALSE),
                    tblHorasJul[Horas Trabalhadas Além Jornada]),
              tblHorasJul[Horas Trabalhadas Além Jornada]),
        tblHorasJul[Horas Trabalhadas Além Jornada])+O28</f>
        <v>0</v>
      </c>
      <c r="P29" s="14" t="str">
        <f>IF(tblHorasJul[Horas Trabalhadas Além Jornada]&lt;0,IF(OR(tblHorasJul[Evento 
(1º Período)]="",tblHorasJul[Evento 
(2º Período)]=""),tblHorasJul[Horas Trabalhadas Além Jornada],""),"")</f>
        <v/>
      </c>
      <c r="Q29" s="14" t="str">
        <f>IF(tblHorasJul[Jornada Diária]&lt;&gt;"",IF((N(tblHorasJul[Jornada Diária])-ABS(N(tblHorasJul[Horas Trabalhadas Além Jornada])))=0,1,""),"")</f>
        <v/>
      </c>
      <c r="R29" s="14" t="str">
        <f>IF(tblHorasJul[Horas Trabalhadas Além Jornada]&gt;0,
IF(AND(VLOOKUP(TEXT(tblHorasJul[Data],"dddd"),tblDiaUtil[],3,FALSE)="Sim",IF(tblHorasJul[Evento 
(1º Período)]&lt;&gt;"",IF(VLOOKUP(tblHorasJul[Evento 
(1º Período)],tblEvento[],Tabelas!$E$1,FALSE)="Sim",FALSE,TRUE),TRUE),IF(tblHorasJul[Evento 
(2º Período)]&lt;&gt;"",IF(VLOOKUP(tblHorasJul[Evento 
(2º Período)],tblEvento[],Tabelas!$E$1,FALSE)="Sim",FALSE,TRUE),TRUE)),
tblHorasJul[Horas Trabalhadas Além Jornada],""),"")</f>
        <v/>
      </c>
      <c r="S29" s="14" t="str">
        <f>IF(tblHorasJul[Horas Trabalhadas Além Jornada]&gt;0,
IF(OR(VLOOKUP(TEXT(tblHorasJul[Data],"dddd"),tblDiaUtil[],3,FALSE)="Não",IF(tblHorasJul[Evento 
(1º Período)]&lt;&gt;"",IF(VLOOKUP(tblHorasJul[Evento 
(1º Período)],tblEvento[],Tabelas!$E$1,FALSE)="Sim",TRUE,FALSE),FALSE),IF(tblHorasJul[Evento 
(2º Período)]&lt;&gt;"",IF(VLOOKUP(tblHorasJul[Evento 
(2º Período)],tblEvento[],Tabelas!$E$1,FALSE)="Sim",TRUE,FALSE),FALSE)),
tblHorasJul[Horas Trabalhadas Além Jornada],""),"")</f>
        <v/>
      </c>
      <c r="T29" s="15" t="str">
        <f>IF(tblHorasJul[Evento 
(1º Período)]&lt;&gt;""," - " &amp;VLOOKUP(tblHorasJul[Evento 
(1º Período)],tblEvento[],Tabelas!$F$1,FALSE),"")&amp;IF(AND(tblHorasJul[Evento 
(2º Período)]&lt;&gt;"",tblHorasJul[Evento 
(2º Período)]&lt;&gt;tblHorasJul[Evento 
(1º Período)])," - " &amp; VLOOKUP(tblHorasJul[Evento 
(2º Período)],tblEvento[],Tabelas!$F$1,FALSE),"")</f>
        <v/>
      </c>
    </row>
    <row r="30" spans="2:20" x14ac:dyDescent="0.25">
      <c r="B30" s="11" t="str">
        <f t="shared" si="0"/>
        <v/>
      </c>
      <c r="C30" s="12" t="str">
        <f>TEXT(tblHorasJul[Data],"ddd")</f>
        <v/>
      </c>
      <c r="D30" s="25"/>
      <c r="E30" s="1"/>
      <c r="F30" s="1"/>
      <c r="G30" s="1"/>
      <c r="H30" s="1"/>
      <c r="I30" s="53"/>
      <c r="J30" s="4">
        <f>IF($B$6&lt;&gt;"",
IF(AND(tblHorasJul[Evento 
(1º Período)]&lt;&gt;"",IF(ISERROR(VLOOKUP(tblHorasJul[Evento 
(1º Período)],tblEvento[],Tabelas!$D$1,FALSE)),FALSE,VLOOKUP(tblHorasJul[Evento 
(1º Período)],tblEvento[],Tabelas!$D$1,FALSE)="Sim")),
        IF(JORNADA_PERIODO_1&lt;&gt;"",
IF(VLOOKUP(tblHorasJul[Dia],tblDiaUtil[[Abreviatura]:[1º Período]],3,FALSE)&gt;0,VLOOKUP(tblHorasJul[Dia],tblDiaUtil[[Abreviatura]:[1º Período]],3,FALSE),JORNADA_PERIODO_1),
IF(VLOOKUP(tblHorasJul[Dia],tblDiaUtil[[Abreviatura]:[1º Período]],3,FALSE)&gt;0,VLOOKUP(tblHorasJul[Dia],tblDiaUtil[[Abreviatura]:[1º Período]],3,FALSE),JORNADA/2)),
        IF(AND(ISNUMBER(tblHorasJul[Saída - 1 (Almoço)]),ISNUMBER(tblHorasJul[Entrada - 1])),
              IF(OR(AND(tblHorasJul[Evento 
(1º Período)]&lt;&gt;"",IF(ISERROR(VLOOKUP(tblHorasJul[Evento 
(1º Período)],tblEvento[],Tabelas!$E$1,FALSE)),FALSE,VLOOKUP(tblHorasJul[Evento 
(1º Período)],tblEvento[],Tabelas!$E$1,FALSE)="Sim")),IF(VLOOKUP(TEXT(tblHorasJul[Data],"dddd"),tblDiaUtil[],2,FALSE)="Não",TRUE,FALSE)),
                   tblHorasJul[Saída - 1 (Almoço)]-tblHorasJul[Entrada - 1],
                   IF(OR(HOUR(tblHorasJul[Saída - 1 (Almoço)]-tblHorasJul[Entrada - 1])&gt;0,ROUND(tblHorasJul[Saída - 1 (Almoço)]-tblHorasJul[Entrada - 1],6)&gt;ROUND(CARENCIA,6)),
                          tblHorasJul[Saída - 1 (Almoço)]-tblHorasJul[Entrada - 1],
                          0)),
                    0)),0)</f>
        <v>0</v>
      </c>
      <c r="K30" s="4">
        <f>IF($B$6&lt;&gt;"",
IF(AND(tblHorasJul[Evento 
(2º Período)]&lt;&gt;"",IF(ISERROR(VLOOKUP(tblHorasJul[Evento 
(2º Período)],tblEvento[],Tabelas!$D$1,FALSE)),FALSE,VLOOKUP(tblHorasJul[Evento 
(2º Período)],tblEvento[],Tabelas!$D$1,FALSE)="Sim")),
        IF(JORNADA_PERIODO_2&lt;&gt;"",
IF(VLOOKUP(tblHorasJul[Dia],tblDiaUtil[[Abreviatura]:[2º Período]],4,FALSE)&gt;0,VLOOKUP(tblHorasJul[Dia],tblDiaUtil[[Abreviatura]:[2º Período]],4,FALSE),JORNADA_PERIODO_2),
IF(VLOOKUP(tblHorasJul[Dia],tblDiaUtil[[Abreviatura]:[2º Período]],4,FALSE)&gt;0,VLOOKUP(tblHorasJul[Dia],tblDiaUtil[[Abreviatura]:[2º Período]],4,FALSE),JORNADA/2)),
        IF(AND(ISNUMBER(tblHorasJul[Saída - 2]),ISNUMBER(tblHorasJul[Entrada - 2 (Almoço)])),
              IF(OR(AND(tblHorasJul[Evento 
(2º Período)]&lt;&gt;"",IF(ISERROR(VLOOKUP(tblHorasJul[Evento 
(2º Período)],tblEvento[],Tabelas!$E$1,FALSE)),FALSE,VLOOKUP(tblHorasJul[Evento 
(2º Período)],tblEvento[],Tabelas!$E$1,FALSE)="Sim")),IF(VLOOKUP(TEXT(tblHorasJul[Data],"dddd"),tblDiaUtil[],2,FALSE)="Não",TRUE,FALSE)),
                   tblHorasJul[Saída - 2]-tblHorasJul[Entrada - 2 (Almoço)],
                   IF(OR(HOUR(tblHorasJul[Saída - 2]-tblHorasJul[Entrada - 2 (Almoço)])&gt;0,MINUTE(tblHorasJul[Saída - 2]-tblHorasJul[Entrada - 2 (Almoço)])&gt;CARENCIA),
                         tblHorasJul[Saída - 2]-tblHorasJul[Entrada - 2 (Almoço)],
                         0)),
       0)),0)</f>
        <v>0</v>
      </c>
      <c r="L30" s="4">
        <f>tblHorasJul[Horas Trabalhadas (1º Período)]+tblHorasJul[Horas Trabalhadas (2º Período)]</f>
        <v>0</v>
      </c>
      <c r="M30" s="4" t="str">
        <f>IF(tblHorasJul[Data]&lt;&gt;"",
        IF(
AND(VLOOKUP(TEXT(tblHorasJul[Data],"dddd"),tblDiaUtil[],3,FALSE)="Sim",IF(tblHorasJul[Evento 
(1º Período)]&lt;&gt;"",IF(VLOOKUP(tblHorasJul[Evento 
(1º Período)],tblEvento[],Tabelas!$E$1,FALSE)="Sim",FALSE,TRUE),TRUE),IF(tblHorasJul[Evento 
(2º Período)]&lt;&gt;"",IF(VLOOKUP(tblHorasJul[Evento 
(2º Período)],tblEvento[],Tabelas!$E$1,FALSE)="Sim",FALSE,TRUE),TRUE)),
              IF(VLOOKUP(tblHorasJul[Dia],tblDiaUtil[[Abreviatura]:[1º Período]],3,FALSE)&gt;0,VLOOKUP(tblHorasJul[Dia],tblDiaUtil[[Abreviatura]:[1º Período]],3,FALSE),JORNADA),
              ""),
         "")</f>
        <v/>
      </c>
      <c r="N30" s="14">
        <f>IF(OR(tblHorasJul[Horas Trabalhadas (1º Período)]&lt;&gt;0,tblHorasJul[Horas Trabalhadas (2º Período)]&lt;&gt;0),
        IF(ISNUMBER(tblHorasJul[Jornada Diária]),
              IF(tblHorasJul[Jornada Diária]&gt;(tblHorasJul[Horas Trabalhadas (2º Período)]+tblHorasJul[Horas Trabalhadas (1º Período)]),
                     IF(ROUND((tblHorasJul[Jornada Diária]-(tblHorasJul[Horas Trabalhadas (2º Período)]+tblHorasJul[Horas Trabalhadas (1º Período)])),6)&gt;ROUND(CARENCIA,6),
                           -tblHorasJul[Jornada Diária]+(tblHorasJul[Horas Trabalhadas (2º Período)]+tblHorasJul[Horas Trabalhadas (1º Período)]),
                           0),
                      IF(ROUND((tblHorasJul[Jornada Diária]-(tblHorasJul[Horas Trabalhadas (2º Período)]+tblHorasJul[Horas Trabalhadas (1º Período)])),6)&lt;ROUND(-CARENCIA,6),
                           -tblHorasJul[Jornada Diária]+(tblHorasJul[Horas Trabalhadas (2º Período)]+tblHorasJul[Horas Trabalhadas (1º Período)]),
                           0)),
              tblHorasJul[Horas Trabalhadas (2º Período)]+tblHorasJul[Horas Trabalhadas (1º Período)]),
         IF(AND(IF(ISERROR(VLOOKUP(tblHorasJul[Evento 
(1º Período)],tblEvento[[Evento]:[Libera o Período]],4,FALSE)),FALSE,IF(VLOOKUP(tblHorasJul[Evento 
(1º Período)],tblEvento[[Evento]:[Libera o Período]],4,FALSE)="Não",TRUE,FALSE)),IF(ISERROR(VLOOKUP(tblHorasJul[Evento 
(2º Período)],tblEvento[[Evento]:[Libera o Período]],4,FALSE)),FALSE,IF(VLOOKUP(tblHorasJul[Evento 
(2º Período)],tblEvento[[Evento]:[Libera o Período]],4,FALSE)="Não",TRUE,FALSE))),
-IF(VLOOKUP(tblHorasJul[Dia],tblDiaUtil[[Abreviatura]:[Total Jornada]],5,FALSE)&lt;&gt;"",VLOOKUP(tblHorasJul[Dia],tblDiaUtil[[Abreviatura]:[Total Jornada]],5,FALSE),JORNADA),
IF(IF(ISERROR(VLOOKUP(tblHorasJul[Evento 
(1º Período)],tblEvento[[Evento]:[Libera o Período]],4,FALSE)),FALSE,
IF(VLOOKUP(tblHorasJul[Evento 
(1º Período)],tblEvento[[Evento]:[Libera o Período]],4,FALSE)="Não",TRUE,FALSE)
),
-IF(VLOOKUP(tblHorasJul[Dia],tblDiaUtil[[Abreviatura]:[1º Período]],3,FALSE)&lt;&gt;"",VLOOKUP(tblHorasJul[Dia],tblDiaUtil[[Abreviatura]:[1º Período]],3,FALSE),JORNADA_PERIODO_1),
IF(IF(ISERROR(VLOOKUP(tblHorasJul[Evento 
(2º Período)],tblEvento[[Evento]:[Libera o Período]],4,FALSE)),FALSE,IF(VLOOKUP(tblHorasJul[Evento 
(2º Período)],tblEvento[[Evento]:[Libera o Período]],4,FALSE)="Não",TRUE,FALSE)),
-IF(VLOOKUP(tblHorasJul[Dia],tblDiaUtil[[Abreviatura]:[2º Período]],4,FALSE)&lt;&gt;"",VLOOKUP(tblHorasJul[Dia],tblDiaUtil[[Abreviatura]:[2º Período]],4,FALSE),JORNADA_PERIODO_2),0))))</f>
        <v>0</v>
      </c>
      <c r="O30" s="14">
        <f>IF(tblHorasJul[Horas Trabalhadas Além Jornada]&gt;0,
        IF(ISNUMBER(tblHorasJul[Jornada Diária]),
              IF(HOUR(tblHorasJul[Horas Trabalhadas Além Jornada])&gt;=VLOOKUP(LIMITE,tblLimiteHora[],Tabelas!$I$1,FALSE),
                    VLOOKUP(LIMITE,tblLimiteHora[],Tabelas!$J$1,FALSE),
                    tblHorasJul[Horas Trabalhadas Além Jornada]),
              tblHorasJul[Horas Trabalhadas Além Jornada]),
        tblHorasJul[Horas Trabalhadas Além Jornada])+O29</f>
        <v>0</v>
      </c>
      <c r="P30" s="14" t="str">
        <f>IF(tblHorasJul[Horas Trabalhadas Além Jornada]&lt;0,IF(OR(tblHorasJul[Evento 
(1º Período)]="",tblHorasJul[Evento 
(2º Período)]=""),tblHorasJul[Horas Trabalhadas Além Jornada],""),"")</f>
        <v/>
      </c>
      <c r="Q30" s="14" t="str">
        <f>IF(tblHorasJul[Jornada Diária]&lt;&gt;"",IF((N(tblHorasJul[Jornada Diária])-ABS(N(tblHorasJul[Horas Trabalhadas Além Jornada])))=0,1,""),"")</f>
        <v/>
      </c>
      <c r="R30" s="14" t="str">
        <f>IF(tblHorasJul[Horas Trabalhadas Além Jornada]&gt;0,
IF(AND(VLOOKUP(TEXT(tblHorasJul[Data],"dddd"),tblDiaUtil[],3,FALSE)="Sim",IF(tblHorasJul[Evento 
(1º Período)]&lt;&gt;"",IF(VLOOKUP(tblHorasJul[Evento 
(1º Período)],tblEvento[],Tabelas!$E$1,FALSE)="Sim",FALSE,TRUE),TRUE),IF(tblHorasJul[Evento 
(2º Período)]&lt;&gt;"",IF(VLOOKUP(tblHorasJul[Evento 
(2º Período)],tblEvento[],Tabelas!$E$1,FALSE)="Sim",FALSE,TRUE),TRUE)),
tblHorasJul[Horas Trabalhadas Além Jornada],""),"")</f>
        <v/>
      </c>
      <c r="S30" s="14" t="str">
        <f>IF(tblHorasJul[Horas Trabalhadas Além Jornada]&gt;0,
IF(OR(VLOOKUP(TEXT(tblHorasJul[Data],"dddd"),tblDiaUtil[],3,FALSE)="Não",IF(tblHorasJul[Evento 
(1º Período)]&lt;&gt;"",IF(VLOOKUP(tblHorasJul[Evento 
(1º Período)],tblEvento[],Tabelas!$E$1,FALSE)="Sim",TRUE,FALSE),FALSE),IF(tblHorasJul[Evento 
(2º Período)]&lt;&gt;"",IF(VLOOKUP(tblHorasJul[Evento 
(2º Período)],tblEvento[],Tabelas!$E$1,FALSE)="Sim",TRUE,FALSE),FALSE)),
tblHorasJul[Horas Trabalhadas Além Jornada],""),"")</f>
        <v/>
      </c>
      <c r="T30" s="15" t="str">
        <f>IF(tblHorasJul[Evento 
(1º Período)]&lt;&gt;""," - " &amp;VLOOKUP(tblHorasJul[Evento 
(1º Período)],tblEvento[],Tabelas!$F$1,FALSE),"")&amp;IF(AND(tblHorasJul[Evento 
(2º Período)]&lt;&gt;"",tblHorasJul[Evento 
(2º Período)]&lt;&gt;tblHorasJul[Evento 
(1º Período)])," - " &amp; VLOOKUP(tblHorasJul[Evento 
(2º Período)],tblEvento[],Tabelas!$F$1,FALSE),"")</f>
        <v/>
      </c>
    </row>
    <row r="31" spans="2:20" x14ac:dyDescent="0.25">
      <c r="B31" s="11" t="str">
        <f t="shared" si="0"/>
        <v/>
      </c>
      <c r="C31" s="12" t="str">
        <f>TEXT(tblHorasJul[Data],"ddd")</f>
        <v/>
      </c>
      <c r="D31" s="25"/>
      <c r="E31" s="1"/>
      <c r="F31" s="1"/>
      <c r="G31" s="1"/>
      <c r="H31" s="1"/>
      <c r="I31" s="53"/>
      <c r="J31" s="4">
        <f>IF($B$6&lt;&gt;"",
IF(AND(tblHorasJul[Evento 
(1º Período)]&lt;&gt;"",IF(ISERROR(VLOOKUP(tblHorasJul[Evento 
(1º Período)],tblEvento[],Tabelas!$D$1,FALSE)),FALSE,VLOOKUP(tblHorasJul[Evento 
(1º Período)],tblEvento[],Tabelas!$D$1,FALSE)="Sim")),
        IF(JORNADA_PERIODO_1&lt;&gt;"",
IF(VLOOKUP(tblHorasJul[Dia],tblDiaUtil[[Abreviatura]:[1º Período]],3,FALSE)&gt;0,VLOOKUP(tblHorasJul[Dia],tblDiaUtil[[Abreviatura]:[1º Período]],3,FALSE),JORNADA_PERIODO_1),
IF(VLOOKUP(tblHorasJul[Dia],tblDiaUtil[[Abreviatura]:[1º Período]],3,FALSE)&gt;0,VLOOKUP(tblHorasJul[Dia],tblDiaUtil[[Abreviatura]:[1º Período]],3,FALSE),JORNADA/2)),
        IF(AND(ISNUMBER(tblHorasJul[Saída - 1 (Almoço)]),ISNUMBER(tblHorasJul[Entrada - 1])),
              IF(OR(AND(tblHorasJul[Evento 
(1º Período)]&lt;&gt;"",IF(ISERROR(VLOOKUP(tblHorasJul[Evento 
(1º Período)],tblEvento[],Tabelas!$E$1,FALSE)),FALSE,VLOOKUP(tblHorasJul[Evento 
(1º Período)],tblEvento[],Tabelas!$E$1,FALSE)="Sim")),IF(VLOOKUP(TEXT(tblHorasJul[Data],"dddd"),tblDiaUtil[],2,FALSE)="Não",TRUE,FALSE)),
                   tblHorasJul[Saída - 1 (Almoço)]-tblHorasJul[Entrada - 1],
                   IF(OR(HOUR(tblHorasJul[Saída - 1 (Almoço)]-tblHorasJul[Entrada - 1])&gt;0,ROUND(tblHorasJul[Saída - 1 (Almoço)]-tblHorasJul[Entrada - 1],6)&gt;ROUND(CARENCIA,6)),
                          tblHorasJul[Saída - 1 (Almoço)]-tblHorasJul[Entrada - 1],
                          0)),
                    0)),0)</f>
        <v>0</v>
      </c>
      <c r="K31" s="4">
        <f>IF($B$6&lt;&gt;"",
IF(AND(tblHorasJul[Evento 
(2º Período)]&lt;&gt;"",IF(ISERROR(VLOOKUP(tblHorasJul[Evento 
(2º Período)],tblEvento[],Tabelas!$D$1,FALSE)),FALSE,VLOOKUP(tblHorasJul[Evento 
(2º Período)],tblEvento[],Tabelas!$D$1,FALSE)="Sim")),
        IF(JORNADA_PERIODO_2&lt;&gt;"",
IF(VLOOKUP(tblHorasJul[Dia],tblDiaUtil[[Abreviatura]:[2º Período]],4,FALSE)&gt;0,VLOOKUP(tblHorasJul[Dia],tblDiaUtil[[Abreviatura]:[2º Período]],4,FALSE),JORNADA_PERIODO_2),
IF(VLOOKUP(tblHorasJul[Dia],tblDiaUtil[[Abreviatura]:[2º Período]],4,FALSE)&gt;0,VLOOKUP(tblHorasJul[Dia],tblDiaUtil[[Abreviatura]:[2º Período]],4,FALSE),JORNADA/2)),
        IF(AND(ISNUMBER(tblHorasJul[Saída - 2]),ISNUMBER(tblHorasJul[Entrada - 2 (Almoço)])),
              IF(OR(AND(tblHorasJul[Evento 
(2º Período)]&lt;&gt;"",IF(ISERROR(VLOOKUP(tblHorasJul[Evento 
(2º Período)],tblEvento[],Tabelas!$E$1,FALSE)),FALSE,VLOOKUP(tblHorasJul[Evento 
(2º Período)],tblEvento[],Tabelas!$E$1,FALSE)="Sim")),IF(VLOOKUP(TEXT(tblHorasJul[Data],"dddd"),tblDiaUtil[],2,FALSE)="Não",TRUE,FALSE)),
                   tblHorasJul[Saída - 2]-tblHorasJul[Entrada - 2 (Almoço)],
                   IF(OR(HOUR(tblHorasJul[Saída - 2]-tblHorasJul[Entrada - 2 (Almoço)])&gt;0,MINUTE(tblHorasJul[Saída - 2]-tblHorasJul[Entrada - 2 (Almoço)])&gt;CARENCIA),
                         tblHorasJul[Saída - 2]-tblHorasJul[Entrada - 2 (Almoço)],
                         0)),
       0)),0)</f>
        <v>0</v>
      </c>
      <c r="L31" s="4">
        <f>tblHorasJul[Horas Trabalhadas (1º Período)]+tblHorasJul[Horas Trabalhadas (2º Período)]</f>
        <v>0</v>
      </c>
      <c r="M31" s="4" t="str">
        <f>IF(tblHorasJul[Data]&lt;&gt;"",
        IF(
AND(VLOOKUP(TEXT(tblHorasJul[Data],"dddd"),tblDiaUtil[],3,FALSE)="Sim",IF(tblHorasJul[Evento 
(1º Período)]&lt;&gt;"",IF(VLOOKUP(tblHorasJul[Evento 
(1º Período)],tblEvento[],Tabelas!$E$1,FALSE)="Sim",FALSE,TRUE),TRUE),IF(tblHorasJul[Evento 
(2º Período)]&lt;&gt;"",IF(VLOOKUP(tblHorasJul[Evento 
(2º Período)],tblEvento[],Tabelas!$E$1,FALSE)="Sim",FALSE,TRUE),TRUE)),
              IF(VLOOKUP(tblHorasJul[Dia],tblDiaUtil[[Abreviatura]:[1º Período]],3,FALSE)&gt;0,VLOOKUP(tblHorasJul[Dia],tblDiaUtil[[Abreviatura]:[1º Período]],3,FALSE),JORNADA),
              ""),
         "")</f>
        <v/>
      </c>
      <c r="N31" s="14">
        <f>IF(OR(tblHorasJul[Horas Trabalhadas (1º Período)]&lt;&gt;0,tblHorasJul[Horas Trabalhadas (2º Período)]&lt;&gt;0),
        IF(ISNUMBER(tblHorasJul[Jornada Diária]),
              IF(tblHorasJul[Jornada Diária]&gt;(tblHorasJul[Horas Trabalhadas (2º Período)]+tblHorasJul[Horas Trabalhadas (1º Período)]),
                     IF(ROUND((tblHorasJul[Jornada Diária]-(tblHorasJul[Horas Trabalhadas (2º Período)]+tblHorasJul[Horas Trabalhadas (1º Período)])),6)&gt;ROUND(CARENCIA,6),
                           -tblHorasJul[Jornada Diária]+(tblHorasJul[Horas Trabalhadas (2º Período)]+tblHorasJul[Horas Trabalhadas (1º Período)]),
                           0),
                      IF(ROUND((tblHorasJul[Jornada Diária]-(tblHorasJul[Horas Trabalhadas (2º Período)]+tblHorasJul[Horas Trabalhadas (1º Período)])),6)&lt;ROUND(-CARENCIA,6),
                           -tblHorasJul[Jornada Diária]+(tblHorasJul[Horas Trabalhadas (2º Período)]+tblHorasJul[Horas Trabalhadas (1º Período)]),
                           0)),
              tblHorasJul[Horas Trabalhadas (2º Período)]+tblHorasJul[Horas Trabalhadas (1º Período)]),
         IF(AND(IF(ISERROR(VLOOKUP(tblHorasJul[Evento 
(1º Período)],tblEvento[[Evento]:[Libera o Período]],4,FALSE)),FALSE,IF(VLOOKUP(tblHorasJul[Evento 
(1º Período)],tblEvento[[Evento]:[Libera o Período]],4,FALSE)="Não",TRUE,FALSE)),IF(ISERROR(VLOOKUP(tblHorasJul[Evento 
(2º Período)],tblEvento[[Evento]:[Libera o Período]],4,FALSE)),FALSE,IF(VLOOKUP(tblHorasJul[Evento 
(2º Período)],tblEvento[[Evento]:[Libera o Período]],4,FALSE)="Não",TRUE,FALSE))),
-IF(VLOOKUP(tblHorasJul[Dia],tblDiaUtil[[Abreviatura]:[Total Jornada]],5,FALSE)&lt;&gt;"",VLOOKUP(tblHorasJul[Dia],tblDiaUtil[[Abreviatura]:[Total Jornada]],5,FALSE),JORNADA),
IF(IF(ISERROR(VLOOKUP(tblHorasJul[Evento 
(1º Período)],tblEvento[[Evento]:[Libera o Período]],4,FALSE)),FALSE,
IF(VLOOKUP(tblHorasJul[Evento 
(1º Período)],tblEvento[[Evento]:[Libera o Período]],4,FALSE)="Não",TRUE,FALSE)
),
-IF(VLOOKUP(tblHorasJul[Dia],tblDiaUtil[[Abreviatura]:[1º Período]],3,FALSE)&lt;&gt;"",VLOOKUP(tblHorasJul[Dia],tblDiaUtil[[Abreviatura]:[1º Período]],3,FALSE),JORNADA_PERIODO_1),
IF(IF(ISERROR(VLOOKUP(tblHorasJul[Evento 
(2º Período)],tblEvento[[Evento]:[Libera o Período]],4,FALSE)),FALSE,IF(VLOOKUP(tblHorasJul[Evento 
(2º Período)],tblEvento[[Evento]:[Libera o Período]],4,FALSE)="Não",TRUE,FALSE)),
-IF(VLOOKUP(tblHorasJul[Dia],tblDiaUtil[[Abreviatura]:[2º Período]],4,FALSE)&lt;&gt;"",VLOOKUP(tblHorasJul[Dia],tblDiaUtil[[Abreviatura]:[2º Período]],4,FALSE),JORNADA_PERIODO_2),0))))</f>
        <v>0</v>
      </c>
      <c r="O31" s="14">
        <f>IF(tblHorasJul[Horas Trabalhadas Além Jornada]&gt;0,
        IF(ISNUMBER(tblHorasJul[Jornada Diária]),
              IF(HOUR(tblHorasJul[Horas Trabalhadas Além Jornada])&gt;=VLOOKUP(LIMITE,tblLimiteHora[],Tabelas!$I$1,FALSE),
                    VLOOKUP(LIMITE,tblLimiteHora[],Tabelas!$J$1,FALSE),
                    tblHorasJul[Horas Trabalhadas Além Jornada]),
              tblHorasJul[Horas Trabalhadas Além Jornada]),
        tblHorasJul[Horas Trabalhadas Além Jornada])+O30</f>
        <v>0</v>
      </c>
      <c r="P31" s="14" t="str">
        <f>IF(tblHorasJul[Horas Trabalhadas Além Jornada]&lt;0,IF(OR(tblHorasJul[Evento 
(1º Período)]="",tblHorasJul[Evento 
(2º Período)]=""),tblHorasJul[Horas Trabalhadas Além Jornada],""),"")</f>
        <v/>
      </c>
      <c r="Q31" s="14" t="str">
        <f>IF(tblHorasJul[Jornada Diária]&lt;&gt;"",IF((N(tblHorasJul[Jornada Diária])-ABS(N(tblHorasJul[Horas Trabalhadas Além Jornada])))=0,1,""),"")</f>
        <v/>
      </c>
      <c r="R31" s="14" t="str">
        <f>IF(tblHorasJul[Horas Trabalhadas Além Jornada]&gt;0,
IF(AND(VLOOKUP(TEXT(tblHorasJul[Data],"dddd"),tblDiaUtil[],3,FALSE)="Sim",IF(tblHorasJul[Evento 
(1º Período)]&lt;&gt;"",IF(VLOOKUP(tblHorasJul[Evento 
(1º Período)],tblEvento[],Tabelas!$E$1,FALSE)="Sim",FALSE,TRUE),TRUE),IF(tblHorasJul[Evento 
(2º Período)]&lt;&gt;"",IF(VLOOKUP(tblHorasJul[Evento 
(2º Período)],tblEvento[],Tabelas!$E$1,FALSE)="Sim",FALSE,TRUE),TRUE)),
tblHorasJul[Horas Trabalhadas Além Jornada],""),"")</f>
        <v/>
      </c>
      <c r="S31" s="14" t="str">
        <f>IF(tblHorasJul[Horas Trabalhadas Além Jornada]&gt;0,
IF(OR(VLOOKUP(TEXT(tblHorasJul[Data],"dddd"),tblDiaUtil[],3,FALSE)="Não",IF(tblHorasJul[Evento 
(1º Período)]&lt;&gt;"",IF(VLOOKUP(tblHorasJul[Evento 
(1º Período)],tblEvento[],Tabelas!$E$1,FALSE)="Sim",TRUE,FALSE),FALSE),IF(tblHorasJul[Evento 
(2º Período)]&lt;&gt;"",IF(VLOOKUP(tblHorasJul[Evento 
(2º Período)],tblEvento[],Tabelas!$E$1,FALSE)="Sim",TRUE,FALSE),FALSE)),
tblHorasJul[Horas Trabalhadas Além Jornada],""),"")</f>
        <v/>
      </c>
      <c r="T31" s="15" t="str">
        <f>IF(tblHorasJul[Evento 
(1º Período)]&lt;&gt;""," - " &amp;VLOOKUP(tblHorasJul[Evento 
(1º Período)],tblEvento[],Tabelas!$F$1,FALSE),"")&amp;IF(AND(tblHorasJul[Evento 
(2º Período)]&lt;&gt;"",tblHorasJul[Evento 
(2º Período)]&lt;&gt;tblHorasJul[Evento 
(1º Período)])," - " &amp; VLOOKUP(tblHorasJul[Evento 
(2º Período)],tblEvento[],Tabelas!$F$1,FALSE),"")</f>
        <v/>
      </c>
    </row>
    <row r="32" spans="2:20" x14ac:dyDescent="0.25">
      <c r="B32" s="11" t="str">
        <f t="shared" si="0"/>
        <v/>
      </c>
      <c r="C32" s="12" t="str">
        <f>TEXT(tblHorasJul[Data],"ddd")</f>
        <v/>
      </c>
      <c r="D32" s="25"/>
      <c r="E32" s="1"/>
      <c r="F32" s="1"/>
      <c r="G32" s="1"/>
      <c r="H32" s="1"/>
      <c r="I32" s="53"/>
      <c r="J32" s="4">
        <f>IF($B$6&lt;&gt;"",
IF(AND(tblHorasJul[Evento 
(1º Período)]&lt;&gt;"",IF(ISERROR(VLOOKUP(tblHorasJul[Evento 
(1º Período)],tblEvento[],Tabelas!$D$1,FALSE)),FALSE,VLOOKUP(tblHorasJul[Evento 
(1º Período)],tblEvento[],Tabelas!$D$1,FALSE)="Sim")),
        IF(JORNADA_PERIODO_1&lt;&gt;"",
IF(VLOOKUP(tblHorasJul[Dia],tblDiaUtil[[Abreviatura]:[1º Período]],3,FALSE)&gt;0,VLOOKUP(tblHorasJul[Dia],tblDiaUtil[[Abreviatura]:[1º Período]],3,FALSE),JORNADA_PERIODO_1),
IF(VLOOKUP(tblHorasJul[Dia],tblDiaUtil[[Abreviatura]:[1º Período]],3,FALSE)&gt;0,VLOOKUP(tblHorasJul[Dia],tblDiaUtil[[Abreviatura]:[1º Período]],3,FALSE),JORNADA/2)),
        IF(AND(ISNUMBER(tblHorasJul[Saída - 1 (Almoço)]),ISNUMBER(tblHorasJul[Entrada - 1])),
              IF(OR(AND(tblHorasJul[Evento 
(1º Período)]&lt;&gt;"",IF(ISERROR(VLOOKUP(tblHorasJul[Evento 
(1º Período)],tblEvento[],Tabelas!$E$1,FALSE)),FALSE,VLOOKUP(tblHorasJul[Evento 
(1º Período)],tblEvento[],Tabelas!$E$1,FALSE)="Sim")),IF(VLOOKUP(TEXT(tblHorasJul[Data],"dddd"),tblDiaUtil[],2,FALSE)="Não",TRUE,FALSE)),
                   tblHorasJul[Saída - 1 (Almoço)]-tblHorasJul[Entrada - 1],
                   IF(OR(HOUR(tblHorasJul[Saída - 1 (Almoço)]-tblHorasJul[Entrada - 1])&gt;0,ROUND(tblHorasJul[Saída - 1 (Almoço)]-tblHorasJul[Entrada - 1],6)&gt;ROUND(CARENCIA,6)),
                          tblHorasJul[Saída - 1 (Almoço)]-tblHorasJul[Entrada - 1],
                          0)),
                    0)),0)</f>
        <v>0</v>
      </c>
      <c r="K32" s="4">
        <f>IF($B$6&lt;&gt;"",
IF(AND(tblHorasJul[Evento 
(2º Período)]&lt;&gt;"",IF(ISERROR(VLOOKUP(tblHorasJul[Evento 
(2º Período)],tblEvento[],Tabelas!$D$1,FALSE)),FALSE,VLOOKUP(tblHorasJul[Evento 
(2º Período)],tblEvento[],Tabelas!$D$1,FALSE)="Sim")),
        IF(JORNADA_PERIODO_2&lt;&gt;"",
IF(VLOOKUP(tblHorasJul[Dia],tblDiaUtil[[Abreviatura]:[2º Período]],4,FALSE)&gt;0,VLOOKUP(tblHorasJul[Dia],tblDiaUtil[[Abreviatura]:[2º Período]],4,FALSE),JORNADA_PERIODO_2),
IF(VLOOKUP(tblHorasJul[Dia],tblDiaUtil[[Abreviatura]:[2º Período]],4,FALSE)&gt;0,VLOOKUP(tblHorasJul[Dia],tblDiaUtil[[Abreviatura]:[2º Período]],4,FALSE),JORNADA/2)),
        IF(AND(ISNUMBER(tblHorasJul[Saída - 2]),ISNUMBER(tblHorasJul[Entrada - 2 (Almoço)])),
              IF(OR(AND(tblHorasJul[Evento 
(2º Período)]&lt;&gt;"",IF(ISERROR(VLOOKUP(tblHorasJul[Evento 
(2º Período)],tblEvento[],Tabelas!$E$1,FALSE)),FALSE,VLOOKUP(tblHorasJul[Evento 
(2º Período)],tblEvento[],Tabelas!$E$1,FALSE)="Sim")),IF(VLOOKUP(TEXT(tblHorasJul[Data],"dddd"),tblDiaUtil[],2,FALSE)="Não",TRUE,FALSE)),
                   tblHorasJul[Saída - 2]-tblHorasJul[Entrada - 2 (Almoço)],
                   IF(OR(HOUR(tblHorasJul[Saída - 2]-tblHorasJul[Entrada - 2 (Almoço)])&gt;0,MINUTE(tblHorasJul[Saída - 2]-tblHorasJul[Entrada - 2 (Almoço)])&gt;CARENCIA),
                         tblHorasJul[Saída - 2]-tblHorasJul[Entrada - 2 (Almoço)],
                         0)),
       0)),0)</f>
        <v>0</v>
      </c>
      <c r="L32" s="4">
        <f>tblHorasJul[Horas Trabalhadas (1º Período)]+tblHorasJul[Horas Trabalhadas (2º Período)]</f>
        <v>0</v>
      </c>
      <c r="M32" s="4" t="str">
        <f>IF(tblHorasJul[Data]&lt;&gt;"",
        IF(
AND(VLOOKUP(TEXT(tblHorasJul[Data],"dddd"),tblDiaUtil[],3,FALSE)="Sim",IF(tblHorasJul[Evento 
(1º Período)]&lt;&gt;"",IF(VLOOKUP(tblHorasJul[Evento 
(1º Período)],tblEvento[],Tabelas!$E$1,FALSE)="Sim",FALSE,TRUE),TRUE),IF(tblHorasJul[Evento 
(2º Período)]&lt;&gt;"",IF(VLOOKUP(tblHorasJul[Evento 
(2º Período)],tblEvento[],Tabelas!$E$1,FALSE)="Sim",FALSE,TRUE),TRUE)),
              IF(VLOOKUP(tblHorasJul[Dia],tblDiaUtil[[Abreviatura]:[1º Período]],3,FALSE)&gt;0,VLOOKUP(tblHorasJul[Dia],tblDiaUtil[[Abreviatura]:[1º Período]],3,FALSE),JORNADA),
              ""),
         "")</f>
        <v/>
      </c>
      <c r="N32" s="14">
        <f>IF(OR(tblHorasJul[Horas Trabalhadas (1º Período)]&lt;&gt;0,tblHorasJul[Horas Trabalhadas (2º Período)]&lt;&gt;0),
        IF(ISNUMBER(tblHorasJul[Jornada Diária]),
              IF(tblHorasJul[Jornada Diária]&gt;(tblHorasJul[Horas Trabalhadas (2º Período)]+tblHorasJul[Horas Trabalhadas (1º Período)]),
                     IF(ROUND((tblHorasJul[Jornada Diária]-(tblHorasJul[Horas Trabalhadas (2º Período)]+tblHorasJul[Horas Trabalhadas (1º Período)])),6)&gt;ROUND(CARENCIA,6),
                           -tblHorasJul[Jornada Diária]+(tblHorasJul[Horas Trabalhadas (2º Período)]+tblHorasJul[Horas Trabalhadas (1º Período)]),
                           0),
                      IF(ROUND((tblHorasJul[Jornada Diária]-(tblHorasJul[Horas Trabalhadas (2º Período)]+tblHorasJul[Horas Trabalhadas (1º Período)])),6)&lt;ROUND(-CARENCIA,6),
                           -tblHorasJul[Jornada Diária]+(tblHorasJul[Horas Trabalhadas (2º Período)]+tblHorasJul[Horas Trabalhadas (1º Período)]),
                           0)),
              tblHorasJul[Horas Trabalhadas (2º Período)]+tblHorasJul[Horas Trabalhadas (1º Período)]),
         IF(AND(IF(ISERROR(VLOOKUP(tblHorasJul[Evento 
(1º Período)],tblEvento[[Evento]:[Libera o Período]],4,FALSE)),FALSE,IF(VLOOKUP(tblHorasJul[Evento 
(1º Período)],tblEvento[[Evento]:[Libera o Período]],4,FALSE)="Não",TRUE,FALSE)),IF(ISERROR(VLOOKUP(tblHorasJul[Evento 
(2º Período)],tblEvento[[Evento]:[Libera o Período]],4,FALSE)),FALSE,IF(VLOOKUP(tblHorasJul[Evento 
(2º Período)],tblEvento[[Evento]:[Libera o Período]],4,FALSE)="Não",TRUE,FALSE))),
-IF(VLOOKUP(tblHorasJul[Dia],tblDiaUtil[[Abreviatura]:[Total Jornada]],5,FALSE)&lt;&gt;"",VLOOKUP(tblHorasJul[Dia],tblDiaUtil[[Abreviatura]:[Total Jornada]],5,FALSE),JORNADA),
IF(IF(ISERROR(VLOOKUP(tblHorasJul[Evento 
(1º Período)],tblEvento[[Evento]:[Libera o Período]],4,FALSE)),FALSE,
IF(VLOOKUP(tblHorasJul[Evento 
(1º Período)],tblEvento[[Evento]:[Libera o Período]],4,FALSE)="Não",TRUE,FALSE)
),
-IF(VLOOKUP(tblHorasJul[Dia],tblDiaUtil[[Abreviatura]:[1º Período]],3,FALSE)&lt;&gt;"",VLOOKUP(tblHorasJul[Dia],tblDiaUtil[[Abreviatura]:[1º Período]],3,FALSE),JORNADA_PERIODO_1),
IF(IF(ISERROR(VLOOKUP(tblHorasJul[Evento 
(2º Período)],tblEvento[[Evento]:[Libera o Período]],4,FALSE)),FALSE,IF(VLOOKUP(tblHorasJul[Evento 
(2º Período)],tblEvento[[Evento]:[Libera o Período]],4,FALSE)="Não",TRUE,FALSE)),
-IF(VLOOKUP(tblHorasJul[Dia],tblDiaUtil[[Abreviatura]:[2º Período]],4,FALSE)&lt;&gt;"",VLOOKUP(tblHorasJul[Dia],tblDiaUtil[[Abreviatura]:[2º Período]],4,FALSE),JORNADA_PERIODO_2),0))))</f>
        <v>0</v>
      </c>
      <c r="O32" s="14">
        <f>IF(tblHorasJul[Horas Trabalhadas Além Jornada]&gt;0,
        IF(ISNUMBER(tblHorasJul[Jornada Diária]),
              IF(HOUR(tblHorasJul[Horas Trabalhadas Além Jornada])&gt;=VLOOKUP(LIMITE,tblLimiteHora[],Tabelas!$I$1,FALSE),
                    VLOOKUP(LIMITE,tblLimiteHora[],Tabelas!$J$1,FALSE),
                    tblHorasJul[Horas Trabalhadas Além Jornada]),
              tblHorasJul[Horas Trabalhadas Além Jornada]),
        tblHorasJul[Horas Trabalhadas Além Jornada])+O31</f>
        <v>0</v>
      </c>
      <c r="P32" s="14" t="str">
        <f>IF(tblHorasJul[Horas Trabalhadas Além Jornada]&lt;0,IF(OR(tblHorasJul[Evento 
(1º Período)]="",tblHorasJul[Evento 
(2º Período)]=""),tblHorasJul[Horas Trabalhadas Além Jornada],""),"")</f>
        <v/>
      </c>
      <c r="Q32" s="14" t="str">
        <f>IF(tblHorasJul[Jornada Diária]&lt;&gt;"",IF((N(tblHorasJul[Jornada Diária])-ABS(N(tblHorasJul[Horas Trabalhadas Além Jornada])))=0,1,""),"")</f>
        <v/>
      </c>
      <c r="R32" s="14" t="str">
        <f>IF(tblHorasJul[Horas Trabalhadas Além Jornada]&gt;0,
IF(AND(VLOOKUP(TEXT(tblHorasJul[Data],"dddd"),tblDiaUtil[],3,FALSE)="Sim",IF(tblHorasJul[Evento 
(1º Período)]&lt;&gt;"",IF(VLOOKUP(tblHorasJul[Evento 
(1º Período)],tblEvento[],Tabelas!$E$1,FALSE)="Sim",FALSE,TRUE),TRUE),IF(tblHorasJul[Evento 
(2º Período)]&lt;&gt;"",IF(VLOOKUP(tblHorasJul[Evento 
(2º Período)],tblEvento[],Tabelas!$E$1,FALSE)="Sim",FALSE,TRUE),TRUE)),
tblHorasJul[Horas Trabalhadas Além Jornada],""),"")</f>
        <v/>
      </c>
      <c r="S32" s="14" t="str">
        <f>IF(tblHorasJul[Horas Trabalhadas Além Jornada]&gt;0,
IF(OR(VLOOKUP(TEXT(tblHorasJul[Data],"dddd"),tblDiaUtil[],3,FALSE)="Não",IF(tblHorasJul[Evento 
(1º Período)]&lt;&gt;"",IF(VLOOKUP(tblHorasJul[Evento 
(1º Período)],tblEvento[],Tabelas!$E$1,FALSE)="Sim",TRUE,FALSE),FALSE),IF(tblHorasJul[Evento 
(2º Período)]&lt;&gt;"",IF(VLOOKUP(tblHorasJul[Evento 
(2º Período)],tblEvento[],Tabelas!$E$1,FALSE)="Sim",TRUE,FALSE),FALSE)),
tblHorasJul[Horas Trabalhadas Além Jornada],""),"")</f>
        <v/>
      </c>
      <c r="T32" s="15" t="str">
        <f>IF(tblHorasJul[Evento 
(1º Período)]&lt;&gt;""," - " &amp;VLOOKUP(tblHorasJul[Evento 
(1º Período)],tblEvento[],Tabelas!$F$1,FALSE),"")&amp;IF(AND(tblHorasJul[Evento 
(2º Período)]&lt;&gt;"",tblHorasJul[Evento 
(2º Período)]&lt;&gt;tblHorasJul[Evento 
(1º Período)])," - " &amp; VLOOKUP(tblHorasJul[Evento 
(2º Período)],tblEvento[],Tabelas!$F$1,FALSE),"")</f>
        <v/>
      </c>
    </row>
    <row r="33" spans="2:21" x14ac:dyDescent="0.25">
      <c r="B33" s="11" t="str">
        <f t="shared" si="0"/>
        <v/>
      </c>
      <c r="C33" s="12" t="str">
        <f>TEXT(tblHorasJul[Data],"ddd")</f>
        <v/>
      </c>
      <c r="D33" s="25"/>
      <c r="E33" s="1"/>
      <c r="F33" s="1"/>
      <c r="G33" s="1"/>
      <c r="H33" s="1"/>
      <c r="I33" s="53"/>
      <c r="J33" s="4">
        <f>IF($B$6&lt;&gt;"",
IF(AND(tblHorasJul[Evento 
(1º Período)]&lt;&gt;"",IF(ISERROR(VLOOKUP(tblHorasJul[Evento 
(1º Período)],tblEvento[],Tabelas!$D$1,FALSE)),FALSE,VLOOKUP(tblHorasJul[Evento 
(1º Período)],tblEvento[],Tabelas!$D$1,FALSE)="Sim")),
        IF(JORNADA_PERIODO_1&lt;&gt;"",
IF(VLOOKUP(tblHorasJul[Dia],tblDiaUtil[[Abreviatura]:[1º Período]],3,FALSE)&gt;0,VLOOKUP(tblHorasJul[Dia],tblDiaUtil[[Abreviatura]:[1º Período]],3,FALSE),JORNADA_PERIODO_1),
IF(VLOOKUP(tblHorasJul[Dia],tblDiaUtil[[Abreviatura]:[1º Período]],3,FALSE)&gt;0,VLOOKUP(tblHorasJul[Dia],tblDiaUtil[[Abreviatura]:[1º Período]],3,FALSE),JORNADA/2)),
        IF(AND(ISNUMBER(tblHorasJul[Saída - 1 (Almoço)]),ISNUMBER(tblHorasJul[Entrada - 1])),
              IF(OR(AND(tblHorasJul[Evento 
(1º Período)]&lt;&gt;"",IF(ISERROR(VLOOKUP(tblHorasJul[Evento 
(1º Período)],tblEvento[],Tabelas!$E$1,FALSE)),FALSE,VLOOKUP(tblHorasJul[Evento 
(1º Período)],tblEvento[],Tabelas!$E$1,FALSE)="Sim")),IF(VLOOKUP(TEXT(tblHorasJul[Data],"dddd"),tblDiaUtil[],2,FALSE)="Não",TRUE,FALSE)),
                   tblHorasJul[Saída - 1 (Almoço)]-tblHorasJul[Entrada - 1],
                   IF(OR(HOUR(tblHorasJul[Saída - 1 (Almoço)]-tblHorasJul[Entrada - 1])&gt;0,ROUND(tblHorasJul[Saída - 1 (Almoço)]-tblHorasJul[Entrada - 1],6)&gt;ROUND(CARENCIA,6)),
                          tblHorasJul[Saída - 1 (Almoço)]-tblHorasJul[Entrada - 1],
                          0)),
                    0)),0)</f>
        <v>0</v>
      </c>
      <c r="K33" s="4">
        <f>IF($B$6&lt;&gt;"",
IF(AND(tblHorasJul[Evento 
(2º Período)]&lt;&gt;"",IF(ISERROR(VLOOKUP(tblHorasJul[Evento 
(2º Período)],tblEvento[],Tabelas!$D$1,FALSE)),FALSE,VLOOKUP(tblHorasJul[Evento 
(2º Período)],tblEvento[],Tabelas!$D$1,FALSE)="Sim")),
        IF(JORNADA_PERIODO_2&lt;&gt;"",
IF(VLOOKUP(tblHorasJul[Dia],tblDiaUtil[[Abreviatura]:[2º Período]],4,FALSE)&gt;0,VLOOKUP(tblHorasJul[Dia],tblDiaUtil[[Abreviatura]:[2º Período]],4,FALSE),JORNADA_PERIODO_2),
IF(VLOOKUP(tblHorasJul[Dia],tblDiaUtil[[Abreviatura]:[2º Período]],4,FALSE)&gt;0,VLOOKUP(tblHorasJul[Dia],tblDiaUtil[[Abreviatura]:[2º Período]],4,FALSE),JORNADA/2)),
        IF(AND(ISNUMBER(tblHorasJul[Saída - 2]),ISNUMBER(tblHorasJul[Entrada - 2 (Almoço)])),
              IF(OR(AND(tblHorasJul[Evento 
(2º Período)]&lt;&gt;"",IF(ISERROR(VLOOKUP(tblHorasJul[Evento 
(2º Período)],tblEvento[],Tabelas!$E$1,FALSE)),FALSE,VLOOKUP(tblHorasJul[Evento 
(2º Período)],tblEvento[],Tabelas!$E$1,FALSE)="Sim")),IF(VLOOKUP(TEXT(tblHorasJul[Data],"dddd"),tblDiaUtil[],2,FALSE)="Não",TRUE,FALSE)),
                   tblHorasJul[Saída - 2]-tblHorasJul[Entrada - 2 (Almoço)],
                   IF(OR(HOUR(tblHorasJul[Saída - 2]-tblHorasJul[Entrada - 2 (Almoço)])&gt;0,MINUTE(tblHorasJul[Saída - 2]-tblHorasJul[Entrada - 2 (Almoço)])&gt;CARENCIA),
                         tblHorasJul[Saída - 2]-tblHorasJul[Entrada - 2 (Almoço)],
                         0)),
       0)),0)</f>
        <v>0</v>
      </c>
      <c r="L33" s="4">
        <f>tblHorasJul[Horas Trabalhadas (1º Período)]+tblHorasJul[Horas Trabalhadas (2º Período)]</f>
        <v>0</v>
      </c>
      <c r="M33" s="4" t="str">
        <f>IF(tblHorasJul[Data]&lt;&gt;"",
        IF(
AND(VLOOKUP(TEXT(tblHorasJul[Data],"dddd"),tblDiaUtil[],3,FALSE)="Sim",IF(tblHorasJul[Evento 
(1º Período)]&lt;&gt;"",IF(VLOOKUP(tblHorasJul[Evento 
(1º Período)],tblEvento[],Tabelas!$E$1,FALSE)="Sim",FALSE,TRUE),TRUE),IF(tblHorasJul[Evento 
(2º Período)]&lt;&gt;"",IF(VLOOKUP(tblHorasJul[Evento 
(2º Período)],tblEvento[],Tabelas!$E$1,FALSE)="Sim",FALSE,TRUE),TRUE)),
              IF(VLOOKUP(tblHorasJul[Dia],tblDiaUtil[[Abreviatura]:[1º Período]],3,FALSE)&gt;0,VLOOKUP(tblHorasJul[Dia],tblDiaUtil[[Abreviatura]:[1º Período]],3,FALSE),JORNADA),
              ""),
         "")</f>
        <v/>
      </c>
      <c r="N33" s="14">
        <f>IF(OR(tblHorasJul[Horas Trabalhadas (1º Período)]&lt;&gt;0,tblHorasJul[Horas Trabalhadas (2º Período)]&lt;&gt;0),
        IF(ISNUMBER(tblHorasJul[Jornada Diária]),
              IF(tblHorasJul[Jornada Diária]&gt;(tblHorasJul[Horas Trabalhadas (2º Período)]+tblHorasJul[Horas Trabalhadas (1º Período)]),
                     IF(ROUND((tblHorasJul[Jornada Diária]-(tblHorasJul[Horas Trabalhadas (2º Período)]+tblHorasJul[Horas Trabalhadas (1º Período)])),6)&gt;ROUND(CARENCIA,6),
                           -tblHorasJul[Jornada Diária]+(tblHorasJul[Horas Trabalhadas (2º Período)]+tblHorasJul[Horas Trabalhadas (1º Período)]),
                           0),
                      IF(ROUND((tblHorasJul[Jornada Diária]-(tblHorasJul[Horas Trabalhadas (2º Período)]+tblHorasJul[Horas Trabalhadas (1º Período)])),6)&lt;ROUND(-CARENCIA,6),
                           -tblHorasJul[Jornada Diária]+(tblHorasJul[Horas Trabalhadas (2º Período)]+tblHorasJul[Horas Trabalhadas (1º Período)]),
                           0)),
              tblHorasJul[Horas Trabalhadas (2º Período)]+tblHorasJul[Horas Trabalhadas (1º Período)]),
         IF(AND(IF(ISERROR(VLOOKUP(tblHorasJul[Evento 
(1º Período)],tblEvento[[Evento]:[Libera o Período]],4,FALSE)),FALSE,IF(VLOOKUP(tblHorasJul[Evento 
(1º Período)],tblEvento[[Evento]:[Libera o Período]],4,FALSE)="Não",TRUE,FALSE)),IF(ISERROR(VLOOKUP(tblHorasJul[Evento 
(2º Período)],tblEvento[[Evento]:[Libera o Período]],4,FALSE)),FALSE,IF(VLOOKUP(tblHorasJul[Evento 
(2º Período)],tblEvento[[Evento]:[Libera o Período]],4,FALSE)="Não",TRUE,FALSE))),
-IF(VLOOKUP(tblHorasJul[Dia],tblDiaUtil[[Abreviatura]:[Total Jornada]],5,FALSE)&lt;&gt;"",VLOOKUP(tblHorasJul[Dia],tblDiaUtil[[Abreviatura]:[Total Jornada]],5,FALSE),JORNADA),
IF(IF(ISERROR(VLOOKUP(tblHorasJul[Evento 
(1º Período)],tblEvento[[Evento]:[Libera o Período]],4,FALSE)),FALSE,
IF(VLOOKUP(tblHorasJul[Evento 
(1º Período)],tblEvento[[Evento]:[Libera o Período]],4,FALSE)="Não",TRUE,FALSE)
),
-IF(VLOOKUP(tblHorasJul[Dia],tblDiaUtil[[Abreviatura]:[1º Período]],3,FALSE)&lt;&gt;"",VLOOKUP(tblHorasJul[Dia],tblDiaUtil[[Abreviatura]:[1º Período]],3,FALSE),JORNADA_PERIODO_1),
IF(IF(ISERROR(VLOOKUP(tblHorasJul[Evento 
(2º Período)],tblEvento[[Evento]:[Libera o Período]],4,FALSE)),FALSE,IF(VLOOKUP(tblHorasJul[Evento 
(2º Período)],tblEvento[[Evento]:[Libera o Período]],4,FALSE)="Não",TRUE,FALSE)),
-IF(VLOOKUP(tblHorasJul[Dia],tblDiaUtil[[Abreviatura]:[2º Período]],4,FALSE)&lt;&gt;"",VLOOKUP(tblHorasJul[Dia],tblDiaUtil[[Abreviatura]:[2º Período]],4,FALSE),JORNADA_PERIODO_2),0))))</f>
        <v>0</v>
      </c>
      <c r="O33" s="14">
        <f>IF(tblHorasJul[Horas Trabalhadas Além Jornada]&gt;0,
        IF(ISNUMBER(tblHorasJul[Jornada Diária]),
              IF(HOUR(tblHorasJul[Horas Trabalhadas Além Jornada])&gt;=VLOOKUP(LIMITE,tblLimiteHora[],Tabelas!$I$1,FALSE),
                    VLOOKUP(LIMITE,tblLimiteHora[],Tabelas!$J$1,FALSE),
                    tblHorasJul[Horas Trabalhadas Além Jornada]),
              tblHorasJul[Horas Trabalhadas Além Jornada]),
        tblHorasJul[Horas Trabalhadas Além Jornada])+O32</f>
        <v>0</v>
      </c>
      <c r="P33" s="14" t="str">
        <f>IF(tblHorasJul[Horas Trabalhadas Além Jornada]&lt;0,IF(OR(tblHorasJul[Evento 
(1º Período)]="",tblHorasJul[Evento 
(2º Período)]=""),tblHorasJul[Horas Trabalhadas Além Jornada],""),"")</f>
        <v/>
      </c>
      <c r="Q33" s="14" t="str">
        <f>IF(tblHorasJul[Jornada Diária]&lt;&gt;"",IF((N(tblHorasJul[Jornada Diária])-ABS(N(tblHorasJul[Horas Trabalhadas Além Jornada])))=0,1,""),"")</f>
        <v/>
      </c>
      <c r="R33" s="14" t="str">
        <f>IF(tblHorasJul[Horas Trabalhadas Além Jornada]&gt;0,
IF(AND(VLOOKUP(TEXT(tblHorasJul[Data],"dddd"),tblDiaUtil[],3,FALSE)="Sim",IF(tblHorasJul[Evento 
(1º Período)]&lt;&gt;"",IF(VLOOKUP(tblHorasJul[Evento 
(1º Período)],tblEvento[],Tabelas!$E$1,FALSE)="Sim",FALSE,TRUE),TRUE),IF(tblHorasJul[Evento 
(2º Período)]&lt;&gt;"",IF(VLOOKUP(tblHorasJul[Evento 
(2º Período)],tblEvento[],Tabelas!$E$1,FALSE)="Sim",FALSE,TRUE),TRUE)),
tblHorasJul[Horas Trabalhadas Além Jornada],""),"")</f>
        <v/>
      </c>
      <c r="S33" s="14" t="str">
        <f>IF(tblHorasJul[Horas Trabalhadas Além Jornada]&gt;0,
IF(OR(VLOOKUP(TEXT(tblHorasJul[Data],"dddd"),tblDiaUtil[],3,FALSE)="Não",IF(tblHorasJul[Evento 
(1º Período)]&lt;&gt;"",IF(VLOOKUP(tblHorasJul[Evento 
(1º Período)],tblEvento[],Tabelas!$E$1,FALSE)="Sim",TRUE,FALSE),FALSE),IF(tblHorasJul[Evento 
(2º Período)]&lt;&gt;"",IF(VLOOKUP(tblHorasJul[Evento 
(2º Período)],tblEvento[],Tabelas!$E$1,FALSE)="Sim",TRUE,FALSE),FALSE)),
tblHorasJul[Horas Trabalhadas Além Jornada],""),"")</f>
        <v/>
      </c>
      <c r="T33" s="15" t="str">
        <f>IF(tblHorasJul[Evento 
(1º Período)]&lt;&gt;""," - " &amp;VLOOKUP(tblHorasJul[Evento 
(1º Período)],tblEvento[],Tabelas!$F$1,FALSE),"")&amp;IF(AND(tblHorasJul[Evento 
(2º Período)]&lt;&gt;"",tblHorasJul[Evento 
(2º Período)]&lt;&gt;tblHorasJul[Evento 
(1º Período)])," - " &amp; VLOOKUP(tblHorasJul[Evento 
(2º Período)],tblEvento[],Tabelas!$F$1,FALSE),"")</f>
        <v/>
      </c>
    </row>
    <row r="34" spans="2:21" x14ac:dyDescent="0.25">
      <c r="B34" s="11" t="str">
        <f t="shared" si="0"/>
        <v/>
      </c>
      <c r="C34" s="12" t="str">
        <f>TEXT(tblHorasJul[Data],"ddd")</f>
        <v/>
      </c>
      <c r="D34" s="25"/>
      <c r="E34" s="1"/>
      <c r="F34" s="1"/>
      <c r="G34" s="1"/>
      <c r="H34" s="1"/>
      <c r="I34" s="53"/>
      <c r="J34" s="4">
        <f>IF($B$6&lt;&gt;"",
IF(AND(tblHorasJul[Evento 
(1º Período)]&lt;&gt;"",IF(ISERROR(VLOOKUP(tblHorasJul[Evento 
(1º Período)],tblEvento[],Tabelas!$D$1,FALSE)),FALSE,VLOOKUP(tblHorasJul[Evento 
(1º Período)],tblEvento[],Tabelas!$D$1,FALSE)="Sim")),
        IF(JORNADA_PERIODO_1&lt;&gt;"",
IF(VLOOKUP(tblHorasJul[Dia],tblDiaUtil[[Abreviatura]:[1º Período]],3,FALSE)&gt;0,VLOOKUP(tblHorasJul[Dia],tblDiaUtil[[Abreviatura]:[1º Período]],3,FALSE),JORNADA_PERIODO_1),
IF(VLOOKUP(tblHorasJul[Dia],tblDiaUtil[[Abreviatura]:[1º Período]],3,FALSE)&gt;0,VLOOKUP(tblHorasJul[Dia],tblDiaUtil[[Abreviatura]:[1º Período]],3,FALSE),JORNADA/2)),
        IF(AND(ISNUMBER(tblHorasJul[Saída - 1 (Almoço)]),ISNUMBER(tblHorasJul[Entrada - 1])),
              IF(OR(AND(tblHorasJul[Evento 
(1º Período)]&lt;&gt;"",IF(ISERROR(VLOOKUP(tblHorasJul[Evento 
(1º Período)],tblEvento[],Tabelas!$E$1,FALSE)),FALSE,VLOOKUP(tblHorasJul[Evento 
(1º Período)],tblEvento[],Tabelas!$E$1,FALSE)="Sim")),IF(VLOOKUP(TEXT(tblHorasJul[Data],"dddd"),tblDiaUtil[],2,FALSE)="Não",TRUE,FALSE)),
                   tblHorasJul[Saída - 1 (Almoço)]-tblHorasJul[Entrada - 1],
                   IF(OR(HOUR(tblHorasJul[Saída - 1 (Almoço)]-tblHorasJul[Entrada - 1])&gt;0,ROUND(tblHorasJul[Saída - 1 (Almoço)]-tblHorasJul[Entrada - 1],6)&gt;ROUND(CARENCIA,6)),
                          tblHorasJul[Saída - 1 (Almoço)]-tblHorasJul[Entrada - 1],
                          0)),
                    0)),0)</f>
        <v>0</v>
      </c>
      <c r="K34" s="4">
        <f>IF($B$6&lt;&gt;"",
IF(AND(tblHorasJul[Evento 
(2º Período)]&lt;&gt;"",IF(ISERROR(VLOOKUP(tblHorasJul[Evento 
(2º Período)],tblEvento[],Tabelas!$D$1,FALSE)),FALSE,VLOOKUP(tblHorasJul[Evento 
(2º Período)],tblEvento[],Tabelas!$D$1,FALSE)="Sim")),
        IF(JORNADA_PERIODO_2&lt;&gt;"",
IF(VLOOKUP(tblHorasJul[Dia],tblDiaUtil[[Abreviatura]:[2º Período]],4,FALSE)&gt;0,VLOOKUP(tblHorasJul[Dia],tblDiaUtil[[Abreviatura]:[2º Período]],4,FALSE),JORNADA_PERIODO_2),
IF(VLOOKUP(tblHorasJul[Dia],tblDiaUtil[[Abreviatura]:[2º Período]],4,FALSE)&gt;0,VLOOKUP(tblHorasJul[Dia],tblDiaUtil[[Abreviatura]:[2º Período]],4,FALSE),JORNADA/2)),
        IF(AND(ISNUMBER(tblHorasJul[Saída - 2]),ISNUMBER(tblHorasJul[Entrada - 2 (Almoço)])),
              IF(OR(AND(tblHorasJul[Evento 
(2º Período)]&lt;&gt;"",IF(ISERROR(VLOOKUP(tblHorasJul[Evento 
(2º Período)],tblEvento[],Tabelas!$E$1,FALSE)),FALSE,VLOOKUP(tblHorasJul[Evento 
(2º Período)],tblEvento[],Tabelas!$E$1,FALSE)="Sim")),IF(VLOOKUP(TEXT(tblHorasJul[Data],"dddd"),tblDiaUtil[],2,FALSE)="Não",TRUE,FALSE)),
                   tblHorasJul[Saída - 2]-tblHorasJul[Entrada - 2 (Almoço)],
                   IF(OR(HOUR(tblHorasJul[Saída - 2]-tblHorasJul[Entrada - 2 (Almoço)])&gt;0,MINUTE(tblHorasJul[Saída - 2]-tblHorasJul[Entrada - 2 (Almoço)])&gt;CARENCIA),
                         tblHorasJul[Saída - 2]-tblHorasJul[Entrada - 2 (Almoço)],
                         0)),
       0)),0)</f>
        <v>0</v>
      </c>
      <c r="L34" s="4">
        <f>tblHorasJul[Horas Trabalhadas (1º Período)]+tblHorasJul[Horas Trabalhadas (2º Período)]</f>
        <v>0</v>
      </c>
      <c r="M34" s="4" t="str">
        <f>IF(tblHorasJul[Data]&lt;&gt;"",
        IF(
AND(VLOOKUP(TEXT(tblHorasJul[Data],"dddd"),tblDiaUtil[],3,FALSE)="Sim",IF(tblHorasJul[Evento 
(1º Período)]&lt;&gt;"",IF(VLOOKUP(tblHorasJul[Evento 
(1º Período)],tblEvento[],Tabelas!$E$1,FALSE)="Sim",FALSE,TRUE),TRUE),IF(tblHorasJul[Evento 
(2º Período)]&lt;&gt;"",IF(VLOOKUP(tblHorasJul[Evento 
(2º Período)],tblEvento[],Tabelas!$E$1,FALSE)="Sim",FALSE,TRUE),TRUE)),
              IF(VLOOKUP(tblHorasJul[Dia],tblDiaUtil[[Abreviatura]:[1º Período]],3,FALSE)&gt;0,VLOOKUP(tblHorasJul[Dia],tblDiaUtil[[Abreviatura]:[1º Período]],3,FALSE),JORNADA),
              ""),
         "")</f>
        <v/>
      </c>
      <c r="N34" s="14">
        <f>IF(OR(tblHorasJul[Horas Trabalhadas (1º Período)]&lt;&gt;0,tblHorasJul[Horas Trabalhadas (2º Período)]&lt;&gt;0),
        IF(ISNUMBER(tblHorasJul[Jornada Diária]),
              IF(tblHorasJul[Jornada Diária]&gt;(tblHorasJul[Horas Trabalhadas (2º Período)]+tblHorasJul[Horas Trabalhadas (1º Período)]),
                     IF(ROUND((tblHorasJul[Jornada Diária]-(tblHorasJul[Horas Trabalhadas (2º Período)]+tblHorasJul[Horas Trabalhadas (1º Período)])),6)&gt;ROUND(CARENCIA,6),
                           -tblHorasJul[Jornada Diária]+(tblHorasJul[Horas Trabalhadas (2º Período)]+tblHorasJul[Horas Trabalhadas (1º Período)]),
                           0),
                      IF(ROUND((tblHorasJul[Jornada Diária]-(tblHorasJul[Horas Trabalhadas (2º Período)]+tblHorasJul[Horas Trabalhadas (1º Período)])),6)&lt;ROUND(-CARENCIA,6),
                           -tblHorasJul[Jornada Diária]+(tblHorasJul[Horas Trabalhadas (2º Período)]+tblHorasJul[Horas Trabalhadas (1º Período)]),
                           0)),
              tblHorasJul[Horas Trabalhadas (2º Período)]+tblHorasJul[Horas Trabalhadas (1º Período)]),
         IF(AND(IF(ISERROR(VLOOKUP(tblHorasJul[Evento 
(1º Período)],tblEvento[[Evento]:[Libera o Período]],4,FALSE)),FALSE,IF(VLOOKUP(tblHorasJul[Evento 
(1º Período)],tblEvento[[Evento]:[Libera o Período]],4,FALSE)="Não",TRUE,FALSE)),IF(ISERROR(VLOOKUP(tblHorasJul[Evento 
(2º Período)],tblEvento[[Evento]:[Libera o Período]],4,FALSE)),FALSE,IF(VLOOKUP(tblHorasJul[Evento 
(2º Período)],tblEvento[[Evento]:[Libera o Período]],4,FALSE)="Não",TRUE,FALSE))),
-IF(VLOOKUP(tblHorasJul[Dia],tblDiaUtil[[Abreviatura]:[Total Jornada]],5,FALSE)&lt;&gt;"",VLOOKUP(tblHorasJul[Dia],tblDiaUtil[[Abreviatura]:[Total Jornada]],5,FALSE),JORNADA),
IF(IF(ISERROR(VLOOKUP(tblHorasJul[Evento 
(1º Período)],tblEvento[[Evento]:[Libera o Período]],4,FALSE)),FALSE,
IF(VLOOKUP(tblHorasJul[Evento 
(1º Período)],tblEvento[[Evento]:[Libera o Período]],4,FALSE)="Não",TRUE,FALSE)
),
-IF(VLOOKUP(tblHorasJul[Dia],tblDiaUtil[[Abreviatura]:[1º Período]],3,FALSE)&lt;&gt;"",VLOOKUP(tblHorasJul[Dia],tblDiaUtil[[Abreviatura]:[1º Período]],3,FALSE),JORNADA_PERIODO_1),
IF(IF(ISERROR(VLOOKUP(tblHorasJul[Evento 
(2º Período)],tblEvento[[Evento]:[Libera o Período]],4,FALSE)),FALSE,IF(VLOOKUP(tblHorasJul[Evento 
(2º Período)],tblEvento[[Evento]:[Libera o Período]],4,FALSE)="Não",TRUE,FALSE)),
-IF(VLOOKUP(tblHorasJul[Dia],tblDiaUtil[[Abreviatura]:[2º Período]],4,FALSE)&lt;&gt;"",VLOOKUP(tblHorasJul[Dia],tblDiaUtil[[Abreviatura]:[2º Período]],4,FALSE),JORNADA_PERIODO_2),0))))</f>
        <v>0</v>
      </c>
      <c r="O34" s="14">
        <f>IF(tblHorasJul[Horas Trabalhadas Além Jornada]&gt;0,
        IF(ISNUMBER(tblHorasJul[Jornada Diária]),
              IF(HOUR(tblHorasJul[Horas Trabalhadas Além Jornada])&gt;=VLOOKUP(LIMITE,tblLimiteHora[],Tabelas!$I$1,FALSE),
                    VLOOKUP(LIMITE,tblLimiteHora[],Tabelas!$J$1,FALSE),
                    tblHorasJul[Horas Trabalhadas Além Jornada]),
              tblHorasJul[Horas Trabalhadas Além Jornada]),
        tblHorasJul[Horas Trabalhadas Além Jornada])+O33</f>
        <v>0</v>
      </c>
      <c r="P34" s="14" t="str">
        <f>IF(tblHorasJul[Horas Trabalhadas Além Jornada]&lt;0,IF(OR(tblHorasJul[Evento 
(1º Período)]="",tblHorasJul[Evento 
(2º Período)]=""),tblHorasJul[Horas Trabalhadas Além Jornada],""),"")</f>
        <v/>
      </c>
      <c r="Q34" s="14" t="str">
        <f>IF(tblHorasJul[Jornada Diária]&lt;&gt;"",IF((N(tblHorasJul[Jornada Diária])-ABS(N(tblHorasJul[Horas Trabalhadas Além Jornada])))=0,1,""),"")</f>
        <v/>
      </c>
      <c r="R34" s="14" t="str">
        <f>IF(tblHorasJul[Horas Trabalhadas Além Jornada]&gt;0,
IF(AND(VLOOKUP(TEXT(tblHorasJul[Data],"dddd"),tblDiaUtil[],3,FALSE)="Sim",IF(tblHorasJul[Evento 
(1º Período)]&lt;&gt;"",IF(VLOOKUP(tblHorasJul[Evento 
(1º Período)],tblEvento[],Tabelas!$E$1,FALSE)="Sim",FALSE,TRUE),TRUE),IF(tblHorasJul[Evento 
(2º Período)]&lt;&gt;"",IF(VLOOKUP(tblHorasJul[Evento 
(2º Período)],tblEvento[],Tabelas!$E$1,FALSE)="Sim",FALSE,TRUE),TRUE)),
tblHorasJul[Horas Trabalhadas Além Jornada],""),"")</f>
        <v/>
      </c>
      <c r="S34" s="14" t="str">
        <f>IF(tblHorasJul[Horas Trabalhadas Além Jornada]&gt;0,
IF(OR(VLOOKUP(TEXT(tblHorasJul[Data],"dddd"),tblDiaUtil[],3,FALSE)="Não",IF(tblHorasJul[Evento 
(1º Período)]&lt;&gt;"",IF(VLOOKUP(tblHorasJul[Evento 
(1º Período)],tblEvento[],Tabelas!$E$1,FALSE)="Sim",TRUE,FALSE),FALSE),IF(tblHorasJul[Evento 
(2º Período)]&lt;&gt;"",IF(VLOOKUP(tblHorasJul[Evento 
(2º Período)],tblEvento[],Tabelas!$E$1,FALSE)="Sim",TRUE,FALSE),FALSE)),
tblHorasJul[Horas Trabalhadas Além Jornada],""),"")</f>
        <v/>
      </c>
      <c r="T34" s="15" t="str">
        <f>IF(tblHorasJul[Evento 
(1º Período)]&lt;&gt;""," - " &amp;VLOOKUP(tblHorasJul[Evento 
(1º Período)],tblEvento[],Tabelas!$F$1,FALSE),"")&amp;IF(AND(tblHorasJul[Evento 
(2º Período)]&lt;&gt;"",tblHorasJul[Evento 
(2º Período)]&lt;&gt;tblHorasJul[Evento 
(1º Período)])," - " &amp; VLOOKUP(tblHorasJul[Evento 
(2º Período)],tblEvento[],Tabelas!$F$1,FALSE),"")</f>
        <v/>
      </c>
    </row>
    <row r="35" spans="2:21" x14ac:dyDescent="0.25">
      <c r="B35" s="11" t="str">
        <f t="shared" si="0"/>
        <v/>
      </c>
      <c r="C35" s="12" t="str">
        <f>TEXT(tblHorasJul[Data],"ddd")</f>
        <v/>
      </c>
      <c r="D35" s="25"/>
      <c r="E35" s="1"/>
      <c r="F35" s="1"/>
      <c r="G35" s="1"/>
      <c r="H35" s="1"/>
      <c r="I35" s="53"/>
      <c r="J35" s="4">
        <f>IF($B$6&lt;&gt;"",
IF(AND(tblHorasJul[Evento 
(1º Período)]&lt;&gt;"",IF(ISERROR(VLOOKUP(tblHorasJul[Evento 
(1º Período)],tblEvento[],Tabelas!$D$1,FALSE)),FALSE,VLOOKUP(tblHorasJul[Evento 
(1º Período)],tblEvento[],Tabelas!$D$1,FALSE)="Sim")),
        IF(JORNADA_PERIODO_1&lt;&gt;"",
IF(VLOOKUP(tblHorasJul[Dia],tblDiaUtil[[Abreviatura]:[1º Período]],3,FALSE)&gt;0,VLOOKUP(tblHorasJul[Dia],tblDiaUtil[[Abreviatura]:[1º Período]],3,FALSE),JORNADA_PERIODO_1),
IF(VLOOKUP(tblHorasJul[Dia],tblDiaUtil[[Abreviatura]:[1º Período]],3,FALSE)&gt;0,VLOOKUP(tblHorasJul[Dia],tblDiaUtil[[Abreviatura]:[1º Período]],3,FALSE),JORNADA/2)),
        IF(AND(ISNUMBER(tblHorasJul[Saída - 1 (Almoço)]),ISNUMBER(tblHorasJul[Entrada - 1])),
              IF(OR(AND(tblHorasJul[Evento 
(1º Período)]&lt;&gt;"",IF(ISERROR(VLOOKUP(tblHorasJul[Evento 
(1º Período)],tblEvento[],Tabelas!$E$1,FALSE)),FALSE,VLOOKUP(tblHorasJul[Evento 
(1º Período)],tblEvento[],Tabelas!$E$1,FALSE)="Sim")),IF(VLOOKUP(TEXT(tblHorasJul[Data],"dddd"),tblDiaUtil[],2,FALSE)="Não",TRUE,FALSE)),
                   tblHorasJul[Saída - 1 (Almoço)]-tblHorasJul[Entrada - 1],
                   IF(OR(HOUR(tblHorasJul[Saída - 1 (Almoço)]-tblHorasJul[Entrada - 1])&gt;0,ROUND(tblHorasJul[Saída - 1 (Almoço)]-tblHorasJul[Entrada - 1],6)&gt;ROUND(CARENCIA,6)),
                          tblHorasJul[Saída - 1 (Almoço)]-tblHorasJul[Entrada - 1],
                          0)),
                    0)),0)</f>
        <v>0</v>
      </c>
      <c r="K35" s="4">
        <f>IF($B$6&lt;&gt;"",
IF(AND(tblHorasJul[Evento 
(2º Período)]&lt;&gt;"",IF(ISERROR(VLOOKUP(tblHorasJul[Evento 
(2º Período)],tblEvento[],Tabelas!$D$1,FALSE)),FALSE,VLOOKUP(tblHorasJul[Evento 
(2º Período)],tblEvento[],Tabelas!$D$1,FALSE)="Sim")),
        IF(JORNADA_PERIODO_2&lt;&gt;"",
IF(VLOOKUP(tblHorasJul[Dia],tblDiaUtil[[Abreviatura]:[2º Período]],4,FALSE)&gt;0,VLOOKUP(tblHorasJul[Dia],tblDiaUtil[[Abreviatura]:[2º Período]],4,FALSE),JORNADA_PERIODO_2),
IF(VLOOKUP(tblHorasJul[Dia],tblDiaUtil[[Abreviatura]:[2º Período]],4,FALSE)&gt;0,VLOOKUP(tblHorasJul[Dia],tblDiaUtil[[Abreviatura]:[2º Período]],4,FALSE),JORNADA/2)),
        IF(AND(ISNUMBER(tblHorasJul[Saída - 2]),ISNUMBER(tblHorasJul[Entrada - 2 (Almoço)])),
              IF(OR(AND(tblHorasJul[Evento 
(2º Período)]&lt;&gt;"",IF(ISERROR(VLOOKUP(tblHorasJul[Evento 
(2º Período)],tblEvento[],Tabelas!$E$1,FALSE)),FALSE,VLOOKUP(tblHorasJul[Evento 
(2º Período)],tblEvento[],Tabelas!$E$1,FALSE)="Sim")),IF(VLOOKUP(TEXT(tblHorasJul[Data],"dddd"),tblDiaUtil[],2,FALSE)="Não",TRUE,FALSE)),
                   tblHorasJul[Saída - 2]-tblHorasJul[Entrada - 2 (Almoço)],
                   IF(OR(HOUR(tblHorasJul[Saída - 2]-tblHorasJul[Entrada - 2 (Almoço)])&gt;0,MINUTE(tblHorasJul[Saída - 2]-tblHorasJul[Entrada - 2 (Almoço)])&gt;CARENCIA),
                         tblHorasJul[Saída - 2]-tblHorasJul[Entrada - 2 (Almoço)],
                         0)),
       0)),0)</f>
        <v>0</v>
      </c>
      <c r="L35" s="4">
        <f>tblHorasJul[Horas Trabalhadas (1º Período)]+tblHorasJul[Horas Trabalhadas (2º Período)]</f>
        <v>0</v>
      </c>
      <c r="M35" s="4" t="str">
        <f>IF(tblHorasJul[Data]&lt;&gt;"",
        IF(
AND(VLOOKUP(TEXT(tblHorasJul[Data],"dddd"),tblDiaUtil[],3,FALSE)="Sim",IF(tblHorasJul[Evento 
(1º Período)]&lt;&gt;"",IF(VLOOKUP(tblHorasJul[Evento 
(1º Período)],tblEvento[],Tabelas!$E$1,FALSE)="Sim",FALSE,TRUE),TRUE),IF(tblHorasJul[Evento 
(2º Período)]&lt;&gt;"",IF(VLOOKUP(tblHorasJul[Evento 
(2º Período)],tblEvento[],Tabelas!$E$1,FALSE)="Sim",FALSE,TRUE),TRUE)),
              IF(VLOOKUP(tblHorasJul[Dia],tblDiaUtil[[Abreviatura]:[1º Período]],3,FALSE)&gt;0,VLOOKUP(tblHorasJul[Dia],tblDiaUtil[[Abreviatura]:[1º Período]],3,FALSE),JORNADA),
              ""),
         "")</f>
        <v/>
      </c>
      <c r="N35" s="14">
        <f>IF(OR(tblHorasJul[Horas Trabalhadas (1º Período)]&lt;&gt;0,tblHorasJul[Horas Trabalhadas (2º Período)]&lt;&gt;0),
        IF(ISNUMBER(tblHorasJul[Jornada Diária]),
              IF(tblHorasJul[Jornada Diária]&gt;(tblHorasJul[Horas Trabalhadas (2º Período)]+tblHorasJul[Horas Trabalhadas (1º Período)]),
                     IF(ROUND((tblHorasJul[Jornada Diária]-(tblHorasJul[Horas Trabalhadas (2º Período)]+tblHorasJul[Horas Trabalhadas (1º Período)])),6)&gt;ROUND(CARENCIA,6),
                           -tblHorasJul[Jornada Diária]+(tblHorasJul[Horas Trabalhadas (2º Período)]+tblHorasJul[Horas Trabalhadas (1º Período)]),
                           0),
                      IF(ROUND((tblHorasJul[Jornada Diária]-(tblHorasJul[Horas Trabalhadas (2º Período)]+tblHorasJul[Horas Trabalhadas (1º Período)])),6)&lt;ROUND(-CARENCIA,6),
                           -tblHorasJul[Jornada Diária]+(tblHorasJul[Horas Trabalhadas (2º Período)]+tblHorasJul[Horas Trabalhadas (1º Período)]),
                           0)),
              tblHorasJul[Horas Trabalhadas (2º Período)]+tblHorasJul[Horas Trabalhadas (1º Período)]),
         IF(AND(IF(ISERROR(VLOOKUP(tblHorasJul[Evento 
(1º Período)],tblEvento[[Evento]:[Libera o Período]],4,FALSE)),FALSE,IF(VLOOKUP(tblHorasJul[Evento 
(1º Período)],tblEvento[[Evento]:[Libera o Período]],4,FALSE)="Não",TRUE,FALSE)),IF(ISERROR(VLOOKUP(tblHorasJul[Evento 
(2º Período)],tblEvento[[Evento]:[Libera o Período]],4,FALSE)),FALSE,IF(VLOOKUP(tblHorasJul[Evento 
(2º Período)],tblEvento[[Evento]:[Libera o Período]],4,FALSE)="Não",TRUE,FALSE))),
-IF(VLOOKUP(tblHorasJul[Dia],tblDiaUtil[[Abreviatura]:[Total Jornada]],5,FALSE)&lt;&gt;"",VLOOKUP(tblHorasJul[Dia],tblDiaUtil[[Abreviatura]:[Total Jornada]],5,FALSE),JORNADA),
IF(IF(ISERROR(VLOOKUP(tblHorasJul[Evento 
(1º Período)],tblEvento[[Evento]:[Libera o Período]],4,FALSE)),FALSE,
IF(VLOOKUP(tblHorasJul[Evento 
(1º Período)],tblEvento[[Evento]:[Libera o Período]],4,FALSE)="Não",TRUE,FALSE)
),
-IF(VLOOKUP(tblHorasJul[Dia],tblDiaUtil[[Abreviatura]:[1º Período]],3,FALSE)&lt;&gt;"",VLOOKUP(tblHorasJul[Dia],tblDiaUtil[[Abreviatura]:[1º Período]],3,FALSE),JORNADA_PERIODO_1),
IF(IF(ISERROR(VLOOKUP(tblHorasJul[Evento 
(2º Período)],tblEvento[[Evento]:[Libera o Período]],4,FALSE)),FALSE,IF(VLOOKUP(tblHorasJul[Evento 
(2º Período)],tblEvento[[Evento]:[Libera o Período]],4,FALSE)="Não",TRUE,FALSE)),
-IF(VLOOKUP(tblHorasJul[Dia],tblDiaUtil[[Abreviatura]:[2º Período]],4,FALSE)&lt;&gt;"",VLOOKUP(tblHorasJul[Dia],tblDiaUtil[[Abreviatura]:[2º Período]],4,FALSE),JORNADA_PERIODO_2),0))))</f>
        <v>0</v>
      </c>
      <c r="O35" s="14">
        <f>IF(tblHorasJul[Horas Trabalhadas Além Jornada]&gt;0,
        IF(ISNUMBER(tblHorasJul[Jornada Diária]),
              IF(HOUR(tblHorasJul[Horas Trabalhadas Além Jornada])&gt;=VLOOKUP(LIMITE,tblLimiteHora[],Tabelas!$I$1,FALSE),
                    VLOOKUP(LIMITE,tblLimiteHora[],Tabelas!$J$1,FALSE),
                    tblHorasJul[Horas Trabalhadas Além Jornada]),
              tblHorasJul[Horas Trabalhadas Além Jornada]),
        tblHorasJul[Horas Trabalhadas Além Jornada])+O34</f>
        <v>0</v>
      </c>
      <c r="P35" s="14" t="str">
        <f>IF(tblHorasJul[Horas Trabalhadas Além Jornada]&lt;0,IF(OR(tblHorasJul[Evento 
(1º Período)]="",tblHorasJul[Evento 
(2º Período)]=""),tblHorasJul[Horas Trabalhadas Além Jornada],""),"")</f>
        <v/>
      </c>
      <c r="Q35" s="14" t="str">
        <f>IF(tblHorasJul[Jornada Diária]&lt;&gt;"",IF((N(tblHorasJul[Jornada Diária])-ABS(N(tblHorasJul[Horas Trabalhadas Além Jornada])))=0,1,""),"")</f>
        <v/>
      </c>
      <c r="R35" s="14" t="str">
        <f>IF(tblHorasJul[Horas Trabalhadas Além Jornada]&gt;0,
IF(AND(VLOOKUP(TEXT(tblHorasJul[Data],"dddd"),tblDiaUtil[],3,FALSE)="Sim",IF(tblHorasJul[Evento 
(1º Período)]&lt;&gt;"",IF(VLOOKUP(tblHorasJul[Evento 
(1º Período)],tblEvento[],Tabelas!$E$1,FALSE)="Sim",FALSE,TRUE),TRUE),IF(tblHorasJul[Evento 
(2º Período)]&lt;&gt;"",IF(VLOOKUP(tblHorasJul[Evento 
(2º Período)],tblEvento[],Tabelas!$E$1,FALSE)="Sim",FALSE,TRUE),TRUE)),
tblHorasJul[Horas Trabalhadas Além Jornada],""),"")</f>
        <v/>
      </c>
      <c r="S35" s="14" t="str">
        <f>IF(tblHorasJul[Horas Trabalhadas Além Jornada]&gt;0,
IF(OR(VLOOKUP(TEXT(tblHorasJul[Data],"dddd"),tblDiaUtil[],3,FALSE)="Não",IF(tblHorasJul[Evento 
(1º Período)]&lt;&gt;"",IF(VLOOKUP(tblHorasJul[Evento 
(1º Período)],tblEvento[],Tabelas!$E$1,FALSE)="Sim",TRUE,FALSE),FALSE),IF(tblHorasJul[Evento 
(2º Período)]&lt;&gt;"",IF(VLOOKUP(tblHorasJul[Evento 
(2º Período)],tblEvento[],Tabelas!$E$1,FALSE)="Sim",TRUE,FALSE),FALSE)),
tblHorasJul[Horas Trabalhadas Além Jornada],""),"")</f>
        <v/>
      </c>
      <c r="T35" s="15" t="str">
        <f>IF(tblHorasJul[Evento 
(1º Período)]&lt;&gt;""," - " &amp;VLOOKUP(tblHorasJul[Evento 
(1º Período)],tblEvento[],Tabelas!$F$1,FALSE),"")&amp;IF(AND(tblHorasJul[Evento 
(2º Período)]&lt;&gt;"",tblHorasJul[Evento 
(2º Período)]&lt;&gt;tblHorasJul[Evento 
(1º Período)])," - " &amp; VLOOKUP(tblHorasJul[Evento 
(2º Período)],tblEvento[],Tabelas!$F$1,FALSE),"")</f>
        <v/>
      </c>
    </row>
    <row r="36" spans="2:21" x14ac:dyDescent="0.25">
      <c r="B36" s="11" t="str">
        <f t="shared" si="0"/>
        <v/>
      </c>
      <c r="C36" s="12" t="str">
        <f>TEXT(tblHorasJul[Data],"ddd")</f>
        <v/>
      </c>
      <c r="D36" s="25"/>
      <c r="E36" s="1"/>
      <c r="F36" s="1"/>
      <c r="G36" s="1"/>
      <c r="H36" s="1"/>
      <c r="I36" s="53"/>
      <c r="J36" s="4">
        <f>IF($B$6&lt;&gt;"",
IF(AND(tblHorasJul[Evento 
(1º Período)]&lt;&gt;"",IF(ISERROR(VLOOKUP(tblHorasJul[Evento 
(1º Período)],tblEvento[],Tabelas!$D$1,FALSE)),FALSE,VLOOKUP(tblHorasJul[Evento 
(1º Período)],tblEvento[],Tabelas!$D$1,FALSE)="Sim")),
        IF(JORNADA_PERIODO_1&lt;&gt;"",
IF(VLOOKUP(tblHorasJul[Dia],tblDiaUtil[[Abreviatura]:[1º Período]],3,FALSE)&gt;0,VLOOKUP(tblHorasJul[Dia],tblDiaUtil[[Abreviatura]:[1º Período]],3,FALSE),JORNADA_PERIODO_1),
IF(VLOOKUP(tblHorasJul[Dia],tblDiaUtil[[Abreviatura]:[1º Período]],3,FALSE)&gt;0,VLOOKUP(tblHorasJul[Dia],tblDiaUtil[[Abreviatura]:[1º Período]],3,FALSE),JORNADA/2)),
        IF(AND(ISNUMBER(tblHorasJul[Saída - 1 (Almoço)]),ISNUMBER(tblHorasJul[Entrada - 1])),
              IF(OR(AND(tblHorasJul[Evento 
(1º Período)]&lt;&gt;"",IF(ISERROR(VLOOKUP(tblHorasJul[Evento 
(1º Período)],tblEvento[],Tabelas!$E$1,FALSE)),FALSE,VLOOKUP(tblHorasJul[Evento 
(1º Período)],tblEvento[],Tabelas!$E$1,FALSE)="Sim")),IF(VLOOKUP(TEXT(tblHorasJul[Data],"dddd"),tblDiaUtil[],2,FALSE)="Não",TRUE,FALSE)),
                   tblHorasJul[Saída - 1 (Almoço)]-tblHorasJul[Entrada - 1],
                   IF(OR(HOUR(tblHorasJul[Saída - 1 (Almoço)]-tblHorasJul[Entrada - 1])&gt;0,ROUND(tblHorasJul[Saída - 1 (Almoço)]-tblHorasJul[Entrada - 1],6)&gt;ROUND(CARENCIA,6)),
                          tblHorasJul[Saída - 1 (Almoço)]-tblHorasJul[Entrada - 1],
                          0)),
                    0)),0)</f>
        <v>0</v>
      </c>
      <c r="K36" s="4">
        <f>IF($B$6&lt;&gt;"",
IF(AND(tblHorasJul[Evento 
(2º Período)]&lt;&gt;"",IF(ISERROR(VLOOKUP(tblHorasJul[Evento 
(2º Período)],tblEvento[],Tabelas!$D$1,FALSE)),FALSE,VLOOKUP(tblHorasJul[Evento 
(2º Período)],tblEvento[],Tabelas!$D$1,FALSE)="Sim")),
        IF(JORNADA_PERIODO_2&lt;&gt;"",
IF(VLOOKUP(tblHorasJul[Dia],tblDiaUtil[[Abreviatura]:[2º Período]],4,FALSE)&gt;0,VLOOKUP(tblHorasJul[Dia],tblDiaUtil[[Abreviatura]:[2º Período]],4,FALSE),JORNADA_PERIODO_2),
IF(VLOOKUP(tblHorasJul[Dia],tblDiaUtil[[Abreviatura]:[2º Período]],4,FALSE)&gt;0,VLOOKUP(tblHorasJul[Dia],tblDiaUtil[[Abreviatura]:[2º Período]],4,FALSE),JORNADA/2)),
        IF(AND(ISNUMBER(tblHorasJul[Saída - 2]),ISNUMBER(tblHorasJul[Entrada - 2 (Almoço)])),
              IF(OR(AND(tblHorasJul[Evento 
(2º Período)]&lt;&gt;"",IF(ISERROR(VLOOKUP(tblHorasJul[Evento 
(2º Período)],tblEvento[],Tabelas!$E$1,FALSE)),FALSE,VLOOKUP(tblHorasJul[Evento 
(2º Período)],tblEvento[],Tabelas!$E$1,FALSE)="Sim")),IF(VLOOKUP(TEXT(tblHorasJul[Data],"dddd"),tblDiaUtil[],2,FALSE)="Não",TRUE,FALSE)),
                   tblHorasJul[Saída - 2]-tblHorasJul[Entrada - 2 (Almoço)],
                   IF(OR(HOUR(tblHorasJul[Saída - 2]-tblHorasJul[Entrada - 2 (Almoço)])&gt;0,MINUTE(tblHorasJul[Saída - 2]-tblHorasJul[Entrada - 2 (Almoço)])&gt;CARENCIA),
                         tblHorasJul[Saída - 2]-tblHorasJul[Entrada - 2 (Almoço)],
                         0)),
       0)),0)</f>
        <v>0</v>
      </c>
      <c r="L36" s="4">
        <f>tblHorasJul[Horas Trabalhadas (1º Período)]+tblHorasJul[Horas Trabalhadas (2º Período)]</f>
        <v>0</v>
      </c>
      <c r="M36" s="4" t="str">
        <f>IF(tblHorasJul[Data]&lt;&gt;"",
        IF(
AND(VLOOKUP(TEXT(tblHorasJul[Data],"dddd"),tblDiaUtil[],3,FALSE)="Sim",IF(tblHorasJul[Evento 
(1º Período)]&lt;&gt;"",IF(VLOOKUP(tblHorasJul[Evento 
(1º Período)],tblEvento[],Tabelas!$E$1,FALSE)="Sim",FALSE,TRUE),TRUE),IF(tblHorasJul[Evento 
(2º Período)]&lt;&gt;"",IF(VLOOKUP(tblHorasJul[Evento 
(2º Período)],tblEvento[],Tabelas!$E$1,FALSE)="Sim",FALSE,TRUE),TRUE)),
              IF(VLOOKUP(tblHorasJul[Dia],tblDiaUtil[[Abreviatura]:[1º Período]],3,FALSE)&gt;0,VLOOKUP(tblHorasJul[Dia],tblDiaUtil[[Abreviatura]:[1º Período]],3,FALSE),JORNADA),
              ""),
         "")</f>
        <v/>
      </c>
      <c r="N36" s="14">
        <f>IF(OR(tblHorasJul[Horas Trabalhadas (1º Período)]&lt;&gt;0,tblHorasJul[Horas Trabalhadas (2º Período)]&lt;&gt;0),
        IF(ISNUMBER(tblHorasJul[Jornada Diária]),
              IF(tblHorasJul[Jornada Diária]&gt;(tblHorasJul[Horas Trabalhadas (2º Período)]+tblHorasJul[Horas Trabalhadas (1º Período)]),
                     IF(ROUND((tblHorasJul[Jornada Diária]-(tblHorasJul[Horas Trabalhadas (2º Período)]+tblHorasJul[Horas Trabalhadas (1º Período)])),6)&gt;ROUND(CARENCIA,6),
                           -tblHorasJul[Jornada Diária]+(tblHorasJul[Horas Trabalhadas (2º Período)]+tblHorasJul[Horas Trabalhadas (1º Período)]),
                           0),
                      IF(ROUND((tblHorasJul[Jornada Diária]-(tblHorasJul[Horas Trabalhadas (2º Período)]+tblHorasJul[Horas Trabalhadas (1º Período)])),6)&lt;ROUND(-CARENCIA,6),
                           -tblHorasJul[Jornada Diária]+(tblHorasJul[Horas Trabalhadas (2º Período)]+tblHorasJul[Horas Trabalhadas (1º Período)]),
                           0)),
              tblHorasJul[Horas Trabalhadas (2º Período)]+tblHorasJul[Horas Trabalhadas (1º Período)]),
         IF(AND(IF(ISERROR(VLOOKUP(tblHorasJul[Evento 
(1º Período)],tblEvento[[Evento]:[Libera o Período]],4,FALSE)),FALSE,IF(VLOOKUP(tblHorasJul[Evento 
(1º Período)],tblEvento[[Evento]:[Libera o Período]],4,FALSE)="Não",TRUE,FALSE)),IF(ISERROR(VLOOKUP(tblHorasJul[Evento 
(2º Período)],tblEvento[[Evento]:[Libera o Período]],4,FALSE)),FALSE,IF(VLOOKUP(tblHorasJul[Evento 
(2º Período)],tblEvento[[Evento]:[Libera o Período]],4,FALSE)="Não",TRUE,FALSE))),
-IF(VLOOKUP(tblHorasJul[Dia],tblDiaUtil[[Abreviatura]:[Total Jornada]],5,FALSE)&lt;&gt;"",VLOOKUP(tblHorasJul[Dia],tblDiaUtil[[Abreviatura]:[Total Jornada]],5,FALSE),JORNADA),
IF(IF(ISERROR(VLOOKUP(tblHorasJul[Evento 
(1º Período)],tblEvento[[Evento]:[Libera o Período]],4,FALSE)),FALSE,
IF(VLOOKUP(tblHorasJul[Evento 
(1º Período)],tblEvento[[Evento]:[Libera o Período]],4,FALSE)="Não",TRUE,FALSE)
),
-IF(VLOOKUP(tblHorasJul[Dia],tblDiaUtil[[Abreviatura]:[1º Período]],3,FALSE)&lt;&gt;"",VLOOKUP(tblHorasJul[Dia],tblDiaUtil[[Abreviatura]:[1º Período]],3,FALSE),JORNADA_PERIODO_1),
IF(IF(ISERROR(VLOOKUP(tblHorasJul[Evento 
(2º Período)],tblEvento[[Evento]:[Libera o Período]],4,FALSE)),FALSE,IF(VLOOKUP(tblHorasJul[Evento 
(2º Período)],tblEvento[[Evento]:[Libera o Período]],4,FALSE)="Não",TRUE,FALSE)),
-IF(VLOOKUP(tblHorasJul[Dia],tblDiaUtil[[Abreviatura]:[2º Período]],4,FALSE)&lt;&gt;"",VLOOKUP(tblHorasJul[Dia],tblDiaUtil[[Abreviatura]:[2º Período]],4,FALSE),JORNADA_PERIODO_2),0))))</f>
        <v>0</v>
      </c>
      <c r="O36" s="14">
        <f>IF(tblHorasJul[Horas Trabalhadas Além Jornada]&gt;0,
        IF(ISNUMBER(tblHorasJul[Jornada Diária]),
              IF(HOUR(tblHorasJul[Horas Trabalhadas Além Jornada])&gt;=VLOOKUP(LIMITE,tblLimiteHora[],Tabelas!$I$1,FALSE),
                    VLOOKUP(LIMITE,tblLimiteHora[],Tabelas!$J$1,FALSE),
                    tblHorasJul[Horas Trabalhadas Além Jornada]),
              tblHorasJul[Horas Trabalhadas Além Jornada]),
        tblHorasJul[Horas Trabalhadas Além Jornada])+O35</f>
        <v>0</v>
      </c>
      <c r="P36" s="14" t="str">
        <f>IF(tblHorasJul[Horas Trabalhadas Além Jornada]&lt;0,IF(OR(tblHorasJul[Evento 
(1º Período)]="",tblHorasJul[Evento 
(2º Período)]=""),tblHorasJul[Horas Trabalhadas Além Jornada],""),"")</f>
        <v/>
      </c>
      <c r="Q36" s="14" t="str">
        <f>IF(tblHorasJul[Jornada Diária]&lt;&gt;"",IF((N(tblHorasJul[Jornada Diária])-ABS(N(tblHorasJul[Horas Trabalhadas Além Jornada])))=0,1,""),"")</f>
        <v/>
      </c>
      <c r="R36" s="14" t="str">
        <f>IF(tblHorasJul[Horas Trabalhadas Além Jornada]&gt;0,
IF(AND(VLOOKUP(TEXT(tblHorasJul[Data],"dddd"),tblDiaUtil[],3,FALSE)="Sim",IF(tblHorasJul[Evento 
(1º Período)]&lt;&gt;"",IF(VLOOKUP(tblHorasJul[Evento 
(1º Período)],tblEvento[],Tabelas!$E$1,FALSE)="Sim",FALSE,TRUE),TRUE),IF(tblHorasJul[Evento 
(2º Período)]&lt;&gt;"",IF(VLOOKUP(tblHorasJul[Evento 
(2º Período)],tblEvento[],Tabelas!$E$1,FALSE)="Sim",FALSE,TRUE),TRUE)),
tblHorasJul[Horas Trabalhadas Além Jornada],""),"")</f>
        <v/>
      </c>
      <c r="S36" s="14" t="str">
        <f>IF(tblHorasJul[Horas Trabalhadas Além Jornada]&gt;0,
IF(OR(VLOOKUP(TEXT(tblHorasJul[Data],"dddd"),tblDiaUtil[],3,FALSE)="Não",IF(tblHorasJul[Evento 
(1º Período)]&lt;&gt;"",IF(VLOOKUP(tblHorasJul[Evento 
(1º Período)],tblEvento[],Tabelas!$E$1,FALSE)="Sim",TRUE,FALSE),FALSE),IF(tblHorasJul[Evento 
(2º Período)]&lt;&gt;"",IF(VLOOKUP(tblHorasJul[Evento 
(2º Período)],tblEvento[],Tabelas!$E$1,FALSE)="Sim",TRUE,FALSE),FALSE)),
tblHorasJul[Horas Trabalhadas Além Jornada],""),"")</f>
        <v/>
      </c>
      <c r="T36" s="15" t="str">
        <f>IF(tblHorasJul[Evento 
(1º Período)]&lt;&gt;""," - " &amp;VLOOKUP(tblHorasJul[Evento 
(1º Período)],tblEvento[],Tabelas!$F$1,FALSE),"")&amp;IF(AND(tblHorasJul[Evento 
(2º Período)]&lt;&gt;"",tblHorasJul[Evento 
(2º Período)]&lt;&gt;tblHorasJul[Evento 
(1º Período)])," - " &amp; VLOOKUP(tblHorasJul[Evento 
(2º Período)],tblEvento[],Tabelas!$F$1,FALSE),"")</f>
        <v/>
      </c>
    </row>
    <row r="37" spans="2:21" x14ac:dyDescent="0.25">
      <c r="B37" s="11" t="str">
        <f t="shared" si="0"/>
        <v/>
      </c>
      <c r="C37" s="12" t="str">
        <f>TEXT(tblHorasJul[Data],"ddd")</f>
        <v/>
      </c>
      <c r="D37" s="25"/>
      <c r="E37" s="1"/>
      <c r="F37" s="1"/>
      <c r="G37" s="1"/>
      <c r="H37" s="1"/>
      <c r="I37" s="53"/>
      <c r="J37" s="4">
        <f>IF($B$6&lt;&gt;"",
IF(AND(tblHorasJul[Evento 
(1º Período)]&lt;&gt;"",IF(ISERROR(VLOOKUP(tblHorasJul[Evento 
(1º Período)],tblEvento[],Tabelas!$D$1,FALSE)),FALSE,VLOOKUP(tblHorasJul[Evento 
(1º Período)],tblEvento[],Tabelas!$D$1,FALSE)="Sim")),
        IF(JORNADA_PERIODO_1&lt;&gt;"",
IF(VLOOKUP(tblHorasJul[Dia],tblDiaUtil[[Abreviatura]:[1º Período]],3,FALSE)&gt;0,VLOOKUP(tblHorasJul[Dia],tblDiaUtil[[Abreviatura]:[1º Período]],3,FALSE),JORNADA_PERIODO_1),
IF(VLOOKUP(tblHorasJul[Dia],tblDiaUtil[[Abreviatura]:[1º Período]],3,FALSE)&gt;0,VLOOKUP(tblHorasJul[Dia],tblDiaUtil[[Abreviatura]:[1º Período]],3,FALSE),JORNADA/2)),
        IF(AND(ISNUMBER(tblHorasJul[Saída - 1 (Almoço)]),ISNUMBER(tblHorasJul[Entrada - 1])),
              IF(OR(AND(tblHorasJul[Evento 
(1º Período)]&lt;&gt;"",IF(ISERROR(VLOOKUP(tblHorasJul[Evento 
(1º Período)],tblEvento[],Tabelas!$E$1,FALSE)),FALSE,VLOOKUP(tblHorasJul[Evento 
(1º Período)],tblEvento[],Tabelas!$E$1,FALSE)="Sim")),IF(VLOOKUP(TEXT(tblHorasJul[Data],"dddd"),tblDiaUtil[],2,FALSE)="Não",TRUE,FALSE)),
                   tblHorasJul[Saída - 1 (Almoço)]-tblHorasJul[Entrada - 1],
                   IF(OR(HOUR(tblHorasJul[Saída - 1 (Almoço)]-tblHorasJul[Entrada - 1])&gt;0,ROUND(tblHorasJul[Saída - 1 (Almoço)]-tblHorasJul[Entrada - 1],6)&gt;ROUND(CARENCIA,6)),
                          tblHorasJul[Saída - 1 (Almoço)]-tblHorasJul[Entrada - 1],
                          0)),
                    0)),0)</f>
        <v>0</v>
      </c>
      <c r="K37" s="4">
        <f>IF($B$6&lt;&gt;"",
IF(AND(tblHorasJul[Evento 
(2º Período)]&lt;&gt;"",IF(ISERROR(VLOOKUP(tblHorasJul[Evento 
(2º Período)],tblEvento[],Tabelas!$D$1,FALSE)),FALSE,VLOOKUP(tblHorasJul[Evento 
(2º Período)],tblEvento[],Tabelas!$D$1,FALSE)="Sim")),
        IF(JORNADA_PERIODO_2&lt;&gt;"",
IF(VLOOKUP(tblHorasJul[Dia],tblDiaUtil[[Abreviatura]:[2º Período]],4,FALSE)&gt;0,VLOOKUP(tblHorasJul[Dia],tblDiaUtil[[Abreviatura]:[2º Período]],4,FALSE),JORNADA_PERIODO_2),
IF(VLOOKUP(tblHorasJul[Dia],tblDiaUtil[[Abreviatura]:[2º Período]],4,FALSE)&gt;0,VLOOKUP(tblHorasJul[Dia],tblDiaUtil[[Abreviatura]:[2º Período]],4,FALSE),JORNADA/2)),
        IF(AND(ISNUMBER(tblHorasJul[Saída - 2]),ISNUMBER(tblHorasJul[Entrada - 2 (Almoço)])),
              IF(OR(AND(tblHorasJul[Evento 
(2º Período)]&lt;&gt;"",IF(ISERROR(VLOOKUP(tblHorasJul[Evento 
(2º Período)],tblEvento[],Tabelas!$E$1,FALSE)),FALSE,VLOOKUP(tblHorasJul[Evento 
(2º Período)],tblEvento[],Tabelas!$E$1,FALSE)="Sim")),IF(VLOOKUP(TEXT(tblHorasJul[Data],"dddd"),tblDiaUtil[],2,FALSE)="Não",TRUE,FALSE)),
                   tblHorasJul[Saída - 2]-tblHorasJul[Entrada - 2 (Almoço)],
                   IF(OR(HOUR(tblHorasJul[Saída - 2]-tblHorasJul[Entrada - 2 (Almoço)])&gt;0,MINUTE(tblHorasJul[Saída - 2]-tblHorasJul[Entrada - 2 (Almoço)])&gt;CARENCIA),
                         tblHorasJul[Saída - 2]-tblHorasJul[Entrada - 2 (Almoço)],
                         0)),
       0)),0)</f>
        <v>0</v>
      </c>
      <c r="L37" s="4">
        <f>tblHorasJul[Horas Trabalhadas (1º Período)]+tblHorasJul[Horas Trabalhadas (2º Período)]</f>
        <v>0</v>
      </c>
      <c r="M37" s="4" t="str">
        <f>IF(tblHorasJul[Data]&lt;&gt;"",
        IF(
AND(VLOOKUP(TEXT(tblHorasJul[Data],"dddd"),tblDiaUtil[],3,FALSE)="Sim",IF(tblHorasJul[Evento 
(1º Período)]&lt;&gt;"",IF(VLOOKUP(tblHorasJul[Evento 
(1º Período)],tblEvento[],Tabelas!$E$1,FALSE)="Sim",FALSE,TRUE),TRUE),IF(tblHorasJul[Evento 
(2º Período)]&lt;&gt;"",IF(VLOOKUP(tblHorasJul[Evento 
(2º Período)],tblEvento[],Tabelas!$E$1,FALSE)="Sim",FALSE,TRUE),TRUE)),
              IF(VLOOKUP(tblHorasJul[Dia],tblDiaUtil[[Abreviatura]:[1º Período]],3,FALSE)&gt;0,VLOOKUP(tblHorasJul[Dia],tblDiaUtil[[Abreviatura]:[1º Período]],3,FALSE),JORNADA),
              ""),
         "")</f>
        <v/>
      </c>
      <c r="N37" s="14">
        <f>IF(OR(tblHorasJul[Horas Trabalhadas (1º Período)]&lt;&gt;0,tblHorasJul[Horas Trabalhadas (2º Período)]&lt;&gt;0),
        IF(ISNUMBER(tblHorasJul[Jornada Diária]),
              IF(tblHorasJul[Jornada Diária]&gt;(tblHorasJul[Horas Trabalhadas (2º Período)]+tblHorasJul[Horas Trabalhadas (1º Período)]),
                     IF(ROUND((tblHorasJul[Jornada Diária]-(tblHorasJul[Horas Trabalhadas (2º Período)]+tblHorasJul[Horas Trabalhadas (1º Período)])),6)&gt;ROUND(CARENCIA,6),
                           -tblHorasJul[Jornada Diária]+(tblHorasJul[Horas Trabalhadas (2º Período)]+tblHorasJul[Horas Trabalhadas (1º Período)]),
                           0),
                      IF(ROUND((tblHorasJul[Jornada Diária]-(tblHorasJul[Horas Trabalhadas (2º Período)]+tblHorasJul[Horas Trabalhadas (1º Período)])),6)&lt;ROUND(-CARENCIA,6),
                           -tblHorasJul[Jornada Diária]+(tblHorasJul[Horas Trabalhadas (2º Período)]+tblHorasJul[Horas Trabalhadas (1º Período)]),
                           0)),
              tblHorasJul[Horas Trabalhadas (2º Período)]+tblHorasJul[Horas Trabalhadas (1º Período)]),
         IF(AND(IF(ISERROR(VLOOKUP(tblHorasJul[Evento 
(1º Período)],tblEvento[[Evento]:[Libera o Período]],4,FALSE)),FALSE,IF(VLOOKUP(tblHorasJul[Evento 
(1º Período)],tblEvento[[Evento]:[Libera o Período]],4,FALSE)="Não",TRUE,FALSE)),IF(ISERROR(VLOOKUP(tblHorasJul[Evento 
(2º Período)],tblEvento[[Evento]:[Libera o Período]],4,FALSE)),FALSE,IF(VLOOKUP(tblHorasJul[Evento 
(2º Período)],tblEvento[[Evento]:[Libera o Período]],4,FALSE)="Não",TRUE,FALSE))),
-IF(VLOOKUP(tblHorasJul[Dia],tblDiaUtil[[Abreviatura]:[Total Jornada]],5,FALSE)&lt;&gt;"",VLOOKUP(tblHorasJul[Dia],tblDiaUtil[[Abreviatura]:[Total Jornada]],5,FALSE),JORNADA),
IF(IF(ISERROR(VLOOKUP(tblHorasJul[Evento 
(1º Período)],tblEvento[[Evento]:[Libera o Período]],4,FALSE)),FALSE,
IF(VLOOKUP(tblHorasJul[Evento 
(1º Período)],tblEvento[[Evento]:[Libera o Período]],4,FALSE)="Não",TRUE,FALSE)
),
-IF(VLOOKUP(tblHorasJul[Dia],tblDiaUtil[[Abreviatura]:[1º Período]],3,FALSE)&lt;&gt;"",VLOOKUP(tblHorasJul[Dia],tblDiaUtil[[Abreviatura]:[1º Período]],3,FALSE),JORNADA_PERIODO_1),
IF(IF(ISERROR(VLOOKUP(tblHorasJul[Evento 
(2º Período)],tblEvento[[Evento]:[Libera o Período]],4,FALSE)),FALSE,IF(VLOOKUP(tblHorasJul[Evento 
(2º Período)],tblEvento[[Evento]:[Libera o Período]],4,FALSE)="Não",TRUE,FALSE)),
-IF(VLOOKUP(tblHorasJul[Dia],tblDiaUtil[[Abreviatura]:[2º Período]],4,FALSE)&lt;&gt;"",VLOOKUP(tblHorasJul[Dia],tblDiaUtil[[Abreviatura]:[2º Período]],4,FALSE),JORNADA_PERIODO_2),0))))</f>
        <v>0</v>
      </c>
      <c r="O37" s="14">
        <f>IF(tblHorasJul[Horas Trabalhadas Além Jornada]&gt;0,
        IF(ISNUMBER(tblHorasJul[Jornada Diária]),
              IF(HOUR(tblHorasJul[Horas Trabalhadas Além Jornada])&gt;=VLOOKUP(LIMITE,tblLimiteHora[],Tabelas!$I$1,FALSE),
                    VLOOKUP(LIMITE,tblLimiteHora[],Tabelas!$J$1,FALSE),
                    tblHorasJul[Horas Trabalhadas Além Jornada]),
              tblHorasJul[Horas Trabalhadas Além Jornada]),
        tblHorasJul[Horas Trabalhadas Além Jornada])+O36</f>
        <v>0</v>
      </c>
      <c r="P37" s="14" t="str">
        <f>IF(tblHorasJul[Horas Trabalhadas Além Jornada]&lt;0,IF(OR(tblHorasJul[Evento 
(1º Período)]="",tblHorasJul[Evento 
(2º Período)]=""),tblHorasJul[Horas Trabalhadas Além Jornada],""),"")</f>
        <v/>
      </c>
      <c r="Q37" s="14" t="str">
        <f>IF(tblHorasJul[Jornada Diária]&lt;&gt;"",IF((N(tblHorasJul[Jornada Diária])-ABS(N(tblHorasJul[Horas Trabalhadas Além Jornada])))=0,1,""),"")</f>
        <v/>
      </c>
      <c r="R37" s="14" t="str">
        <f>IF(tblHorasJul[Horas Trabalhadas Além Jornada]&gt;0,
IF(AND(VLOOKUP(TEXT(tblHorasJul[Data],"dddd"),tblDiaUtil[],3,FALSE)="Sim",IF(tblHorasJul[Evento 
(1º Período)]&lt;&gt;"",IF(VLOOKUP(tblHorasJul[Evento 
(1º Período)],tblEvento[],Tabelas!$E$1,FALSE)="Sim",FALSE,TRUE),TRUE),IF(tblHorasJul[Evento 
(2º Período)]&lt;&gt;"",IF(VLOOKUP(tblHorasJul[Evento 
(2º Período)],tblEvento[],Tabelas!$E$1,FALSE)="Sim",FALSE,TRUE),TRUE)),
tblHorasJul[Horas Trabalhadas Além Jornada],""),"")</f>
        <v/>
      </c>
      <c r="S37" s="14" t="str">
        <f>IF(tblHorasJul[Horas Trabalhadas Além Jornada]&gt;0,
IF(OR(VLOOKUP(TEXT(tblHorasJul[Data],"dddd"),tblDiaUtil[],3,FALSE)="Não",IF(tblHorasJul[Evento 
(1º Período)]&lt;&gt;"",IF(VLOOKUP(tblHorasJul[Evento 
(1º Período)],tblEvento[],Tabelas!$E$1,FALSE)="Sim",TRUE,FALSE),FALSE),IF(tblHorasJul[Evento 
(2º Período)]&lt;&gt;"",IF(VLOOKUP(tblHorasJul[Evento 
(2º Período)],tblEvento[],Tabelas!$E$1,FALSE)="Sim",TRUE,FALSE),FALSE)),
tblHorasJul[Horas Trabalhadas Além Jornada],""),"")</f>
        <v/>
      </c>
      <c r="T37" s="15" t="str">
        <f>IF(tblHorasJul[Evento 
(1º Período)]&lt;&gt;""," - " &amp;VLOOKUP(tblHorasJul[Evento 
(1º Período)],tblEvento[],Tabelas!$F$1,FALSE),"")&amp;IF(AND(tblHorasJul[Evento 
(2º Período)]&lt;&gt;"",tblHorasJul[Evento 
(2º Período)]&lt;&gt;tblHorasJul[Evento 
(1º Período)])," - " &amp; VLOOKUP(tblHorasJul[Evento 
(2º Período)],tblEvento[],Tabelas!$F$1,FALSE),"")</f>
        <v/>
      </c>
    </row>
    <row r="38" spans="2:21" x14ac:dyDescent="0.25">
      <c r="B38" s="11" t="str">
        <f t="shared" si="0"/>
        <v/>
      </c>
      <c r="C38" s="12" t="str">
        <f>TEXT(tblHorasJul[Data],"ddd")</f>
        <v/>
      </c>
      <c r="D38" s="25"/>
      <c r="E38" s="1"/>
      <c r="F38" s="1"/>
      <c r="G38" s="1"/>
      <c r="H38" s="1"/>
      <c r="I38" s="53"/>
      <c r="J38" s="4">
        <f>IF($B$6&lt;&gt;"",
IF(AND(tblHorasJul[Evento 
(1º Período)]&lt;&gt;"",IF(ISERROR(VLOOKUP(tblHorasJul[Evento 
(1º Período)],tblEvento[],Tabelas!$D$1,FALSE)),FALSE,VLOOKUP(tblHorasJul[Evento 
(1º Período)],tblEvento[],Tabelas!$D$1,FALSE)="Sim")),
        IF(JORNADA_PERIODO_1&lt;&gt;"",
IF(VLOOKUP(tblHorasJul[Dia],tblDiaUtil[[Abreviatura]:[1º Período]],3,FALSE)&gt;0,VLOOKUP(tblHorasJul[Dia],tblDiaUtil[[Abreviatura]:[1º Período]],3,FALSE),JORNADA_PERIODO_1),
IF(VLOOKUP(tblHorasJul[Dia],tblDiaUtil[[Abreviatura]:[1º Período]],3,FALSE)&gt;0,VLOOKUP(tblHorasJul[Dia],tblDiaUtil[[Abreviatura]:[1º Período]],3,FALSE),JORNADA/2)),
        IF(AND(ISNUMBER(tblHorasJul[Saída - 1 (Almoço)]),ISNUMBER(tblHorasJul[Entrada - 1])),
              IF(OR(AND(tblHorasJul[Evento 
(1º Período)]&lt;&gt;"",IF(ISERROR(VLOOKUP(tblHorasJul[Evento 
(1º Período)],tblEvento[],Tabelas!$E$1,FALSE)),FALSE,VLOOKUP(tblHorasJul[Evento 
(1º Período)],tblEvento[],Tabelas!$E$1,FALSE)="Sim")),IF(VLOOKUP(TEXT(tblHorasJul[Data],"dddd"),tblDiaUtil[],2,FALSE)="Não",TRUE,FALSE)),
                   tblHorasJul[Saída - 1 (Almoço)]-tblHorasJul[Entrada - 1],
                   IF(OR(HOUR(tblHorasJul[Saída - 1 (Almoço)]-tblHorasJul[Entrada - 1])&gt;0,ROUND(tblHorasJul[Saída - 1 (Almoço)]-tblHorasJul[Entrada - 1],6)&gt;ROUND(CARENCIA,6)),
                          tblHorasJul[Saída - 1 (Almoço)]-tblHorasJul[Entrada - 1],
                          0)),
                    0)),0)</f>
        <v>0</v>
      </c>
      <c r="K38" s="4">
        <f>IF($B$6&lt;&gt;"",
IF(AND(tblHorasJul[Evento 
(2º Período)]&lt;&gt;"",IF(ISERROR(VLOOKUP(tblHorasJul[Evento 
(2º Período)],tblEvento[],Tabelas!$D$1,FALSE)),FALSE,VLOOKUP(tblHorasJul[Evento 
(2º Período)],tblEvento[],Tabelas!$D$1,FALSE)="Sim")),
        IF(JORNADA_PERIODO_2&lt;&gt;"",
IF(VLOOKUP(tblHorasJul[Dia],tblDiaUtil[[Abreviatura]:[2º Período]],4,FALSE)&gt;0,VLOOKUP(tblHorasJul[Dia],tblDiaUtil[[Abreviatura]:[2º Período]],4,FALSE),JORNADA_PERIODO_2),
IF(VLOOKUP(tblHorasJul[Dia],tblDiaUtil[[Abreviatura]:[2º Período]],4,FALSE)&gt;0,VLOOKUP(tblHorasJul[Dia],tblDiaUtil[[Abreviatura]:[2º Período]],4,FALSE),JORNADA/2)),
        IF(AND(ISNUMBER(tblHorasJul[Saída - 2]),ISNUMBER(tblHorasJul[Entrada - 2 (Almoço)])),
              IF(OR(AND(tblHorasJul[Evento 
(2º Período)]&lt;&gt;"",IF(ISERROR(VLOOKUP(tblHorasJul[Evento 
(2º Período)],tblEvento[],Tabelas!$E$1,FALSE)),FALSE,VLOOKUP(tblHorasJul[Evento 
(2º Período)],tblEvento[],Tabelas!$E$1,FALSE)="Sim")),IF(VLOOKUP(TEXT(tblHorasJul[Data],"dddd"),tblDiaUtil[],2,FALSE)="Não",TRUE,FALSE)),
                   tblHorasJul[Saída - 2]-tblHorasJul[Entrada - 2 (Almoço)],
                   IF(OR(HOUR(tblHorasJul[Saída - 2]-tblHorasJul[Entrada - 2 (Almoço)])&gt;0,MINUTE(tblHorasJul[Saída - 2]-tblHorasJul[Entrada - 2 (Almoço)])&gt;CARENCIA),
                         tblHorasJul[Saída - 2]-tblHorasJul[Entrada - 2 (Almoço)],
                         0)),
       0)),0)</f>
        <v>0</v>
      </c>
      <c r="L38" s="4">
        <f>tblHorasJul[Horas Trabalhadas (1º Período)]+tblHorasJul[Horas Trabalhadas (2º Período)]</f>
        <v>0</v>
      </c>
      <c r="M38" s="4" t="str">
        <f>IF(tblHorasJul[Data]&lt;&gt;"",
        IF(
AND(VLOOKUP(TEXT(tblHorasJul[Data],"dddd"),tblDiaUtil[],3,FALSE)="Sim",IF(tblHorasJul[Evento 
(1º Período)]&lt;&gt;"",IF(VLOOKUP(tblHorasJul[Evento 
(1º Período)],tblEvento[],Tabelas!$E$1,FALSE)="Sim",FALSE,TRUE),TRUE),IF(tblHorasJul[Evento 
(2º Período)]&lt;&gt;"",IF(VLOOKUP(tblHorasJul[Evento 
(2º Período)],tblEvento[],Tabelas!$E$1,FALSE)="Sim",FALSE,TRUE),TRUE)),
              IF(VLOOKUP(tblHorasJul[Dia],tblDiaUtil[[Abreviatura]:[1º Período]],3,FALSE)&gt;0,VLOOKUP(tblHorasJul[Dia],tblDiaUtil[[Abreviatura]:[1º Período]],3,FALSE),JORNADA),
              ""),
         "")</f>
        <v/>
      </c>
      <c r="N38" s="14">
        <f>IF(OR(tblHorasJul[Horas Trabalhadas (1º Período)]&lt;&gt;0,tblHorasJul[Horas Trabalhadas (2º Período)]&lt;&gt;0),
        IF(ISNUMBER(tblHorasJul[Jornada Diária]),
              IF(tblHorasJul[Jornada Diária]&gt;(tblHorasJul[Horas Trabalhadas (2º Período)]+tblHorasJul[Horas Trabalhadas (1º Período)]),
                     IF(ROUND((tblHorasJul[Jornada Diária]-(tblHorasJul[Horas Trabalhadas (2º Período)]+tblHorasJul[Horas Trabalhadas (1º Período)])),6)&gt;ROUND(CARENCIA,6),
                           -tblHorasJul[Jornada Diária]+(tblHorasJul[Horas Trabalhadas (2º Período)]+tblHorasJul[Horas Trabalhadas (1º Período)]),
                           0),
                      IF(ROUND((tblHorasJul[Jornada Diária]-(tblHorasJul[Horas Trabalhadas (2º Período)]+tblHorasJul[Horas Trabalhadas (1º Período)])),6)&lt;ROUND(-CARENCIA,6),
                           -tblHorasJul[Jornada Diária]+(tblHorasJul[Horas Trabalhadas (2º Período)]+tblHorasJul[Horas Trabalhadas (1º Período)]),
                           0)),
              tblHorasJul[Horas Trabalhadas (2º Período)]+tblHorasJul[Horas Trabalhadas (1º Período)]),
         IF(AND(IF(ISERROR(VLOOKUP(tblHorasJul[Evento 
(1º Período)],tblEvento[[Evento]:[Libera o Período]],4,FALSE)),FALSE,IF(VLOOKUP(tblHorasJul[Evento 
(1º Período)],tblEvento[[Evento]:[Libera o Período]],4,FALSE)="Não",TRUE,FALSE)),IF(ISERROR(VLOOKUP(tblHorasJul[Evento 
(2º Período)],tblEvento[[Evento]:[Libera o Período]],4,FALSE)),FALSE,IF(VLOOKUP(tblHorasJul[Evento 
(2º Período)],tblEvento[[Evento]:[Libera o Período]],4,FALSE)="Não",TRUE,FALSE))),
-IF(VLOOKUP(tblHorasJul[Dia],tblDiaUtil[[Abreviatura]:[Total Jornada]],5,FALSE)&lt;&gt;"",VLOOKUP(tblHorasJul[Dia],tblDiaUtil[[Abreviatura]:[Total Jornada]],5,FALSE),JORNADA),
IF(IF(ISERROR(VLOOKUP(tblHorasJul[Evento 
(1º Período)],tblEvento[[Evento]:[Libera o Período]],4,FALSE)),FALSE,
IF(VLOOKUP(tblHorasJul[Evento 
(1º Período)],tblEvento[[Evento]:[Libera o Período]],4,FALSE)="Não",TRUE,FALSE)
),
-IF(VLOOKUP(tblHorasJul[Dia],tblDiaUtil[[Abreviatura]:[1º Período]],3,FALSE)&lt;&gt;"",VLOOKUP(tblHorasJul[Dia],tblDiaUtil[[Abreviatura]:[1º Período]],3,FALSE),JORNADA_PERIODO_1),
IF(IF(ISERROR(VLOOKUP(tblHorasJul[Evento 
(2º Período)],tblEvento[[Evento]:[Libera o Período]],4,FALSE)),FALSE,IF(VLOOKUP(tblHorasJul[Evento 
(2º Período)],tblEvento[[Evento]:[Libera o Período]],4,FALSE)="Não",TRUE,FALSE)),
-IF(VLOOKUP(tblHorasJul[Dia],tblDiaUtil[[Abreviatura]:[2º Período]],4,FALSE)&lt;&gt;"",VLOOKUP(tblHorasJul[Dia],tblDiaUtil[[Abreviatura]:[2º Período]],4,FALSE),JORNADA_PERIODO_2),0))))</f>
        <v>0</v>
      </c>
      <c r="O38" s="14">
        <f>IF(tblHorasJul[Horas Trabalhadas Além Jornada]&gt;0,
        IF(ISNUMBER(tblHorasJul[Jornada Diária]),
              IF(HOUR(tblHorasJul[Horas Trabalhadas Além Jornada])&gt;=VLOOKUP(LIMITE,tblLimiteHora[],Tabelas!$I$1,FALSE),
                    VLOOKUP(LIMITE,tblLimiteHora[],Tabelas!$J$1,FALSE),
                    tblHorasJul[Horas Trabalhadas Além Jornada]),
              tblHorasJul[Horas Trabalhadas Além Jornada]),
        tblHorasJul[Horas Trabalhadas Além Jornada])+O37</f>
        <v>0</v>
      </c>
      <c r="P38" s="14" t="str">
        <f>IF(tblHorasJul[Horas Trabalhadas Além Jornada]&lt;0,IF(OR(tblHorasJul[Evento 
(1º Período)]="",tblHorasJul[Evento 
(2º Período)]=""),tblHorasJul[Horas Trabalhadas Além Jornada],""),"")</f>
        <v/>
      </c>
      <c r="Q38" s="14" t="str">
        <f>IF(tblHorasJul[Jornada Diária]&lt;&gt;"",IF((N(tblHorasJul[Jornada Diária])-ABS(N(tblHorasJul[Horas Trabalhadas Além Jornada])))=0,1,""),"")</f>
        <v/>
      </c>
      <c r="R38" s="14" t="str">
        <f>IF(tblHorasJul[Horas Trabalhadas Além Jornada]&gt;0,
IF(AND(VLOOKUP(TEXT(tblHorasJul[Data],"dddd"),tblDiaUtil[],3,FALSE)="Sim",IF(tblHorasJul[Evento 
(1º Período)]&lt;&gt;"",IF(VLOOKUP(tblHorasJul[Evento 
(1º Período)],tblEvento[],Tabelas!$E$1,FALSE)="Sim",FALSE,TRUE),TRUE),IF(tblHorasJul[Evento 
(2º Período)]&lt;&gt;"",IF(VLOOKUP(tblHorasJul[Evento 
(2º Período)],tblEvento[],Tabelas!$E$1,FALSE)="Sim",FALSE,TRUE),TRUE)),
tblHorasJul[Horas Trabalhadas Além Jornada],""),"")</f>
        <v/>
      </c>
      <c r="S38" s="14" t="str">
        <f>IF(tblHorasJul[Horas Trabalhadas Além Jornada]&gt;0,
IF(OR(VLOOKUP(TEXT(tblHorasJul[Data],"dddd"),tblDiaUtil[],3,FALSE)="Não",IF(tblHorasJul[Evento 
(1º Período)]&lt;&gt;"",IF(VLOOKUP(tblHorasJul[Evento 
(1º Período)],tblEvento[],Tabelas!$E$1,FALSE)="Sim",TRUE,FALSE),FALSE),IF(tblHorasJul[Evento 
(2º Período)]&lt;&gt;"",IF(VLOOKUP(tblHorasJul[Evento 
(2º Período)],tblEvento[],Tabelas!$E$1,FALSE)="Sim",TRUE,FALSE),FALSE)),
tblHorasJul[Horas Trabalhadas Além Jornada],""),"")</f>
        <v/>
      </c>
      <c r="T38" s="15" t="str">
        <f>IF(tblHorasJul[Evento 
(1º Período)]&lt;&gt;""," - " &amp;VLOOKUP(tblHorasJul[Evento 
(1º Período)],tblEvento[],Tabelas!$F$1,FALSE),"")&amp;IF(AND(tblHorasJul[Evento 
(2º Período)]&lt;&gt;"",tblHorasJul[Evento 
(2º Período)]&lt;&gt;tblHorasJul[Evento 
(1º Período)])," - " &amp; VLOOKUP(tblHorasJul[Evento 
(2º Período)],tblEvento[],Tabelas!$F$1,FALSE),"")</f>
        <v/>
      </c>
    </row>
    <row r="39" spans="2:21" x14ac:dyDescent="0.25">
      <c r="B39" s="11" t="str">
        <f t="shared" si="0"/>
        <v/>
      </c>
      <c r="C39" s="12" t="str">
        <f>TEXT(tblHorasJul[Data],"ddd")</f>
        <v/>
      </c>
      <c r="D39" s="25"/>
      <c r="E39" s="1"/>
      <c r="F39" s="1"/>
      <c r="G39" s="1"/>
      <c r="H39" s="1"/>
      <c r="I39" s="53"/>
      <c r="J39" s="4">
        <f>IF($B$6&lt;&gt;"",
IF(AND(tblHorasJul[Evento 
(1º Período)]&lt;&gt;"",IF(ISERROR(VLOOKUP(tblHorasJul[Evento 
(1º Período)],tblEvento[],Tabelas!$D$1,FALSE)),FALSE,VLOOKUP(tblHorasJul[Evento 
(1º Período)],tblEvento[],Tabelas!$D$1,FALSE)="Sim")),
        IF(JORNADA_PERIODO_1&lt;&gt;"",
IF(VLOOKUP(tblHorasJul[Dia],tblDiaUtil[[Abreviatura]:[1º Período]],3,FALSE)&gt;0,VLOOKUP(tblHorasJul[Dia],tblDiaUtil[[Abreviatura]:[1º Período]],3,FALSE),JORNADA_PERIODO_1),
IF(VLOOKUP(tblHorasJul[Dia],tblDiaUtil[[Abreviatura]:[1º Período]],3,FALSE)&gt;0,VLOOKUP(tblHorasJul[Dia],tblDiaUtil[[Abreviatura]:[1º Período]],3,FALSE),JORNADA/2)),
        IF(AND(ISNUMBER(tblHorasJul[Saída - 1 (Almoço)]),ISNUMBER(tblHorasJul[Entrada - 1])),
              IF(OR(AND(tblHorasJul[Evento 
(1º Período)]&lt;&gt;"",IF(ISERROR(VLOOKUP(tblHorasJul[Evento 
(1º Período)],tblEvento[],Tabelas!$E$1,FALSE)),FALSE,VLOOKUP(tblHorasJul[Evento 
(1º Período)],tblEvento[],Tabelas!$E$1,FALSE)="Sim")),IF(VLOOKUP(TEXT(tblHorasJul[Data],"dddd"),tblDiaUtil[],2,FALSE)="Não",TRUE,FALSE)),
                   tblHorasJul[Saída - 1 (Almoço)]-tblHorasJul[Entrada - 1],
                   IF(OR(HOUR(tblHorasJul[Saída - 1 (Almoço)]-tblHorasJul[Entrada - 1])&gt;0,ROUND(tblHorasJul[Saída - 1 (Almoço)]-tblHorasJul[Entrada - 1],6)&gt;ROUND(CARENCIA,6)),
                          tblHorasJul[Saída - 1 (Almoço)]-tblHorasJul[Entrada - 1],
                          0)),
                    0)),0)</f>
        <v>0</v>
      </c>
      <c r="K39" s="4">
        <f>IF($B$6&lt;&gt;"",
IF(AND(tblHorasJul[Evento 
(2º Período)]&lt;&gt;"",IF(ISERROR(VLOOKUP(tblHorasJul[Evento 
(2º Período)],tblEvento[],Tabelas!$D$1,FALSE)),FALSE,VLOOKUP(tblHorasJul[Evento 
(2º Período)],tblEvento[],Tabelas!$D$1,FALSE)="Sim")),
        IF(JORNADA_PERIODO_2&lt;&gt;"",
IF(VLOOKUP(tblHorasJul[Dia],tblDiaUtil[[Abreviatura]:[2º Período]],4,FALSE)&gt;0,VLOOKUP(tblHorasJul[Dia],tblDiaUtil[[Abreviatura]:[2º Período]],4,FALSE),JORNADA_PERIODO_2),
IF(VLOOKUP(tblHorasJul[Dia],tblDiaUtil[[Abreviatura]:[2º Período]],4,FALSE)&gt;0,VLOOKUP(tblHorasJul[Dia],tblDiaUtil[[Abreviatura]:[2º Período]],4,FALSE),JORNADA/2)),
        IF(AND(ISNUMBER(tblHorasJul[Saída - 2]),ISNUMBER(tblHorasJul[Entrada - 2 (Almoço)])),
              IF(OR(AND(tblHorasJul[Evento 
(2º Período)]&lt;&gt;"",IF(ISERROR(VLOOKUP(tblHorasJul[Evento 
(2º Período)],tblEvento[],Tabelas!$E$1,FALSE)),FALSE,VLOOKUP(tblHorasJul[Evento 
(2º Período)],tblEvento[],Tabelas!$E$1,FALSE)="Sim")),IF(VLOOKUP(TEXT(tblHorasJul[Data],"dddd"),tblDiaUtil[],2,FALSE)="Não",TRUE,FALSE)),
                   tblHorasJul[Saída - 2]-tblHorasJul[Entrada - 2 (Almoço)],
                   IF(OR(HOUR(tblHorasJul[Saída - 2]-tblHorasJul[Entrada - 2 (Almoço)])&gt;0,MINUTE(tblHorasJul[Saída - 2]-tblHorasJul[Entrada - 2 (Almoço)])&gt;CARENCIA),
                         tblHorasJul[Saída - 2]-tblHorasJul[Entrada - 2 (Almoço)],
                         0)),
       0)),0)</f>
        <v>0</v>
      </c>
      <c r="L39" s="4">
        <f>tblHorasJul[Horas Trabalhadas (1º Período)]+tblHorasJul[Horas Trabalhadas (2º Período)]</f>
        <v>0</v>
      </c>
      <c r="M39" s="4" t="str">
        <f>IF(tblHorasJul[Data]&lt;&gt;"",
        IF(
AND(VLOOKUP(TEXT(tblHorasJul[Data],"dddd"),tblDiaUtil[],3,FALSE)="Sim",IF(tblHorasJul[Evento 
(1º Período)]&lt;&gt;"",IF(VLOOKUP(tblHorasJul[Evento 
(1º Período)],tblEvento[],Tabelas!$E$1,FALSE)="Sim",FALSE,TRUE),TRUE),IF(tblHorasJul[Evento 
(2º Período)]&lt;&gt;"",IF(VLOOKUP(tblHorasJul[Evento 
(2º Período)],tblEvento[],Tabelas!$E$1,FALSE)="Sim",FALSE,TRUE),TRUE)),
              IF(VLOOKUP(tblHorasJul[Dia],tblDiaUtil[[Abreviatura]:[1º Período]],3,FALSE)&gt;0,VLOOKUP(tblHorasJul[Dia],tblDiaUtil[[Abreviatura]:[1º Período]],3,FALSE),JORNADA),
              ""),
         "")</f>
        <v/>
      </c>
      <c r="N39" s="14">
        <f>IF(OR(tblHorasJul[Horas Trabalhadas (1º Período)]&lt;&gt;0,tblHorasJul[Horas Trabalhadas (2º Período)]&lt;&gt;0),
        IF(ISNUMBER(tblHorasJul[Jornada Diária]),
              IF(tblHorasJul[Jornada Diária]&gt;(tblHorasJul[Horas Trabalhadas (2º Período)]+tblHorasJul[Horas Trabalhadas (1º Período)]),
                     IF(ROUND((tblHorasJul[Jornada Diária]-(tblHorasJul[Horas Trabalhadas (2º Período)]+tblHorasJul[Horas Trabalhadas (1º Período)])),6)&gt;ROUND(CARENCIA,6),
                           -tblHorasJul[Jornada Diária]+(tblHorasJul[Horas Trabalhadas (2º Período)]+tblHorasJul[Horas Trabalhadas (1º Período)]),
                           0),
                      IF(ROUND((tblHorasJul[Jornada Diária]-(tblHorasJul[Horas Trabalhadas (2º Período)]+tblHorasJul[Horas Trabalhadas (1º Período)])),6)&lt;ROUND(-CARENCIA,6),
                           -tblHorasJul[Jornada Diária]+(tblHorasJul[Horas Trabalhadas (2º Período)]+tblHorasJul[Horas Trabalhadas (1º Período)]),
                           0)),
              tblHorasJul[Horas Trabalhadas (2º Período)]+tblHorasJul[Horas Trabalhadas (1º Período)]),
         IF(AND(IF(ISERROR(VLOOKUP(tblHorasJul[Evento 
(1º Período)],tblEvento[[Evento]:[Libera o Período]],4,FALSE)),FALSE,IF(VLOOKUP(tblHorasJul[Evento 
(1º Período)],tblEvento[[Evento]:[Libera o Período]],4,FALSE)="Não",TRUE,FALSE)),IF(ISERROR(VLOOKUP(tblHorasJul[Evento 
(2º Período)],tblEvento[[Evento]:[Libera o Período]],4,FALSE)),FALSE,IF(VLOOKUP(tblHorasJul[Evento 
(2º Período)],tblEvento[[Evento]:[Libera o Período]],4,FALSE)="Não",TRUE,FALSE))),
-IF(VLOOKUP(tblHorasJul[Dia],tblDiaUtil[[Abreviatura]:[Total Jornada]],5,FALSE)&lt;&gt;"",VLOOKUP(tblHorasJul[Dia],tblDiaUtil[[Abreviatura]:[Total Jornada]],5,FALSE),JORNADA),
IF(IF(ISERROR(VLOOKUP(tblHorasJul[Evento 
(1º Período)],tblEvento[[Evento]:[Libera o Período]],4,FALSE)),FALSE,
IF(VLOOKUP(tblHorasJul[Evento 
(1º Período)],tblEvento[[Evento]:[Libera o Período]],4,FALSE)="Não",TRUE,FALSE)
),
-IF(VLOOKUP(tblHorasJul[Dia],tblDiaUtil[[Abreviatura]:[1º Período]],3,FALSE)&lt;&gt;"",VLOOKUP(tblHorasJul[Dia],tblDiaUtil[[Abreviatura]:[1º Período]],3,FALSE),JORNADA_PERIODO_1),
IF(IF(ISERROR(VLOOKUP(tblHorasJul[Evento 
(2º Período)],tblEvento[[Evento]:[Libera o Período]],4,FALSE)),FALSE,IF(VLOOKUP(tblHorasJul[Evento 
(2º Período)],tblEvento[[Evento]:[Libera o Período]],4,FALSE)="Não",TRUE,FALSE)),
-IF(VLOOKUP(tblHorasJul[Dia],tblDiaUtil[[Abreviatura]:[2º Período]],4,FALSE)&lt;&gt;"",VLOOKUP(tblHorasJul[Dia],tblDiaUtil[[Abreviatura]:[2º Período]],4,FALSE),JORNADA_PERIODO_2),0))))</f>
        <v>0</v>
      </c>
      <c r="O39" s="14">
        <f>IF(tblHorasJul[Horas Trabalhadas Além Jornada]&gt;0,
        IF(ISNUMBER(tblHorasJul[Jornada Diária]),
              IF(HOUR(tblHorasJul[Horas Trabalhadas Além Jornada])&gt;=VLOOKUP(LIMITE,tblLimiteHora[],Tabelas!$I$1,FALSE),
                    VLOOKUP(LIMITE,tblLimiteHora[],Tabelas!$J$1,FALSE),
                    tblHorasJul[Horas Trabalhadas Além Jornada]),
              tblHorasJul[Horas Trabalhadas Além Jornada]),
        tblHorasJul[Horas Trabalhadas Além Jornada])+O38</f>
        <v>0</v>
      </c>
      <c r="P39" s="14" t="str">
        <f>IF(tblHorasJul[Horas Trabalhadas Além Jornada]&lt;0,IF(OR(tblHorasJul[Evento 
(1º Período)]="",tblHorasJul[Evento 
(2º Período)]=""),tblHorasJul[Horas Trabalhadas Além Jornada],""),"")</f>
        <v/>
      </c>
      <c r="Q39" s="14" t="str">
        <f>IF(tblHorasJul[Jornada Diária]&lt;&gt;"",IF((N(tblHorasJul[Jornada Diária])-ABS(N(tblHorasJul[Horas Trabalhadas Além Jornada])))=0,1,""),"")</f>
        <v/>
      </c>
      <c r="R39" s="14" t="str">
        <f>IF(tblHorasJul[Horas Trabalhadas Além Jornada]&gt;0,
IF(AND(VLOOKUP(TEXT(tblHorasJul[Data],"dddd"),tblDiaUtil[],3,FALSE)="Sim",IF(tblHorasJul[Evento 
(1º Período)]&lt;&gt;"",IF(VLOOKUP(tblHorasJul[Evento 
(1º Período)],tblEvento[],Tabelas!$E$1,FALSE)="Sim",FALSE,TRUE),TRUE),IF(tblHorasJul[Evento 
(2º Período)]&lt;&gt;"",IF(VLOOKUP(tblHorasJul[Evento 
(2º Período)],tblEvento[],Tabelas!$E$1,FALSE)="Sim",FALSE,TRUE),TRUE)),
tblHorasJul[Horas Trabalhadas Além Jornada],""),"")</f>
        <v/>
      </c>
      <c r="S39" s="14" t="str">
        <f>IF(tblHorasJul[Horas Trabalhadas Além Jornada]&gt;0,
IF(OR(VLOOKUP(TEXT(tblHorasJul[Data],"dddd"),tblDiaUtil[],3,FALSE)="Não",IF(tblHorasJul[Evento 
(1º Período)]&lt;&gt;"",IF(VLOOKUP(tblHorasJul[Evento 
(1º Período)],tblEvento[],Tabelas!$E$1,FALSE)="Sim",TRUE,FALSE),FALSE),IF(tblHorasJul[Evento 
(2º Período)]&lt;&gt;"",IF(VLOOKUP(tblHorasJul[Evento 
(2º Período)],tblEvento[],Tabelas!$E$1,FALSE)="Sim",TRUE,FALSE),FALSE)),
tblHorasJul[Horas Trabalhadas Além Jornada],""),"")</f>
        <v/>
      </c>
      <c r="T39" s="15" t="str">
        <f>IF(tblHorasJul[Evento 
(1º Período)]&lt;&gt;""," - " &amp;VLOOKUP(tblHorasJul[Evento 
(1º Período)],tblEvento[],Tabelas!$F$1,FALSE),"")&amp;IF(AND(tblHorasJul[Evento 
(2º Período)]&lt;&gt;"",tblHorasJul[Evento 
(2º Período)]&lt;&gt;tblHorasJul[Evento 
(1º Período)])," - " &amp; VLOOKUP(tblHorasJul[Evento 
(2º Período)],tblEvento[],Tabelas!$F$1,FALSE),"")</f>
        <v/>
      </c>
    </row>
    <row r="40" spans="2:21" ht="5.0999999999999996" customHeight="1" x14ac:dyDescent="0.25">
      <c r="T40" s="24"/>
      <c r="U40" s="24"/>
    </row>
    <row r="41" spans="2:21" ht="9.9499999999999993" customHeight="1" x14ac:dyDescent="0.25">
      <c r="T41" s="35" t="s">
        <v>99</v>
      </c>
      <c r="U41" s="24"/>
    </row>
    <row r="42" spans="2:21" hidden="1" x14ac:dyDescent="0.25">
      <c r="T42" s="24"/>
      <c r="U42" s="24"/>
    </row>
    <row r="43" spans="2:21" hidden="1" x14ac:dyDescent="0.25">
      <c r="T43" s="24"/>
      <c r="U43" s="24"/>
    </row>
    <row r="44" spans="2:21" hidden="1" x14ac:dyDescent="0.25">
      <c r="T44" s="24"/>
      <c r="U44" s="24"/>
    </row>
    <row r="45" spans="2:21" hidden="1" x14ac:dyDescent="0.25"/>
    <row r="46" spans="2:21" x14ac:dyDescent="0.25"/>
    <row r="47" spans="2:21" x14ac:dyDescent="0.25"/>
  </sheetData>
  <sheetProtection algorithmName="SHA-512" hashValue="oLbTi8wTj+HiKcOk1SQapUVutvz2wGk3HFv6SBd59jWSaFQEJVRBADInbNJFvs7labdfnzizXAN4WhMOszzgUg==" saltValue="rlKG+uIpsoPQz0uFvcJjqQ==" spinCount="100000" sheet="1" formatCells="0" formatColumns="0" formatRows="0" selectLockedCells="1" autoFilter="0" pivotTables="0"/>
  <dataConsolidate/>
  <mergeCells count="8">
    <mergeCell ref="O1:T4"/>
    <mergeCell ref="G2:I2"/>
    <mergeCell ref="H3:I3"/>
    <mergeCell ref="H4:I4"/>
    <mergeCell ref="B5:C5"/>
    <mergeCell ref="O5:O6"/>
    <mergeCell ref="B6:C6"/>
    <mergeCell ref="P6:S6"/>
  </mergeCells>
  <dataValidations count="5">
    <dataValidation type="time" allowBlank="1" showInputMessage="1" showErrorMessage="1" errorTitle="Aviso" error="Erro na inserção de dados:_x000a__x000a_'Hora Inválida'_x000a__x000a_Favor inserir uma hora válida no formato: hh:mm (ex. 12:00)" sqref="E9:H39">
      <formula1>0</formula1>
      <formula2>0.999305555555556</formula2>
    </dataValidation>
    <dataValidation type="whole" errorStyle="warning" allowBlank="1" showInputMessage="1" showErrorMessage="1" errorTitle="Aviso" error="Ano fora do período estipulado" promptTitle="Digite o ano com 4 dígitos" prompt="_x000a_ex. 2016_x000a__x000a_Entre: 1904 a 9999" sqref="D6">
      <formula1>999</formula1>
      <formula2>9999</formula2>
    </dataValidation>
    <dataValidation type="list" allowBlank="1" showErrorMessage="1" errorTitle="Mês Inválido" error="Selecione na lista um mês válido" sqref="B6:C6">
      <formula1>lst_Mes</formula1>
    </dataValidation>
    <dataValidation type="list" allowBlank="1" showInputMessage="1" showErrorMessage="1" errorTitle="Aviso" error="Erro na inserção de dados:_x000a__x000a_'Evento Inválido'_x000a__x000a_Selecione um Evento válido na Lista" promptTitle="Evento" prompt="_x000a_Selecione um Evento na Lista" sqref="D9:D39 I9:I39">
      <formula1>lstEvento</formula1>
    </dataValidation>
    <dataValidation type="whole" allowBlank="1" showInputMessage="1" showErrorMessage="1" errorTitle="Erro" error="Dia inexistente" promptTitle="Digite o primeiro dia do mês" prompt="Somente utilize esse campo caso o dia seja diferente de 1." sqref="E6">
      <formula1>1</formula1>
      <formula2>31</formula2>
    </dataValidation>
  </dataValidations>
  <printOptions verticalCentered="1"/>
  <pageMargins left="0.51181102362204722" right="0.51181102362204722" top="0.78740157480314965" bottom="0.78740157480314965" header="0.31496062992125984" footer="0.31496062992125984"/>
  <pageSetup paperSize="9" scale="82" orientation="landscape" r:id="rId1"/>
  <headerFooter>
    <oddHeader>&amp;R&amp;D</oddHeader>
    <oddFooter>&amp;L.e&amp;RPágina &amp;P de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7" id="{96CB8715-F719-40A7-8E8C-B48B9C93CEDD}">
            <xm:f>IF(OR(IF(ISERROR(VLOOKUP($C9,Config!$C$1:$D$18,2,FALSE)),FALSE,IF(VLOOKUP($C9,Config!$C$1:$D$18,2,FALSE)="Não",TRUE,FALSE)),IF(ISERROR(VLOOKUP($D9,Tabelas!$A$3:$B$51,2,FALSE)),FALSE,IF(VLOOKUP($D9,Tabelas!$A$3:$B$51,2,FALSE)="Sim",TRUE,FALSE)),IF(ISERROR(VLOOKUP($I9,Tabelas!$A$3:$B$51,2,FALSE)),FALSE,IF(VLOOKUP($I9,Tabelas!$A$3:$B$51,2,FALSE)="Sim",TRUE,FALSE))),TRUE,FALSE)</xm:f>
            <x14:dxf>
              <fill>
                <patternFill>
                  <bgColor rgb="FFFFFFCC"/>
                </patternFill>
              </fill>
            </x14:dxf>
          </x14:cfRule>
          <xm:sqref>B9:T9</xm:sqref>
        </x14:conditionalFormatting>
        <x14:conditionalFormatting xmlns:xm="http://schemas.microsoft.com/office/excel/2006/main">
          <x14:cfRule type="expression" priority="6" id="{23EBE368-E9DD-4607-838F-2BF260262474}">
            <xm:f>IF(IF(ISERROR(VLOOKUP($D9,Tabelas!$A$3:$C$51,3,FALSE)),FALSE,VLOOKUP($D9,Tabelas!$A$3:$C$51,3,FALSE)="Sim"),TRUE,FALSE)</xm:f>
            <x14:dxf>
              <fill>
                <patternFill>
                  <bgColor rgb="FFFFD1D2"/>
                </patternFill>
              </fill>
            </x14:dxf>
          </x14:cfRule>
          <xm:sqref>J9 D9:F9</xm:sqref>
        </x14:conditionalFormatting>
        <x14:conditionalFormatting xmlns:xm="http://schemas.microsoft.com/office/excel/2006/main">
          <x14:cfRule type="expression" priority="8" id="{EFCC11E4-3DFE-46D7-A25B-990ACCA52A26}">
            <xm:f>IF(IF(ISERROR(VLOOKUP($I9,Tabelas!$A$3:$C$51,3,FALSE)),FALSE,VLOOKUP($I9,Tabelas!$A$3:$C$51,3,FALSE)="Sim"),TRUE,FALSE)</xm:f>
            <x14:dxf>
              <fill>
                <patternFill>
                  <bgColor rgb="FFFFD5D6"/>
                </patternFill>
              </fill>
            </x14:dxf>
          </x14:cfRule>
          <xm:sqref>K9:M9 G9:I9</xm:sqref>
        </x14:conditionalFormatting>
        <x14:conditionalFormatting xmlns:xm="http://schemas.microsoft.com/office/excel/2006/main">
          <x14:cfRule type="expression" priority="5" id="{1D059D01-BBA4-442C-BDA8-0D41D20189B1}">
            <xm:f>IF(OR(IF(ISERROR(VLOOKUP($C7,Config!$C$1:$D$18,2,FALSE)),FALSE,IF(VLOOKUP($C7,Config!$C$1:$D$18,2,FALSE)="Não",TRUE,FALSE)),IF(ISERROR(VLOOKUP($D7,Tabelas!$A$3:$B$51,2,FALSE)),FALSE,IF(VLOOKUP($D7,Tabelas!$A$3:$B$51,2,FALSE)="Sim",TRUE,FALSE)),IF(ISERROR(VLOOKUP($I7,Tabelas!$A$3:$B$51,2,FALSE)),FALSE,IF(VLOOKUP($I7,Tabelas!$A$3:$B$51,2,FALSE)="Sim",TRUE,FALSE))),TRUE,FALSE)</xm:f>
            <x14:dxf>
              <fill>
                <patternFill>
                  <bgColor rgb="FFFFFFCC"/>
                </patternFill>
              </fill>
            </x14:dxf>
          </x14:cfRule>
          <xm:sqref>P7:S7</xm:sqref>
        </x14:conditionalFormatting>
        <x14:conditionalFormatting xmlns:xm="http://schemas.microsoft.com/office/excel/2006/main">
          <x14:cfRule type="expression" priority="3" id="{7B447094-E11A-417E-828D-065DB0D53ED3}">
            <xm:f>IF(OR(IF(ISERROR(VLOOKUP($C10,Config!$C$1:$D$18,2,FALSE)),FALSE,IF(VLOOKUP($C10,Config!$C$1:$D$18,2,FALSE)="Não",TRUE,FALSE)),IF(ISERROR(VLOOKUP($D10,Tabelas!$A$3:$B$51,2,FALSE)),FALSE,IF(VLOOKUP($D10,Tabelas!$A$3:$B$51,2,FALSE)="Sim",TRUE,FALSE)),IF(ISERROR(VLOOKUP($I10,Tabelas!$A$3:$B$51,2,FALSE)),FALSE,IF(VLOOKUP($I10,Tabelas!$A$3:$B$51,2,FALSE)="Sim",TRUE,FALSE))),TRUE,FALSE)</xm:f>
            <x14:dxf>
              <fill>
                <patternFill>
                  <bgColor rgb="FFFFFFCC"/>
                </patternFill>
              </fill>
            </x14:dxf>
          </x14:cfRule>
          <xm:sqref>B10:T39</xm:sqref>
        </x14:conditionalFormatting>
        <x14:conditionalFormatting xmlns:xm="http://schemas.microsoft.com/office/excel/2006/main">
          <x14:cfRule type="expression" priority="2" id="{80CF80F9-504F-49C5-899A-50154D33F913}">
            <xm:f>IF(IF(ISERROR(VLOOKUP($D10,Tabelas!$A$3:$C$51,3,FALSE)),FALSE,VLOOKUP($D10,Tabelas!$A$3:$C$51,3,FALSE)="Sim"),TRUE,FALSE)</xm:f>
            <x14:dxf>
              <fill>
                <patternFill>
                  <bgColor rgb="FFFFD1D2"/>
                </patternFill>
              </fill>
            </x14:dxf>
          </x14:cfRule>
          <xm:sqref>J10:J39 D10:F39</xm:sqref>
        </x14:conditionalFormatting>
        <x14:conditionalFormatting xmlns:xm="http://schemas.microsoft.com/office/excel/2006/main">
          <x14:cfRule type="expression" priority="4" id="{C40E08D4-4609-44EC-BB65-E264756CAA71}">
            <xm:f>IF(IF(ISERROR(VLOOKUP($I10,Tabelas!$A$3:$C$51,3,FALSE)),FALSE,VLOOKUP($I10,Tabelas!$A$3:$C$51,3,FALSE)="Sim"),TRUE,FALSE)</xm:f>
            <x14:dxf>
              <fill>
                <patternFill>
                  <bgColor rgb="FFFFD5D6"/>
                </patternFill>
              </fill>
            </x14:dxf>
          </x14:cfRule>
          <xm:sqref>K10:M39 G10:I39</xm:sqref>
        </x14:conditionalFormatting>
        <x14:conditionalFormatting xmlns:xm="http://schemas.microsoft.com/office/excel/2006/main">
          <x14:cfRule type="expression" priority="1" id="{ACF6BA49-1AEE-414E-B874-D20DD452F2FC}">
            <xm:f>IF(OR(IF(ISERROR(VLOOKUP($C7,Config!$C$1:$D$18,2,FALSE)),FALSE,IF(VLOOKUP($C7,Config!$C$1:$D$18,2,FALSE)="Não",TRUE,FALSE)),IF(ISERROR(VLOOKUP($D7,Tabelas!$A$3:$B$51,2,FALSE)),FALSE,IF(VLOOKUP($D7,Tabelas!$A$3:$B$51,2,FALSE)="Sim",TRUE,FALSE)),IF(ISERROR(VLOOKUP($I7,Tabelas!$A$3:$B$51,2,FALSE)),FALSE,IF(VLOOKUP($I7,Tabelas!$A$3:$B$51,2,FALSE)="Sim",TRUE,FALSE))),TRUE,FALSE)</xm:f>
            <x14:dxf>
              <fill>
                <patternFill>
                  <bgColor rgb="FFFFFFCC"/>
                </patternFill>
              </fill>
            </x14:dxf>
          </x14:cfRule>
          <xm:sqref>O7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nAgosto">
    <tabColor theme="4" tint="0.59999389629810485"/>
    <pageSetUpPr fitToPage="1"/>
  </sheetPr>
  <dimension ref="A1:AC47"/>
  <sheetViews>
    <sheetView showGridLines="0" workbookViewId="0">
      <pane xSplit="1" ySplit="8" topLeftCell="B9" activePane="bottomRight" state="frozen"/>
      <selection activeCell="H10" sqref="H10"/>
      <selection pane="topRight" activeCell="H10" sqref="H10"/>
      <selection pane="bottomLeft" activeCell="H10" sqref="H10"/>
      <selection pane="bottomRight" activeCell="E9" sqref="E9"/>
    </sheetView>
  </sheetViews>
  <sheetFormatPr defaultColWidth="0" defaultRowHeight="15" zeroHeight="1" x14ac:dyDescent="0.25"/>
  <cols>
    <col min="1" max="1" width="6.7109375" style="5" customWidth="1"/>
    <col min="2" max="2" width="10.7109375" style="5" customWidth="1"/>
    <col min="3" max="3" width="10" style="5" customWidth="1"/>
    <col min="4" max="9" width="12.7109375" style="5" customWidth="1"/>
    <col min="10" max="14" width="12.7109375" style="5" hidden="1" customWidth="1"/>
    <col min="15" max="15" width="12.7109375" style="5" customWidth="1"/>
    <col min="16" max="19" width="12.7109375" style="5" hidden="1" customWidth="1"/>
    <col min="20" max="20" width="38.42578125" style="5" customWidth="1"/>
    <col min="21" max="21" width="2.7109375" style="5" customWidth="1"/>
    <col min="22" max="22" width="9.140625" style="5" hidden="1" customWidth="1"/>
    <col min="23" max="23" width="12.42578125" style="5" hidden="1" customWidth="1"/>
    <col min="24" max="25" width="0" style="5" hidden="1" customWidth="1"/>
    <col min="26" max="26" width="9.140625" style="5" hidden="1" customWidth="1"/>
    <col min="27" max="27" width="12.42578125" style="5" hidden="1" customWidth="1"/>
    <col min="28" max="29" width="0" style="5" hidden="1" customWidth="1"/>
    <col min="30" max="16384" width="9.140625" style="5" hidden="1"/>
  </cols>
  <sheetData>
    <row r="1" spans="2:25" ht="15" customHeight="1" x14ac:dyDescent="0.25">
      <c r="G1" s="48" t="s">
        <v>58</v>
      </c>
      <c r="O1" s="83" t="str">
        <f>"*Limite de horas: " &amp; LIMITE &amp; "; e 
*Contabiliza a partir de " &amp; TEXT(CARENCIA, "hh:mm") &amp; " hora(s) (para mais ou para menos);
*Caso tenha Atestado em um dos períodos, o que ultrapassar de 4:00 horas de trabalho contabiliza hora positiva."</f>
        <v>*Limite de horas: 2h diárias; e 
*Contabiliza a partir de 00:00 hora(s) (para mais ou para menos);
*Caso tenha Atestado em um dos períodos, o que ultrapassar de 4:00 horas de trabalho contabiliza hora positiva.</v>
      </c>
      <c r="P1" s="83"/>
      <c r="Q1" s="83"/>
      <c r="R1" s="83"/>
      <c r="S1" s="83"/>
      <c r="T1" s="83"/>
    </row>
    <row r="2" spans="2:25" ht="15" customHeight="1" thickBot="1" x14ac:dyDescent="0.3">
      <c r="B2" s="6"/>
      <c r="G2" s="90"/>
      <c r="H2" s="91"/>
      <c r="I2" s="91"/>
      <c r="N2" s="24"/>
      <c r="O2" s="83"/>
      <c r="P2" s="83"/>
      <c r="Q2" s="83"/>
      <c r="R2" s="83"/>
      <c r="S2" s="83"/>
      <c r="T2" s="83"/>
    </row>
    <row r="3" spans="2:25" ht="15" customHeight="1" x14ac:dyDescent="0.25">
      <c r="B3" s="6"/>
      <c r="G3" s="48" t="s">
        <v>96</v>
      </c>
      <c r="H3" s="92" t="s">
        <v>97</v>
      </c>
      <c r="I3" s="93"/>
      <c r="N3" s="24"/>
      <c r="O3" s="83"/>
      <c r="P3" s="83"/>
      <c r="Q3" s="83"/>
      <c r="R3" s="83"/>
      <c r="S3" s="83"/>
      <c r="T3" s="83"/>
    </row>
    <row r="4" spans="2:25" ht="15" customHeight="1" thickBot="1" x14ac:dyDescent="0.3">
      <c r="B4" s="6"/>
      <c r="G4" s="52"/>
      <c r="H4" s="84"/>
      <c r="I4" s="85"/>
      <c r="N4" s="24"/>
      <c r="O4" s="83"/>
      <c r="P4" s="83"/>
      <c r="Q4" s="83"/>
      <c r="R4" s="83"/>
      <c r="S4" s="83"/>
      <c r="T4" s="83"/>
    </row>
    <row r="5" spans="2:25" ht="15" customHeight="1" x14ac:dyDescent="0.25">
      <c r="B5" s="86" t="s">
        <v>59</v>
      </c>
      <c r="C5" s="87"/>
      <c r="D5" s="48" t="s">
        <v>62</v>
      </c>
      <c r="E5" s="48" t="s">
        <v>88</v>
      </c>
      <c r="G5" s="7"/>
      <c r="N5" s="24"/>
      <c r="O5" s="94" t="s">
        <v>100</v>
      </c>
      <c r="P5" s="34" t="s">
        <v>76</v>
      </c>
      <c r="Q5" s="34" t="s">
        <v>76</v>
      </c>
      <c r="R5" s="34" t="s">
        <v>76</v>
      </c>
      <c r="S5" s="34" t="s">
        <v>76</v>
      </c>
      <c r="T5" s="24"/>
    </row>
    <row r="6" spans="2:25" ht="16.5" customHeight="1" thickBot="1" x14ac:dyDescent="0.3">
      <c r="B6" s="88" t="s">
        <v>70</v>
      </c>
      <c r="C6" s="89"/>
      <c r="D6" s="30" t="str">
        <f>IF(Janeiro!D6&lt;&gt;"",Janeiro!D6,"")</f>
        <v/>
      </c>
      <c r="E6" s="30" t="str">
        <f>IF(Janeiro!E6&lt;&gt;"",Janeiro!E6,"")</f>
        <v/>
      </c>
      <c r="F6" s="32" t="str">
        <f>IF(ISERROR(DATEVALUE(IF(E6&lt;&gt;"",E6,1)&amp;"-"&amp;B6&amp;"-"&amp;D6)),"",DATEVALUE(IF(E6&lt;&gt;"",E6,1)&amp;"-"&amp;B6&amp;"-"&amp;D6))</f>
        <v/>
      </c>
      <c r="N6" s="24"/>
      <c r="O6" s="95"/>
      <c r="P6" s="81" t="s">
        <v>95</v>
      </c>
      <c r="Q6" s="82"/>
      <c r="R6" s="82"/>
      <c r="S6" s="82"/>
      <c r="T6" s="24"/>
    </row>
    <row r="7" spans="2:25" x14ac:dyDescent="0.25">
      <c r="E7" s="8"/>
      <c r="F7" s="8"/>
      <c r="G7" s="8"/>
      <c r="H7" s="8"/>
      <c r="I7" s="8"/>
      <c r="J7" s="34" t="s">
        <v>76</v>
      </c>
      <c r="K7" s="34" t="s">
        <v>76</v>
      </c>
      <c r="L7" s="34" t="s">
        <v>76</v>
      </c>
      <c r="M7" s="34" t="s">
        <v>76</v>
      </c>
      <c r="N7" s="34" t="s">
        <v>76</v>
      </c>
      <c r="O7" s="45">
        <f>Julho!O39</f>
        <v>0</v>
      </c>
      <c r="P7" s="45">
        <f>SUM(tblHorasAgo[Atrasos
(horas)])</f>
        <v>0</v>
      </c>
      <c r="Q7" s="46">
        <f>SUM(tblHorasAgo[Faltas
(dias)])</f>
        <v>0</v>
      </c>
      <c r="R7" s="45">
        <f>SUM(tblHorasAgo[Hora Extra Normal])</f>
        <v>0</v>
      </c>
      <c r="S7" s="45">
        <f>SUM(tblHorasAgo[Hora Extra 
Especial])</f>
        <v>0</v>
      </c>
      <c r="T7" s="24"/>
    </row>
    <row r="8" spans="2:25" s="9" customFormat="1" ht="45" customHeight="1" x14ac:dyDescent="0.25">
      <c r="B8" s="9" t="s">
        <v>0</v>
      </c>
      <c r="C8" s="9" t="s">
        <v>1</v>
      </c>
      <c r="D8" s="10" t="s">
        <v>51</v>
      </c>
      <c r="E8" s="9" t="s">
        <v>3</v>
      </c>
      <c r="F8" s="9" t="s">
        <v>4</v>
      </c>
      <c r="G8" s="9" t="s">
        <v>5</v>
      </c>
      <c r="H8" s="9" t="s">
        <v>6</v>
      </c>
      <c r="I8" s="10" t="s">
        <v>52</v>
      </c>
      <c r="J8" s="9" t="s">
        <v>35</v>
      </c>
      <c r="K8" s="9" t="s">
        <v>36</v>
      </c>
      <c r="L8" s="9" t="s">
        <v>55</v>
      </c>
      <c r="M8" s="9" t="s">
        <v>48</v>
      </c>
      <c r="N8" s="9" t="s">
        <v>50</v>
      </c>
      <c r="O8" s="9" t="s">
        <v>49</v>
      </c>
      <c r="P8" s="9" t="s">
        <v>91</v>
      </c>
      <c r="Q8" s="9" t="s">
        <v>92</v>
      </c>
      <c r="R8" s="9" t="s">
        <v>93</v>
      </c>
      <c r="S8" s="9" t="s">
        <v>94</v>
      </c>
      <c r="T8" s="9" t="s">
        <v>46</v>
      </c>
      <c r="W8" s="26"/>
    </row>
    <row r="9" spans="2:25" x14ac:dyDescent="0.25">
      <c r="B9" s="11" t="str">
        <f>IF(ISERROR(F6),"",F6)</f>
        <v/>
      </c>
      <c r="C9" s="12" t="str">
        <f>TEXT(tblHorasAgo[Data],"ddd")</f>
        <v/>
      </c>
      <c r="D9" s="25"/>
      <c r="E9" s="1"/>
      <c r="F9" s="1"/>
      <c r="G9" s="1"/>
      <c r="H9" s="1"/>
      <c r="I9" s="53"/>
      <c r="J9" s="4">
        <f>IF($B$6&lt;&gt;"",
IF(AND(tblHorasAgo[Evento 
(1º Período)]&lt;&gt;"",IF(ISERROR(VLOOKUP(tblHorasAgo[Evento 
(1º Período)],tblEvento[],Tabelas!$D$1,FALSE)),FALSE,VLOOKUP(tblHorasAgo[Evento 
(1º Período)],tblEvento[],Tabelas!$D$1,FALSE)="Sim")),
        IF(JORNADA_PERIODO_1&lt;&gt;"",
IF(VLOOKUP(tblHorasAgo[Dia],tblDiaUtil[[Abreviatura]:[1º Período]],3,FALSE)&gt;0,VLOOKUP(tblHorasAgo[Dia],tblDiaUtil[[Abreviatura]:[1º Período]],3,FALSE),JORNADA_PERIODO_1),
IF(VLOOKUP(tblHorasAgo[Dia],tblDiaUtil[[Abreviatura]:[1º Período]],3,FALSE)&gt;0,VLOOKUP(tblHorasAgo[Dia],tblDiaUtil[[Abreviatura]:[1º Período]],3,FALSE),JORNADA/2)),
        IF(AND(ISNUMBER(tblHorasAgo[Saída - 1 (Almoço)]),ISNUMBER(tblHorasAgo[Entrada - 1])),
              IF(OR(AND(tblHorasAgo[Evento 
(1º Período)]&lt;&gt;"",IF(ISERROR(VLOOKUP(tblHorasAgo[Evento 
(1º Período)],tblEvento[],Tabelas!$E$1,FALSE)),FALSE,VLOOKUP(tblHorasAgo[Evento 
(1º Período)],tblEvento[],Tabelas!$E$1,FALSE)="Sim")),IF(VLOOKUP(TEXT(tblHorasAgo[Data],"dddd"),tblDiaUtil[],2,FALSE)="Não",TRUE,FALSE)),
                   tblHorasAgo[Saída - 1 (Almoço)]-tblHorasAgo[Entrada - 1],
                   IF(OR(HOUR(tblHorasAgo[Saída - 1 (Almoço)]-tblHorasAgo[Entrada - 1])&gt;0,ROUND(tblHorasAgo[Saída - 1 (Almoço)]-tblHorasAgo[Entrada - 1],6)&gt;ROUND(CARENCIA,6)),
                          tblHorasAgo[Saída - 1 (Almoço)]-tblHorasAgo[Entrada - 1],
                          0)),
                    0)),0)</f>
        <v>0</v>
      </c>
      <c r="K9" s="4">
        <f>IF($B$6&lt;&gt;"",
IF(AND(tblHorasAgo[Evento 
(2º Período)]&lt;&gt;"",IF(ISERROR(VLOOKUP(tblHorasAgo[Evento 
(2º Período)],tblEvento[],Tabelas!$D$1,FALSE)),FALSE,VLOOKUP(tblHorasAgo[Evento 
(2º Período)],tblEvento[],Tabelas!$D$1,FALSE)="Sim")),
        IF(JORNADA_PERIODO_2&lt;&gt;"",
IF(VLOOKUP(tblHorasAgo[Dia],tblDiaUtil[[Abreviatura]:[2º Período]],4,FALSE)&gt;0,VLOOKUP(tblHorasAgo[Dia],tblDiaUtil[[Abreviatura]:[2º Período]],4,FALSE),JORNADA_PERIODO_2),
IF(VLOOKUP(tblHorasAgo[Dia],tblDiaUtil[[Abreviatura]:[2º Período]],4,FALSE)&gt;0,VLOOKUP(tblHorasAgo[Dia],tblDiaUtil[[Abreviatura]:[2º Período]],4,FALSE),JORNADA/2)),
        IF(AND(ISNUMBER(tblHorasAgo[Saída - 2]),ISNUMBER(tblHorasAgo[Entrada - 2 (Almoço)])),
              IF(OR(AND(tblHorasAgo[Evento 
(2º Período)]&lt;&gt;"",IF(ISERROR(VLOOKUP(tblHorasAgo[Evento 
(2º Período)],tblEvento[],Tabelas!$E$1,FALSE)),FALSE,VLOOKUP(tblHorasAgo[Evento 
(2º Período)],tblEvento[],Tabelas!$E$1,FALSE)="Sim")),IF(VLOOKUP(TEXT(tblHorasAgo[Data],"dddd"),tblDiaUtil[],2,FALSE)="Não",TRUE,FALSE)),
                   tblHorasAgo[Saída - 2]-tblHorasAgo[Entrada - 2 (Almoço)],
                   IF(OR(HOUR(tblHorasAgo[Saída - 2]-tblHorasAgo[Entrada - 2 (Almoço)])&gt;0,MINUTE(tblHorasAgo[Saída - 2]-tblHorasAgo[Entrada - 2 (Almoço)])&gt;CARENCIA),
                         tblHorasAgo[Saída - 2]-tblHorasAgo[Entrada - 2 (Almoço)],
                         0)),
       0)),0)</f>
        <v>0</v>
      </c>
      <c r="L9" s="4">
        <f>tblHorasAgo[Horas Trabalhadas (1º Período)]+tblHorasAgo[Horas Trabalhadas (2º Período)]</f>
        <v>0</v>
      </c>
      <c r="M9" s="4" t="str">
        <f>IF(tblHorasAgo[Data]&lt;&gt;"",
        IF(
AND(VLOOKUP(TEXT(tblHorasAgo[Data],"dddd"),tblDiaUtil[],3,FALSE)="Sim",IF(tblHorasAgo[Evento 
(1º Período)]&lt;&gt;"",IF(VLOOKUP(tblHorasAgo[Evento 
(1º Período)],tblEvento[],Tabelas!$E$1,FALSE)="Sim",FALSE,TRUE),TRUE),IF(tblHorasAgo[Evento 
(2º Período)]&lt;&gt;"",IF(VLOOKUP(tblHorasAgo[Evento 
(2º Período)],tblEvento[],Tabelas!$E$1,FALSE)="Sim",FALSE,TRUE),TRUE)),
              IF(VLOOKUP(tblHorasAgo[Dia],tblDiaUtil[[Abreviatura]:[1º Período]],3,FALSE)&gt;0,VLOOKUP(tblHorasAgo[Dia],tblDiaUtil[[Abreviatura]:[1º Período]],3,FALSE),JORNADA),
              ""),
         "")</f>
        <v/>
      </c>
      <c r="N9" s="14">
        <f>IF(OR(tblHorasAgo[Horas Trabalhadas (1º Período)]&lt;&gt;0,tblHorasAgo[Horas Trabalhadas (2º Período)]&lt;&gt;0),
        IF(ISNUMBER(tblHorasAgo[Jornada Diária]),
              IF(tblHorasAgo[Jornada Diária]&gt;(tblHorasAgo[Horas Trabalhadas (2º Período)]+tblHorasAgo[Horas Trabalhadas (1º Período)]),
                     IF(ROUND((tblHorasAgo[Jornada Diária]-(tblHorasAgo[Horas Trabalhadas (2º Período)]+tblHorasAgo[Horas Trabalhadas (1º Período)])),6)&gt;ROUND(CARENCIA,6),
                           -tblHorasAgo[Jornada Diária]+(tblHorasAgo[Horas Trabalhadas (2º Período)]+tblHorasAgo[Horas Trabalhadas (1º Período)]),
                           0),
                      IF(ROUND((tblHorasAgo[Jornada Diária]-(tblHorasAgo[Horas Trabalhadas (2º Período)]+tblHorasAgo[Horas Trabalhadas (1º Período)])),6)&lt;ROUND(-CARENCIA,6),
                           -tblHorasAgo[Jornada Diária]+(tblHorasAgo[Horas Trabalhadas (2º Período)]+tblHorasAgo[Horas Trabalhadas (1º Período)]),
                           0)),
              tblHorasAgo[Horas Trabalhadas (2º Período)]+tblHorasAgo[Horas Trabalhadas (1º Período)]),
         IF(AND(IF(ISERROR(VLOOKUP(tblHorasAgo[Evento 
(1º Período)],tblEvento[[Evento]:[Libera o Período]],4,FALSE)),FALSE,IF(VLOOKUP(tblHorasAgo[Evento 
(1º Período)],tblEvento[[Evento]:[Libera o Período]],4,FALSE)="Não",TRUE,FALSE)),IF(ISERROR(VLOOKUP(tblHorasAgo[Evento 
(2º Período)],tblEvento[[Evento]:[Libera o Período]],4,FALSE)),FALSE,IF(VLOOKUP(tblHorasAgo[Evento 
(2º Período)],tblEvento[[Evento]:[Libera o Período]],4,FALSE)="Não",TRUE,FALSE))),
-IF(VLOOKUP(tblHorasAgo[Dia],tblDiaUtil[[Abreviatura]:[Total Jornada]],5,FALSE)&lt;&gt;"",VLOOKUP(tblHorasAgo[Dia],tblDiaUtil[[Abreviatura]:[Total Jornada]],5,FALSE),JORNADA),
IF(IF(ISERROR(VLOOKUP(tblHorasAgo[Evento 
(1º Período)],tblEvento[[Evento]:[Libera o Período]],4,FALSE)),FALSE,
IF(VLOOKUP(tblHorasAgo[Evento 
(1º Período)],tblEvento[[Evento]:[Libera o Período]],4,FALSE)="Não",TRUE,FALSE)
),
-IF(VLOOKUP(tblHorasAgo[Dia],tblDiaUtil[[Abreviatura]:[1º Período]],3,FALSE)&lt;&gt;"",VLOOKUP(tblHorasAgo[Dia],tblDiaUtil[[Abreviatura]:[1º Período]],3,FALSE),JORNADA_PERIODO_1),
IF(IF(ISERROR(VLOOKUP(tblHorasAgo[Evento 
(2º Período)],tblEvento[[Evento]:[Libera o Período]],4,FALSE)),FALSE,IF(VLOOKUP(tblHorasAgo[Evento 
(2º Período)],tblEvento[[Evento]:[Libera o Período]],4,FALSE)="Não",TRUE,FALSE)),
-IF(VLOOKUP(tblHorasAgo[Dia],tblDiaUtil[[Abreviatura]:[2º Período]],4,FALSE)&lt;&gt;"",VLOOKUP(tblHorasAgo[Dia],tblDiaUtil[[Abreviatura]:[2º Período]],4,FALSE),JORNADA_PERIODO_2),0))))</f>
        <v>0</v>
      </c>
      <c r="O9" s="14">
        <f>IF(tblHorasAgo[Horas Trabalhadas Além Jornada]&gt;0,
        IF(ISNUMBER(tblHorasAgo[Jornada Diária]),
              IF(HOUR(tblHorasAgo[Horas Trabalhadas Além Jornada])&gt;=VLOOKUP(LIMITE,tblLimiteHora[],Tabelas!$I$1,FALSE),
                    VLOOKUP(LIMITE,tblLimiteHora[],Tabelas!$J$1,FALSE),
                    tblHorasAgo[Horas Trabalhadas Além Jornada]),
              tblHorasAgo[Horas Trabalhadas Além Jornada]),
        tblHorasAgo[Horas Trabalhadas Além Jornada])+O7</f>
        <v>0</v>
      </c>
      <c r="P9" s="14" t="str">
        <f>IF(tblHorasAgo[Horas Trabalhadas Além Jornada]&lt;0,IF(OR(tblHorasAgo[Evento 
(1º Período)]="",tblHorasAgo[Evento 
(2º Período)]=""),tblHorasAgo[Horas Trabalhadas Além Jornada],""),"")</f>
        <v/>
      </c>
      <c r="Q9" s="14" t="str">
        <f>IF(tblHorasAgo[Jornada Diária]&lt;&gt;"",IF((N(tblHorasAgo[Jornada Diária])-ABS(N(tblHorasAgo[Horas Trabalhadas Além Jornada])))=0,1,""),"")</f>
        <v/>
      </c>
      <c r="R9" s="14" t="str">
        <f>IF(tblHorasAgo[Horas Trabalhadas Além Jornada]&gt;0,
IF(AND(VLOOKUP(TEXT(tblHorasAgo[Data],"dddd"),tblDiaUtil[],3,FALSE)="Sim",IF(tblHorasAgo[Evento 
(1º Período)]&lt;&gt;"",IF(VLOOKUP(tblHorasAgo[Evento 
(1º Período)],tblEvento[],Tabelas!$E$1,FALSE)="Sim",FALSE,TRUE),TRUE),IF(tblHorasAgo[Evento 
(2º Período)]&lt;&gt;"",IF(VLOOKUP(tblHorasAgo[Evento 
(2º Período)],tblEvento[],Tabelas!$E$1,FALSE)="Sim",FALSE,TRUE),TRUE)),
tblHorasAgo[Horas Trabalhadas Além Jornada],""),"")</f>
        <v/>
      </c>
      <c r="S9" s="14" t="str">
        <f>IF(tblHorasAgo[Horas Trabalhadas Além Jornada]&gt;0,
IF(OR(VLOOKUP(TEXT(tblHorasAgo[Data],"dddd"),tblDiaUtil[],3,FALSE)="Não",IF(tblHorasAgo[Evento 
(1º Período)]&lt;&gt;"",IF(VLOOKUP(tblHorasAgo[Evento 
(1º Período)],tblEvento[],Tabelas!$E$1,FALSE)="Sim",TRUE,FALSE),FALSE),IF(tblHorasAgo[Evento 
(2º Período)]&lt;&gt;"",IF(VLOOKUP(tblHorasAgo[Evento 
(2º Período)],tblEvento[],Tabelas!$E$1,FALSE)="Sim",TRUE,FALSE),FALSE)),
tblHorasAgo[Horas Trabalhadas Além Jornada],""),"")</f>
        <v/>
      </c>
      <c r="T9" s="15" t="str">
        <f>IF(tblHorasAgo[Evento 
(1º Período)]&lt;&gt;""," - " &amp;VLOOKUP(tblHorasAgo[Evento 
(1º Período)],tblEvento[],Tabelas!$F$1,FALSE),"")&amp;IF(AND(tblHorasAgo[Evento 
(2º Período)]&lt;&gt;"",tblHorasAgo[Evento 
(2º Período)]&lt;&gt;tblHorasAgo[Evento 
(1º Período)])," - " &amp; VLOOKUP(tblHorasAgo[Evento 
(2º Período)],tblEvento[],Tabelas!$F$1,FALSE),"")</f>
        <v/>
      </c>
      <c r="V9" s="16"/>
      <c r="Y9" s="17"/>
    </row>
    <row r="10" spans="2:25" x14ac:dyDescent="0.25">
      <c r="B10" s="11" t="str">
        <f>IF(B9&lt;&gt;"",IF(DAY(B9+1)=IF($E$6&lt;&gt;"",$E$6,1),"",B9+1),"")</f>
        <v/>
      </c>
      <c r="C10" s="12" t="str">
        <f>TEXT(tblHorasAgo[Data],"ddd")</f>
        <v/>
      </c>
      <c r="D10" s="25"/>
      <c r="E10" s="1"/>
      <c r="F10" s="1"/>
      <c r="G10" s="1"/>
      <c r="H10" s="1"/>
      <c r="I10" s="53"/>
      <c r="J10" s="4">
        <f>IF($B$6&lt;&gt;"",
IF(AND(tblHorasAgo[Evento 
(1º Período)]&lt;&gt;"",IF(ISERROR(VLOOKUP(tblHorasAgo[Evento 
(1º Período)],tblEvento[],Tabelas!$D$1,FALSE)),FALSE,VLOOKUP(tblHorasAgo[Evento 
(1º Período)],tblEvento[],Tabelas!$D$1,FALSE)="Sim")),
        IF(JORNADA_PERIODO_1&lt;&gt;"",
IF(VLOOKUP(tblHorasAgo[Dia],tblDiaUtil[[Abreviatura]:[1º Período]],3,FALSE)&gt;0,VLOOKUP(tblHorasAgo[Dia],tblDiaUtil[[Abreviatura]:[1º Período]],3,FALSE),JORNADA_PERIODO_1),
IF(VLOOKUP(tblHorasAgo[Dia],tblDiaUtil[[Abreviatura]:[1º Período]],3,FALSE)&gt;0,VLOOKUP(tblHorasAgo[Dia],tblDiaUtil[[Abreviatura]:[1º Período]],3,FALSE),JORNADA/2)),
        IF(AND(ISNUMBER(tblHorasAgo[Saída - 1 (Almoço)]),ISNUMBER(tblHorasAgo[Entrada - 1])),
              IF(OR(AND(tblHorasAgo[Evento 
(1º Período)]&lt;&gt;"",IF(ISERROR(VLOOKUP(tblHorasAgo[Evento 
(1º Período)],tblEvento[],Tabelas!$E$1,FALSE)),FALSE,VLOOKUP(tblHorasAgo[Evento 
(1º Período)],tblEvento[],Tabelas!$E$1,FALSE)="Sim")),IF(VLOOKUP(TEXT(tblHorasAgo[Data],"dddd"),tblDiaUtil[],2,FALSE)="Não",TRUE,FALSE)),
                   tblHorasAgo[Saída - 1 (Almoço)]-tblHorasAgo[Entrada - 1],
                   IF(OR(HOUR(tblHorasAgo[Saída - 1 (Almoço)]-tblHorasAgo[Entrada - 1])&gt;0,ROUND(tblHorasAgo[Saída - 1 (Almoço)]-tblHorasAgo[Entrada - 1],6)&gt;ROUND(CARENCIA,6)),
                          tblHorasAgo[Saída - 1 (Almoço)]-tblHorasAgo[Entrada - 1],
                          0)),
                    0)),0)</f>
        <v>0</v>
      </c>
      <c r="K10" s="4">
        <f>IF($B$6&lt;&gt;"",
IF(AND(tblHorasAgo[Evento 
(2º Período)]&lt;&gt;"",IF(ISERROR(VLOOKUP(tblHorasAgo[Evento 
(2º Período)],tblEvento[],Tabelas!$D$1,FALSE)),FALSE,VLOOKUP(tblHorasAgo[Evento 
(2º Período)],tblEvento[],Tabelas!$D$1,FALSE)="Sim")),
        IF(JORNADA_PERIODO_2&lt;&gt;"",
IF(VLOOKUP(tblHorasAgo[Dia],tblDiaUtil[[Abreviatura]:[2º Período]],4,FALSE)&gt;0,VLOOKUP(tblHorasAgo[Dia],tblDiaUtil[[Abreviatura]:[2º Período]],4,FALSE),JORNADA_PERIODO_2),
IF(VLOOKUP(tblHorasAgo[Dia],tblDiaUtil[[Abreviatura]:[2º Período]],4,FALSE)&gt;0,VLOOKUP(tblHorasAgo[Dia],tblDiaUtil[[Abreviatura]:[2º Período]],4,FALSE),JORNADA/2)),
        IF(AND(ISNUMBER(tblHorasAgo[Saída - 2]),ISNUMBER(tblHorasAgo[Entrada - 2 (Almoço)])),
              IF(OR(AND(tblHorasAgo[Evento 
(2º Período)]&lt;&gt;"",IF(ISERROR(VLOOKUP(tblHorasAgo[Evento 
(2º Período)],tblEvento[],Tabelas!$E$1,FALSE)),FALSE,VLOOKUP(tblHorasAgo[Evento 
(2º Período)],tblEvento[],Tabelas!$E$1,FALSE)="Sim")),IF(VLOOKUP(TEXT(tblHorasAgo[Data],"dddd"),tblDiaUtil[],2,FALSE)="Não",TRUE,FALSE)),
                   tblHorasAgo[Saída - 2]-tblHorasAgo[Entrada - 2 (Almoço)],
                   IF(OR(HOUR(tblHorasAgo[Saída - 2]-tblHorasAgo[Entrada - 2 (Almoço)])&gt;0,MINUTE(tblHorasAgo[Saída - 2]-tblHorasAgo[Entrada - 2 (Almoço)])&gt;CARENCIA),
                         tblHorasAgo[Saída - 2]-tblHorasAgo[Entrada - 2 (Almoço)],
                         0)),
       0)),0)</f>
        <v>0</v>
      </c>
      <c r="L10" s="4">
        <f>tblHorasAgo[Horas Trabalhadas (1º Período)]+tblHorasAgo[Horas Trabalhadas (2º Período)]</f>
        <v>0</v>
      </c>
      <c r="M10" s="4" t="str">
        <f>IF(tblHorasAgo[Data]&lt;&gt;"",
        IF(
AND(VLOOKUP(TEXT(tblHorasAgo[Data],"dddd"),tblDiaUtil[],3,FALSE)="Sim",IF(tblHorasAgo[Evento 
(1º Período)]&lt;&gt;"",IF(VLOOKUP(tblHorasAgo[Evento 
(1º Período)],tblEvento[],Tabelas!$E$1,FALSE)="Sim",FALSE,TRUE),TRUE),IF(tblHorasAgo[Evento 
(2º Período)]&lt;&gt;"",IF(VLOOKUP(tblHorasAgo[Evento 
(2º Período)],tblEvento[],Tabelas!$E$1,FALSE)="Sim",FALSE,TRUE),TRUE)),
              IF(VLOOKUP(tblHorasAgo[Dia],tblDiaUtil[[Abreviatura]:[1º Período]],3,FALSE)&gt;0,VLOOKUP(tblHorasAgo[Dia],tblDiaUtil[[Abreviatura]:[1º Período]],3,FALSE),JORNADA),
              ""),
         "")</f>
        <v/>
      </c>
      <c r="N10" s="14">
        <f>IF(OR(tblHorasAgo[Horas Trabalhadas (1º Período)]&lt;&gt;0,tblHorasAgo[Horas Trabalhadas (2º Período)]&lt;&gt;0),
        IF(ISNUMBER(tblHorasAgo[Jornada Diária]),
              IF(tblHorasAgo[Jornada Diária]&gt;(tblHorasAgo[Horas Trabalhadas (2º Período)]+tblHorasAgo[Horas Trabalhadas (1º Período)]),
                     IF(ROUND((tblHorasAgo[Jornada Diária]-(tblHorasAgo[Horas Trabalhadas (2º Período)]+tblHorasAgo[Horas Trabalhadas (1º Período)])),6)&gt;ROUND(CARENCIA,6),
                           -tblHorasAgo[Jornada Diária]+(tblHorasAgo[Horas Trabalhadas (2º Período)]+tblHorasAgo[Horas Trabalhadas (1º Período)]),
                           0),
                      IF(ROUND((tblHorasAgo[Jornada Diária]-(tblHorasAgo[Horas Trabalhadas (2º Período)]+tblHorasAgo[Horas Trabalhadas (1º Período)])),6)&lt;ROUND(-CARENCIA,6),
                           -tblHorasAgo[Jornada Diária]+(tblHorasAgo[Horas Trabalhadas (2º Período)]+tblHorasAgo[Horas Trabalhadas (1º Período)]),
                           0)),
              tblHorasAgo[Horas Trabalhadas (2º Período)]+tblHorasAgo[Horas Trabalhadas (1º Período)]),
         IF(AND(IF(ISERROR(VLOOKUP(tblHorasAgo[Evento 
(1º Período)],tblEvento[[Evento]:[Libera o Período]],4,FALSE)),FALSE,IF(VLOOKUP(tblHorasAgo[Evento 
(1º Período)],tblEvento[[Evento]:[Libera o Período]],4,FALSE)="Não",TRUE,FALSE)),IF(ISERROR(VLOOKUP(tblHorasAgo[Evento 
(2º Período)],tblEvento[[Evento]:[Libera o Período]],4,FALSE)),FALSE,IF(VLOOKUP(tblHorasAgo[Evento 
(2º Período)],tblEvento[[Evento]:[Libera o Período]],4,FALSE)="Não",TRUE,FALSE))),
-IF(VLOOKUP(tblHorasAgo[Dia],tblDiaUtil[[Abreviatura]:[Total Jornada]],5,FALSE)&lt;&gt;"",VLOOKUP(tblHorasAgo[Dia],tblDiaUtil[[Abreviatura]:[Total Jornada]],5,FALSE),JORNADA),
IF(IF(ISERROR(VLOOKUP(tblHorasAgo[Evento 
(1º Período)],tblEvento[[Evento]:[Libera o Período]],4,FALSE)),FALSE,
IF(VLOOKUP(tblHorasAgo[Evento 
(1º Período)],tblEvento[[Evento]:[Libera o Período]],4,FALSE)="Não",TRUE,FALSE)
),
-IF(VLOOKUP(tblHorasAgo[Dia],tblDiaUtil[[Abreviatura]:[1º Período]],3,FALSE)&lt;&gt;"",VLOOKUP(tblHorasAgo[Dia],tblDiaUtil[[Abreviatura]:[1º Período]],3,FALSE),JORNADA_PERIODO_1),
IF(IF(ISERROR(VLOOKUP(tblHorasAgo[Evento 
(2º Período)],tblEvento[[Evento]:[Libera o Período]],4,FALSE)),FALSE,IF(VLOOKUP(tblHorasAgo[Evento 
(2º Período)],tblEvento[[Evento]:[Libera o Período]],4,FALSE)="Não",TRUE,FALSE)),
-IF(VLOOKUP(tblHorasAgo[Dia],tblDiaUtil[[Abreviatura]:[2º Período]],4,FALSE)&lt;&gt;"",VLOOKUP(tblHorasAgo[Dia],tblDiaUtil[[Abreviatura]:[2º Período]],4,FALSE),JORNADA_PERIODO_2),0))))</f>
        <v>0</v>
      </c>
      <c r="O10" s="14">
        <f>IF(tblHorasAgo[Horas Trabalhadas Além Jornada]&gt;0,
        IF(ISNUMBER(tblHorasAgo[Jornada Diária]),
              IF(HOUR(tblHorasAgo[Horas Trabalhadas Além Jornada])&gt;=VLOOKUP(LIMITE,tblLimiteHora[],Tabelas!$I$1,FALSE),
                    VLOOKUP(LIMITE,tblLimiteHora[],Tabelas!$J$1,FALSE),
                    tblHorasAgo[Horas Trabalhadas Além Jornada]),
              tblHorasAgo[Horas Trabalhadas Além Jornada]),
        tblHorasAgo[Horas Trabalhadas Além Jornada])+O9</f>
        <v>0</v>
      </c>
      <c r="P10" s="14" t="str">
        <f>IF(tblHorasAgo[Horas Trabalhadas Além Jornada]&lt;0,IF(OR(tblHorasAgo[Evento 
(1º Período)]="",tblHorasAgo[Evento 
(2º Período)]=""),tblHorasAgo[Horas Trabalhadas Além Jornada],""),"")</f>
        <v/>
      </c>
      <c r="Q10" s="14" t="str">
        <f>IF(tblHorasAgo[Jornada Diária]&lt;&gt;"",IF((N(tblHorasAgo[Jornada Diária])-ABS(N(tblHorasAgo[Horas Trabalhadas Além Jornada])))=0,1,""),"")</f>
        <v/>
      </c>
      <c r="R10" s="14" t="str">
        <f>IF(tblHorasAgo[Horas Trabalhadas Além Jornada]&gt;0,
IF(AND(VLOOKUP(TEXT(tblHorasAgo[Data],"dddd"),tblDiaUtil[],3,FALSE)="Sim",IF(tblHorasAgo[Evento 
(1º Período)]&lt;&gt;"",IF(VLOOKUP(tblHorasAgo[Evento 
(1º Período)],tblEvento[],Tabelas!$E$1,FALSE)="Sim",FALSE,TRUE),TRUE),IF(tblHorasAgo[Evento 
(2º Período)]&lt;&gt;"",IF(VLOOKUP(tblHorasAgo[Evento 
(2º Período)],tblEvento[],Tabelas!$E$1,FALSE)="Sim",FALSE,TRUE),TRUE)),
tblHorasAgo[Horas Trabalhadas Além Jornada],""),"")</f>
        <v/>
      </c>
      <c r="S10" s="14" t="str">
        <f>IF(tblHorasAgo[Horas Trabalhadas Além Jornada]&gt;0,
IF(OR(VLOOKUP(TEXT(tblHorasAgo[Data],"dddd"),tblDiaUtil[],3,FALSE)="Não",IF(tblHorasAgo[Evento 
(1º Período)]&lt;&gt;"",IF(VLOOKUP(tblHorasAgo[Evento 
(1º Período)],tblEvento[],Tabelas!$E$1,FALSE)="Sim",TRUE,FALSE),FALSE),IF(tblHorasAgo[Evento 
(2º Período)]&lt;&gt;"",IF(VLOOKUP(tblHorasAgo[Evento 
(2º Período)],tblEvento[],Tabelas!$E$1,FALSE)="Sim",TRUE,FALSE),FALSE)),
tblHorasAgo[Horas Trabalhadas Além Jornada],""),"")</f>
        <v/>
      </c>
      <c r="T10" s="15" t="str">
        <f>IF(tblHorasAgo[Evento 
(1º Período)]&lt;&gt;""," - " &amp;VLOOKUP(tblHorasAgo[Evento 
(1º Período)],tblEvento[],Tabelas!$F$1,FALSE),"")&amp;IF(AND(tblHorasAgo[Evento 
(2º Período)]&lt;&gt;"",tblHorasAgo[Evento 
(2º Período)]&lt;&gt;tblHorasAgo[Evento 
(1º Período)])," - " &amp; VLOOKUP(tblHorasAgo[Evento 
(2º Período)],tblEvento[],Tabelas!$F$1,FALSE),"")</f>
        <v/>
      </c>
      <c r="Y10" s="17"/>
    </row>
    <row r="11" spans="2:25" x14ac:dyDescent="0.25">
      <c r="B11" s="11" t="str">
        <f t="shared" ref="B11:B39" si="0">IF(B10&lt;&gt;"",IF(DAY(B10+1)=IF($E$6&lt;&gt;"",$E$6,1),"",B10+1),"")</f>
        <v/>
      </c>
      <c r="C11" s="12" t="str">
        <f>TEXT(tblHorasAgo[Data],"ddd")</f>
        <v/>
      </c>
      <c r="D11" s="25"/>
      <c r="E11" s="1"/>
      <c r="F11" s="1"/>
      <c r="G11" s="1"/>
      <c r="H11" s="1"/>
      <c r="I11" s="53"/>
      <c r="J11" s="4">
        <f>IF($B$6&lt;&gt;"",
IF(AND(tblHorasAgo[Evento 
(1º Período)]&lt;&gt;"",IF(ISERROR(VLOOKUP(tblHorasAgo[Evento 
(1º Período)],tblEvento[],Tabelas!$D$1,FALSE)),FALSE,VLOOKUP(tblHorasAgo[Evento 
(1º Período)],tblEvento[],Tabelas!$D$1,FALSE)="Sim")),
        IF(JORNADA_PERIODO_1&lt;&gt;"",
IF(VLOOKUP(tblHorasAgo[Dia],tblDiaUtil[[Abreviatura]:[1º Período]],3,FALSE)&gt;0,VLOOKUP(tblHorasAgo[Dia],tblDiaUtil[[Abreviatura]:[1º Período]],3,FALSE),JORNADA_PERIODO_1),
IF(VLOOKUP(tblHorasAgo[Dia],tblDiaUtil[[Abreviatura]:[1º Período]],3,FALSE)&gt;0,VLOOKUP(tblHorasAgo[Dia],tblDiaUtil[[Abreviatura]:[1º Período]],3,FALSE),JORNADA/2)),
        IF(AND(ISNUMBER(tblHorasAgo[Saída - 1 (Almoço)]),ISNUMBER(tblHorasAgo[Entrada - 1])),
              IF(OR(AND(tblHorasAgo[Evento 
(1º Período)]&lt;&gt;"",IF(ISERROR(VLOOKUP(tblHorasAgo[Evento 
(1º Período)],tblEvento[],Tabelas!$E$1,FALSE)),FALSE,VLOOKUP(tblHorasAgo[Evento 
(1º Período)],tblEvento[],Tabelas!$E$1,FALSE)="Sim")),IF(VLOOKUP(TEXT(tblHorasAgo[Data],"dddd"),tblDiaUtil[],2,FALSE)="Não",TRUE,FALSE)),
                   tblHorasAgo[Saída - 1 (Almoço)]-tblHorasAgo[Entrada - 1],
                   IF(OR(HOUR(tblHorasAgo[Saída - 1 (Almoço)]-tblHorasAgo[Entrada - 1])&gt;0,ROUND(tblHorasAgo[Saída - 1 (Almoço)]-tblHorasAgo[Entrada - 1],6)&gt;ROUND(CARENCIA,6)),
                          tblHorasAgo[Saída - 1 (Almoço)]-tblHorasAgo[Entrada - 1],
                          0)),
                    0)),0)</f>
        <v>0</v>
      </c>
      <c r="K11" s="4">
        <f>IF($B$6&lt;&gt;"",
IF(AND(tblHorasAgo[Evento 
(2º Período)]&lt;&gt;"",IF(ISERROR(VLOOKUP(tblHorasAgo[Evento 
(2º Período)],tblEvento[],Tabelas!$D$1,FALSE)),FALSE,VLOOKUP(tblHorasAgo[Evento 
(2º Período)],tblEvento[],Tabelas!$D$1,FALSE)="Sim")),
        IF(JORNADA_PERIODO_2&lt;&gt;"",
IF(VLOOKUP(tblHorasAgo[Dia],tblDiaUtil[[Abreviatura]:[2º Período]],4,FALSE)&gt;0,VLOOKUP(tblHorasAgo[Dia],tblDiaUtil[[Abreviatura]:[2º Período]],4,FALSE),JORNADA_PERIODO_2),
IF(VLOOKUP(tblHorasAgo[Dia],tblDiaUtil[[Abreviatura]:[2º Período]],4,FALSE)&gt;0,VLOOKUP(tblHorasAgo[Dia],tblDiaUtil[[Abreviatura]:[2º Período]],4,FALSE),JORNADA/2)),
        IF(AND(ISNUMBER(tblHorasAgo[Saída - 2]),ISNUMBER(tblHorasAgo[Entrada - 2 (Almoço)])),
              IF(OR(AND(tblHorasAgo[Evento 
(2º Período)]&lt;&gt;"",IF(ISERROR(VLOOKUP(tblHorasAgo[Evento 
(2º Período)],tblEvento[],Tabelas!$E$1,FALSE)),FALSE,VLOOKUP(tblHorasAgo[Evento 
(2º Período)],tblEvento[],Tabelas!$E$1,FALSE)="Sim")),IF(VLOOKUP(TEXT(tblHorasAgo[Data],"dddd"),tblDiaUtil[],2,FALSE)="Não",TRUE,FALSE)),
                   tblHorasAgo[Saída - 2]-tblHorasAgo[Entrada - 2 (Almoço)],
                   IF(OR(HOUR(tblHorasAgo[Saída - 2]-tblHorasAgo[Entrada - 2 (Almoço)])&gt;0,MINUTE(tblHorasAgo[Saída - 2]-tblHorasAgo[Entrada - 2 (Almoço)])&gt;CARENCIA),
                         tblHorasAgo[Saída - 2]-tblHorasAgo[Entrada - 2 (Almoço)],
                         0)),
       0)),0)</f>
        <v>0</v>
      </c>
      <c r="L11" s="4">
        <f>tblHorasAgo[Horas Trabalhadas (1º Período)]+tblHorasAgo[Horas Trabalhadas (2º Período)]</f>
        <v>0</v>
      </c>
      <c r="M11" s="4" t="str">
        <f>IF(tblHorasAgo[Data]&lt;&gt;"",
        IF(
AND(VLOOKUP(TEXT(tblHorasAgo[Data],"dddd"),tblDiaUtil[],3,FALSE)="Sim",IF(tblHorasAgo[Evento 
(1º Período)]&lt;&gt;"",IF(VLOOKUP(tblHorasAgo[Evento 
(1º Período)],tblEvento[],Tabelas!$E$1,FALSE)="Sim",FALSE,TRUE),TRUE),IF(tblHorasAgo[Evento 
(2º Período)]&lt;&gt;"",IF(VLOOKUP(tblHorasAgo[Evento 
(2º Período)],tblEvento[],Tabelas!$E$1,FALSE)="Sim",FALSE,TRUE),TRUE)),
              IF(VLOOKUP(tblHorasAgo[Dia],tblDiaUtil[[Abreviatura]:[1º Período]],3,FALSE)&gt;0,VLOOKUP(tblHorasAgo[Dia],tblDiaUtil[[Abreviatura]:[1º Período]],3,FALSE),JORNADA),
              ""),
         "")</f>
        <v/>
      </c>
      <c r="N11" s="14">
        <f>IF(OR(tblHorasAgo[Horas Trabalhadas (1º Período)]&lt;&gt;0,tblHorasAgo[Horas Trabalhadas (2º Período)]&lt;&gt;0),
        IF(ISNUMBER(tblHorasAgo[Jornada Diária]),
              IF(tblHorasAgo[Jornada Diária]&gt;(tblHorasAgo[Horas Trabalhadas (2º Período)]+tblHorasAgo[Horas Trabalhadas (1º Período)]),
                     IF(ROUND((tblHorasAgo[Jornada Diária]-(tblHorasAgo[Horas Trabalhadas (2º Período)]+tblHorasAgo[Horas Trabalhadas (1º Período)])),6)&gt;ROUND(CARENCIA,6),
                           -tblHorasAgo[Jornada Diária]+(tblHorasAgo[Horas Trabalhadas (2º Período)]+tblHorasAgo[Horas Trabalhadas (1º Período)]),
                           0),
                      IF(ROUND((tblHorasAgo[Jornada Diária]-(tblHorasAgo[Horas Trabalhadas (2º Período)]+tblHorasAgo[Horas Trabalhadas (1º Período)])),6)&lt;ROUND(-CARENCIA,6),
                           -tblHorasAgo[Jornada Diária]+(tblHorasAgo[Horas Trabalhadas (2º Período)]+tblHorasAgo[Horas Trabalhadas (1º Período)]),
                           0)),
              tblHorasAgo[Horas Trabalhadas (2º Período)]+tblHorasAgo[Horas Trabalhadas (1º Período)]),
         IF(AND(IF(ISERROR(VLOOKUP(tblHorasAgo[Evento 
(1º Período)],tblEvento[[Evento]:[Libera o Período]],4,FALSE)),FALSE,IF(VLOOKUP(tblHorasAgo[Evento 
(1º Período)],tblEvento[[Evento]:[Libera o Período]],4,FALSE)="Não",TRUE,FALSE)),IF(ISERROR(VLOOKUP(tblHorasAgo[Evento 
(2º Período)],tblEvento[[Evento]:[Libera o Período]],4,FALSE)),FALSE,IF(VLOOKUP(tblHorasAgo[Evento 
(2º Período)],tblEvento[[Evento]:[Libera o Período]],4,FALSE)="Não",TRUE,FALSE))),
-IF(VLOOKUP(tblHorasAgo[Dia],tblDiaUtil[[Abreviatura]:[Total Jornada]],5,FALSE)&lt;&gt;"",VLOOKUP(tblHorasAgo[Dia],tblDiaUtil[[Abreviatura]:[Total Jornada]],5,FALSE),JORNADA),
IF(IF(ISERROR(VLOOKUP(tblHorasAgo[Evento 
(1º Período)],tblEvento[[Evento]:[Libera o Período]],4,FALSE)),FALSE,
IF(VLOOKUP(tblHorasAgo[Evento 
(1º Período)],tblEvento[[Evento]:[Libera o Período]],4,FALSE)="Não",TRUE,FALSE)
),
-IF(VLOOKUP(tblHorasAgo[Dia],tblDiaUtil[[Abreviatura]:[1º Período]],3,FALSE)&lt;&gt;"",VLOOKUP(tblHorasAgo[Dia],tblDiaUtil[[Abreviatura]:[1º Período]],3,FALSE),JORNADA_PERIODO_1),
IF(IF(ISERROR(VLOOKUP(tblHorasAgo[Evento 
(2º Período)],tblEvento[[Evento]:[Libera o Período]],4,FALSE)),FALSE,IF(VLOOKUP(tblHorasAgo[Evento 
(2º Período)],tblEvento[[Evento]:[Libera o Período]],4,FALSE)="Não",TRUE,FALSE)),
-IF(VLOOKUP(tblHorasAgo[Dia],tblDiaUtil[[Abreviatura]:[2º Período]],4,FALSE)&lt;&gt;"",VLOOKUP(tblHorasAgo[Dia],tblDiaUtil[[Abreviatura]:[2º Período]],4,FALSE),JORNADA_PERIODO_2),0))))</f>
        <v>0</v>
      </c>
      <c r="O11" s="14">
        <f>IF(tblHorasAgo[Horas Trabalhadas Além Jornada]&gt;0,
        IF(ISNUMBER(tblHorasAgo[Jornada Diária]),
              IF(HOUR(tblHorasAgo[Horas Trabalhadas Além Jornada])&gt;=VLOOKUP(LIMITE,tblLimiteHora[],Tabelas!$I$1,FALSE),
                    VLOOKUP(LIMITE,tblLimiteHora[],Tabelas!$J$1,FALSE),
                    tblHorasAgo[Horas Trabalhadas Além Jornada]),
              tblHorasAgo[Horas Trabalhadas Além Jornada]),
        tblHorasAgo[Horas Trabalhadas Além Jornada])+O10</f>
        <v>0</v>
      </c>
      <c r="P11" s="14" t="str">
        <f>IF(tblHorasAgo[Horas Trabalhadas Além Jornada]&lt;0,IF(OR(tblHorasAgo[Evento 
(1º Período)]="",tblHorasAgo[Evento 
(2º Período)]=""),tblHorasAgo[Horas Trabalhadas Além Jornada],""),"")</f>
        <v/>
      </c>
      <c r="Q11" s="14" t="str">
        <f>IF(tblHorasAgo[Jornada Diária]&lt;&gt;"",IF((N(tblHorasAgo[Jornada Diária])-ABS(N(tblHorasAgo[Horas Trabalhadas Além Jornada])))=0,1,""),"")</f>
        <v/>
      </c>
      <c r="R11" s="14" t="str">
        <f>IF(tblHorasAgo[Horas Trabalhadas Além Jornada]&gt;0,
IF(AND(VLOOKUP(TEXT(tblHorasAgo[Data],"dddd"),tblDiaUtil[],3,FALSE)="Sim",IF(tblHorasAgo[Evento 
(1º Período)]&lt;&gt;"",IF(VLOOKUP(tblHorasAgo[Evento 
(1º Período)],tblEvento[],Tabelas!$E$1,FALSE)="Sim",FALSE,TRUE),TRUE),IF(tblHorasAgo[Evento 
(2º Período)]&lt;&gt;"",IF(VLOOKUP(tblHorasAgo[Evento 
(2º Período)],tblEvento[],Tabelas!$E$1,FALSE)="Sim",FALSE,TRUE),TRUE)),
tblHorasAgo[Horas Trabalhadas Além Jornada],""),"")</f>
        <v/>
      </c>
      <c r="S11" s="14" t="str">
        <f>IF(tblHorasAgo[Horas Trabalhadas Além Jornada]&gt;0,
IF(OR(VLOOKUP(TEXT(tblHorasAgo[Data],"dddd"),tblDiaUtil[],3,FALSE)="Não",IF(tblHorasAgo[Evento 
(1º Período)]&lt;&gt;"",IF(VLOOKUP(tblHorasAgo[Evento 
(1º Período)],tblEvento[],Tabelas!$E$1,FALSE)="Sim",TRUE,FALSE),FALSE),IF(tblHorasAgo[Evento 
(2º Período)]&lt;&gt;"",IF(VLOOKUP(tblHorasAgo[Evento 
(2º Período)],tblEvento[],Tabelas!$E$1,FALSE)="Sim",TRUE,FALSE),FALSE)),
tblHorasAgo[Horas Trabalhadas Além Jornada],""),"")</f>
        <v/>
      </c>
      <c r="T11" s="15" t="str">
        <f>IF(tblHorasAgo[Evento 
(1º Período)]&lt;&gt;""," - " &amp;VLOOKUP(tblHorasAgo[Evento 
(1º Período)],tblEvento[],Tabelas!$F$1,FALSE),"")&amp;IF(AND(tblHorasAgo[Evento 
(2º Período)]&lt;&gt;"",tblHorasAgo[Evento 
(2º Período)]&lt;&gt;tblHorasAgo[Evento 
(1º Período)])," - " &amp; VLOOKUP(tblHorasAgo[Evento 
(2º Período)],tblEvento[],Tabelas!$F$1,FALSE),"")</f>
        <v/>
      </c>
    </row>
    <row r="12" spans="2:25" x14ac:dyDescent="0.25">
      <c r="B12" s="11" t="str">
        <f t="shared" si="0"/>
        <v/>
      </c>
      <c r="C12" s="12" t="str">
        <f>TEXT(tblHorasAgo[Data],"ddd")</f>
        <v/>
      </c>
      <c r="D12" s="25"/>
      <c r="E12" s="1"/>
      <c r="F12" s="1"/>
      <c r="G12" s="1"/>
      <c r="H12" s="1"/>
      <c r="I12" s="53"/>
      <c r="J12" s="4">
        <f>IF($B$6&lt;&gt;"",
IF(AND(tblHorasAgo[Evento 
(1º Período)]&lt;&gt;"",IF(ISERROR(VLOOKUP(tblHorasAgo[Evento 
(1º Período)],tblEvento[],Tabelas!$D$1,FALSE)),FALSE,VLOOKUP(tblHorasAgo[Evento 
(1º Período)],tblEvento[],Tabelas!$D$1,FALSE)="Sim")),
        IF(JORNADA_PERIODO_1&lt;&gt;"",
IF(VLOOKUP(tblHorasAgo[Dia],tblDiaUtil[[Abreviatura]:[1º Período]],3,FALSE)&gt;0,VLOOKUP(tblHorasAgo[Dia],tblDiaUtil[[Abreviatura]:[1º Período]],3,FALSE),JORNADA_PERIODO_1),
IF(VLOOKUP(tblHorasAgo[Dia],tblDiaUtil[[Abreviatura]:[1º Período]],3,FALSE)&gt;0,VLOOKUP(tblHorasAgo[Dia],tblDiaUtil[[Abreviatura]:[1º Período]],3,FALSE),JORNADA/2)),
        IF(AND(ISNUMBER(tblHorasAgo[Saída - 1 (Almoço)]),ISNUMBER(tblHorasAgo[Entrada - 1])),
              IF(OR(AND(tblHorasAgo[Evento 
(1º Período)]&lt;&gt;"",IF(ISERROR(VLOOKUP(tblHorasAgo[Evento 
(1º Período)],tblEvento[],Tabelas!$E$1,FALSE)),FALSE,VLOOKUP(tblHorasAgo[Evento 
(1º Período)],tblEvento[],Tabelas!$E$1,FALSE)="Sim")),IF(VLOOKUP(TEXT(tblHorasAgo[Data],"dddd"),tblDiaUtil[],2,FALSE)="Não",TRUE,FALSE)),
                   tblHorasAgo[Saída - 1 (Almoço)]-tblHorasAgo[Entrada - 1],
                   IF(OR(HOUR(tblHorasAgo[Saída - 1 (Almoço)]-tblHorasAgo[Entrada - 1])&gt;0,ROUND(tblHorasAgo[Saída - 1 (Almoço)]-tblHorasAgo[Entrada - 1],6)&gt;ROUND(CARENCIA,6)),
                          tblHorasAgo[Saída - 1 (Almoço)]-tblHorasAgo[Entrada - 1],
                          0)),
                    0)),0)</f>
        <v>0</v>
      </c>
      <c r="K12" s="4">
        <f>IF($B$6&lt;&gt;"",
IF(AND(tblHorasAgo[Evento 
(2º Período)]&lt;&gt;"",IF(ISERROR(VLOOKUP(tblHorasAgo[Evento 
(2º Período)],tblEvento[],Tabelas!$D$1,FALSE)),FALSE,VLOOKUP(tblHorasAgo[Evento 
(2º Período)],tblEvento[],Tabelas!$D$1,FALSE)="Sim")),
        IF(JORNADA_PERIODO_2&lt;&gt;"",
IF(VLOOKUP(tblHorasAgo[Dia],tblDiaUtil[[Abreviatura]:[2º Período]],4,FALSE)&gt;0,VLOOKUP(tblHorasAgo[Dia],tblDiaUtil[[Abreviatura]:[2º Período]],4,FALSE),JORNADA_PERIODO_2),
IF(VLOOKUP(tblHorasAgo[Dia],tblDiaUtil[[Abreviatura]:[2º Período]],4,FALSE)&gt;0,VLOOKUP(tblHorasAgo[Dia],tblDiaUtil[[Abreviatura]:[2º Período]],4,FALSE),JORNADA/2)),
        IF(AND(ISNUMBER(tblHorasAgo[Saída - 2]),ISNUMBER(tblHorasAgo[Entrada - 2 (Almoço)])),
              IF(OR(AND(tblHorasAgo[Evento 
(2º Período)]&lt;&gt;"",IF(ISERROR(VLOOKUP(tblHorasAgo[Evento 
(2º Período)],tblEvento[],Tabelas!$E$1,FALSE)),FALSE,VLOOKUP(tblHorasAgo[Evento 
(2º Período)],tblEvento[],Tabelas!$E$1,FALSE)="Sim")),IF(VLOOKUP(TEXT(tblHorasAgo[Data],"dddd"),tblDiaUtil[],2,FALSE)="Não",TRUE,FALSE)),
                   tblHorasAgo[Saída - 2]-tblHorasAgo[Entrada - 2 (Almoço)],
                   IF(OR(HOUR(tblHorasAgo[Saída - 2]-tblHorasAgo[Entrada - 2 (Almoço)])&gt;0,MINUTE(tblHorasAgo[Saída - 2]-tblHorasAgo[Entrada - 2 (Almoço)])&gt;CARENCIA),
                         tblHorasAgo[Saída - 2]-tblHorasAgo[Entrada - 2 (Almoço)],
                         0)),
       0)),0)</f>
        <v>0</v>
      </c>
      <c r="L12" s="4">
        <f>tblHorasAgo[Horas Trabalhadas (1º Período)]+tblHorasAgo[Horas Trabalhadas (2º Período)]</f>
        <v>0</v>
      </c>
      <c r="M12" s="4" t="str">
        <f>IF(tblHorasAgo[Data]&lt;&gt;"",
        IF(
AND(VLOOKUP(TEXT(tblHorasAgo[Data],"dddd"),tblDiaUtil[],3,FALSE)="Sim",IF(tblHorasAgo[Evento 
(1º Período)]&lt;&gt;"",IF(VLOOKUP(tblHorasAgo[Evento 
(1º Período)],tblEvento[],Tabelas!$E$1,FALSE)="Sim",FALSE,TRUE),TRUE),IF(tblHorasAgo[Evento 
(2º Período)]&lt;&gt;"",IF(VLOOKUP(tblHorasAgo[Evento 
(2º Período)],tblEvento[],Tabelas!$E$1,FALSE)="Sim",FALSE,TRUE),TRUE)),
              IF(VLOOKUP(tblHorasAgo[Dia],tblDiaUtil[[Abreviatura]:[1º Período]],3,FALSE)&gt;0,VLOOKUP(tblHorasAgo[Dia],tblDiaUtil[[Abreviatura]:[1º Período]],3,FALSE),JORNADA),
              ""),
         "")</f>
        <v/>
      </c>
      <c r="N12" s="14">
        <f>IF(OR(tblHorasAgo[Horas Trabalhadas (1º Período)]&lt;&gt;0,tblHorasAgo[Horas Trabalhadas (2º Período)]&lt;&gt;0),
        IF(ISNUMBER(tblHorasAgo[Jornada Diária]),
              IF(tblHorasAgo[Jornada Diária]&gt;(tblHorasAgo[Horas Trabalhadas (2º Período)]+tblHorasAgo[Horas Trabalhadas (1º Período)]),
                     IF(ROUND((tblHorasAgo[Jornada Diária]-(tblHorasAgo[Horas Trabalhadas (2º Período)]+tblHorasAgo[Horas Trabalhadas (1º Período)])),6)&gt;ROUND(CARENCIA,6),
                           -tblHorasAgo[Jornada Diária]+(tblHorasAgo[Horas Trabalhadas (2º Período)]+tblHorasAgo[Horas Trabalhadas (1º Período)]),
                           0),
                      IF(ROUND((tblHorasAgo[Jornada Diária]-(tblHorasAgo[Horas Trabalhadas (2º Período)]+tblHorasAgo[Horas Trabalhadas (1º Período)])),6)&lt;ROUND(-CARENCIA,6),
                           -tblHorasAgo[Jornada Diária]+(tblHorasAgo[Horas Trabalhadas (2º Período)]+tblHorasAgo[Horas Trabalhadas (1º Período)]),
                           0)),
              tblHorasAgo[Horas Trabalhadas (2º Período)]+tblHorasAgo[Horas Trabalhadas (1º Período)]),
         IF(AND(IF(ISERROR(VLOOKUP(tblHorasAgo[Evento 
(1º Período)],tblEvento[[Evento]:[Libera o Período]],4,FALSE)),FALSE,IF(VLOOKUP(tblHorasAgo[Evento 
(1º Período)],tblEvento[[Evento]:[Libera o Período]],4,FALSE)="Não",TRUE,FALSE)),IF(ISERROR(VLOOKUP(tblHorasAgo[Evento 
(2º Período)],tblEvento[[Evento]:[Libera o Período]],4,FALSE)),FALSE,IF(VLOOKUP(tblHorasAgo[Evento 
(2º Período)],tblEvento[[Evento]:[Libera o Período]],4,FALSE)="Não",TRUE,FALSE))),
-IF(VLOOKUP(tblHorasAgo[Dia],tblDiaUtil[[Abreviatura]:[Total Jornada]],5,FALSE)&lt;&gt;"",VLOOKUP(tblHorasAgo[Dia],tblDiaUtil[[Abreviatura]:[Total Jornada]],5,FALSE),JORNADA),
IF(IF(ISERROR(VLOOKUP(tblHorasAgo[Evento 
(1º Período)],tblEvento[[Evento]:[Libera o Período]],4,FALSE)),FALSE,
IF(VLOOKUP(tblHorasAgo[Evento 
(1º Período)],tblEvento[[Evento]:[Libera o Período]],4,FALSE)="Não",TRUE,FALSE)
),
-IF(VLOOKUP(tblHorasAgo[Dia],tblDiaUtil[[Abreviatura]:[1º Período]],3,FALSE)&lt;&gt;"",VLOOKUP(tblHorasAgo[Dia],tblDiaUtil[[Abreviatura]:[1º Período]],3,FALSE),JORNADA_PERIODO_1),
IF(IF(ISERROR(VLOOKUP(tblHorasAgo[Evento 
(2º Período)],tblEvento[[Evento]:[Libera o Período]],4,FALSE)),FALSE,IF(VLOOKUP(tblHorasAgo[Evento 
(2º Período)],tblEvento[[Evento]:[Libera o Período]],4,FALSE)="Não",TRUE,FALSE)),
-IF(VLOOKUP(tblHorasAgo[Dia],tblDiaUtil[[Abreviatura]:[2º Período]],4,FALSE)&lt;&gt;"",VLOOKUP(tblHorasAgo[Dia],tblDiaUtil[[Abreviatura]:[2º Período]],4,FALSE),JORNADA_PERIODO_2),0))))</f>
        <v>0</v>
      </c>
      <c r="O12" s="14">
        <f>IF(tblHorasAgo[Horas Trabalhadas Além Jornada]&gt;0,
        IF(ISNUMBER(tblHorasAgo[Jornada Diária]),
              IF(HOUR(tblHorasAgo[Horas Trabalhadas Além Jornada])&gt;=VLOOKUP(LIMITE,tblLimiteHora[],Tabelas!$I$1,FALSE),
                    VLOOKUP(LIMITE,tblLimiteHora[],Tabelas!$J$1,FALSE),
                    tblHorasAgo[Horas Trabalhadas Além Jornada]),
              tblHorasAgo[Horas Trabalhadas Além Jornada]),
        tblHorasAgo[Horas Trabalhadas Além Jornada])+O11</f>
        <v>0</v>
      </c>
      <c r="P12" s="14" t="str">
        <f>IF(tblHorasAgo[Horas Trabalhadas Além Jornada]&lt;0,IF(OR(tblHorasAgo[Evento 
(1º Período)]="",tblHorasAgo[Evento 
(2º Período)]=""),tblHorasAgo[Horas Trabalhadas Além Jornada],""),"")</f>
        <v/>
      </c>
      <c r="Q12" s="14" t="str">
        <f>IF(tblHorasAgo[Jornada Diária]&lt;&gt;"",IF((N(tblHorasAgo[Jornada Diária])-ABS(N(tblHorasAgo[Horas Trabalhadas Além Jornada])))=0,1,""),"")</f>
        <v/>
      </c>
      <c r="R12" s="14" t="str">
        <f>IF(tblHorasAgo[Horas Trabalhadas Além Jornada]&gt;0,
IF(AND(VLOOKUP(TEXT(tblHorasAgo[Data],"dddd"),tblDiaUtil[],3,FALSE)="Sim",IF(tblHorasAgo[Evento 
(1º Período)]&lt;&gt;"",IF(VLOOKUP(tblHorasAgo[Evento 
(1º Período)],tblEvento[],Tabelas!$E$1,FALSE)="Sim",FALSE,TRUE),TRUE),IF(tblHorasAgo[Evento 
(2º Período)]&lt;&gt;"",IF(VLOOKUP(tblHorasAgo[Evento 
(2º Período)],tblEvento[],Tabelas!$E$1,FALSE)="Sim",FALSE,TRUE),TRUE)),
tblHorasAgo[Horas Trabalhadas Além Jornada],""),"")</f>
        <v/>
      </c>
      <c r="S12" s="14" t="str">
        <f>IF(tblHorasAgo[Horas Trabalhadas Além Jornada]&gt;0,
IF(OR(VLOOKUP(TEXT(tblHorasAgo[Data],"dddd"),tblDiaUtil[],3,FALSE)="Não",IF(tblHorasAgo[Evento 
(1º Período)]&lt;&gt;"",IF(VLOOKUP(tblHorasAgo[Evento 
(1º Período)],tblEvento[],Tabelas!$E$1,FALSE)="Sim",TRUE,FALSE),FALSE),IF(tblHorasAgo[Evento 
(2º Período)]&lt;&gt;"",IF(VLOOKUP(tblHorasAgo[Evento 
(2º Período)],tblEvento[],Tabelas!$E$1,FALSE)="Sim",TRUE,FALSE),FALSE)),
tblHorasAgo[Horas Trabalhadas Além Jornada],""),"")</f>
        <v/>
      </c>
      <c r="T12" s="15" t="str">
        <f>IF(tblHorasAgo[Evento 
(1º Período)]&lt;&gt;""," - " &amp;VLOOKUP(tblHorasAgo[Evento 
(1º Período)],tblEvento[],Tabelas!$F$1,FALSE),"")&amp;IF(AND(tblHorasAgo[Evento 
(2º Período)]&lt;&gt;"",tblHorasAgo[Evento 
(2º Período)]&lt;&gt;tblHorasAgo[Evento 
(1º Período)])," - " &amp; VLOOKUP(tblHorasAgo[Evento 
(2º Período)],tblEvento[],Tabelas!$F$1,FALSE),"")</f>
        <v/>
      </c>
    </row>
    <row r="13" spans="2:25" x14ac:dyDescent="0.25">
      <c r="B13" s="11" t="str">
        <f t="shared" si="0"/>
        <v/>
      </c>
      <c r="C13" s="12" t="str">
        <f>TEXT(tblHorasAgo[Data],"ddd")</f>
        <v/>
      </c>
      <c r="D13" s="25"/>
      <c r="E13" s="1"/>
      <c r="F13" s="1"/>
      <c r="G13" s="1"/>
      <c r="H13" s="1"/>
      <c r="I13" s="53"/>
      <c r="J13" s="4">
        <f>IF($B$6&lt;&gt;"",
IF(AND(tblHorasAgo[Evento 
(1º Período)]&lt;&gt;"",IF(ISERROR(VLOOKUP(tblHorasAgo[Evento 
(1º Período)],tblEvento[],Tabelas!$D$1,FALSE)),FALSE,VLOOKUP(tblHorasAgo[Evento 
(1º Período)],tblEvento[],Tabelas!$D$1,FALSE)="Sim")),
        IF(JORNADA_PERIODO_1&lt;&gt;"",
IF(VLOOKUP(tblHorasAgo[Dia],tblDiaUtil[[Abreviatura]:[1º Período]],3,FALSE)&gt;0,VLOOKUP(tblHorasAgo[Dia],tblDiaUtil[[Abreviatura]:[1º Período]],3,FALSE),JORNADA_PERIODO_1),
IF(VLOOKUP(tblHorasAgo[Dia],tblDiaUtil[[Abreviatura]:[1º Período]],3,FALSE)&gt;0,VLOOKUP(tblHorasAgo[Dia],tblDiaUtil[[Abreviatura]:[1º Período]],3,FALSE),JORNADA/2)),
        IF(AND(ISNUMBER(tblHorasAgo[Saída - 1 (Almoço)]),ISNUMBER(tblHorasAgo[Entrada - 1])),
              IF(OR(AND(tblHorasAgo[Evento 
(1º Período)]&lt;&gt;"",IF(ISERROR(VLOOKUP(tblHorasAgo[Evento 
(1º Período)],tblEvento[],Tabelas!$E$1,FALSE)),FALSE,VLOOKUP(tblHorasAgo[Evento 
(1º Período)],tblEvento[],Tabelas!$E$1,FALSE)="Sim")),IF(VLOOKUP(TEXT(tblHorasAgo[Data],"dddd"),tblDiaUtil[],2,FALSE)="Não",TRUE,FALSE)),
                   tblHorasAgo[Saída - 1 (Almoço)]-tblHorasAgo[Entrada - 1],
                   IF(OR(HOUR(tblHorasAgo[Saída - 1 (Almoço)]-tblHorasAgo[Entrada - 1])&gt;0,ROUND(tblHorasAgo[Saída - 1 (Almoço)]-tblHorasAgo[Entrada - 1],6)&gt;ROUND(CARENCIA,6)),
                          tblHorasAgo[Saída - 1 (Almoço)]-tblHorasAgo[Entrada - 1],
                          0)),
                    0)),0)</f>
        <v>0</v>
      </c>
      <c r="K13" s="4">
        <f>IF($B$6&lt;&gt;"",
IF(AND(tblHorasAgo[Evento 
(2º Período)]&lt;&gt;"",IF(ISERROR(VLOOKUP(tblHorasAgo[Evento 
(2º Período)],tblEvento[],Tabelas!$D$1,FALSE)),FALSE,VLOOKUP(tblHorasAgo[Evento 
(2º Período)],tblEvento[],Tabelas!$D$1,FALSE)="Sim")),
        IF(JORNADA_PERIODO_2&lt;&gt;"",
IF(VLOOKUP(tblHorasAgo[Dia],tblDiaUtil[[Abreviatura]:[2º Período]],4,FALSE)&gt;0,VLOOKUP(tblHorasAgo[Dia],tblDiaUtil[[Abreviatura]:[2º Período]],4,FALSE),JORNADA_PERIODO_2),
IF(VLOOKUP(tblHorasAgo[Dia],tblDiaUtil[[Abreviatura]:[2º Período]],4,FALSE)&gt;0,VLOOKUP(tblHorasAgo[Dia],tblDiaUtil[[Abreviatura]:[2º Período]],4,FALSE),JORNADA/2)),
        IF(AND(ISNUMBER(tblHorasAgo[Saída - 2]),ISNUMBER(tblHorasAgo[Entrada - 2 (Almoço)])),
              IF(OR(AND(tblHorasAgo[Evento 
(2º Período)]&lt;&gt;"",IF(ISERROR(VLOOKUP(tblHorasAgo[Evento 
(2º Período)],tblEvento[],Tabelas!$E$1,FALSE)),FALSE,VLOOKUP(tblHorasAgo[Evento 
(2º Período)],tblEvento[],Tabelas!$E$1,FALSE)="Sim")),IF(VLOOKUP(TEXT(tblHorasAgo[Data],"dddd"),tblDiaUtil[],2,FALSE)="Não",TRUE,FALSE)),
                   tblHorasAgo[Saída - 2]-tblHorasAgo[Entrada - 2 (Almoço)],
                   IF(OR(HOUR(tblHorasAgo[Saída - 2]-tblHorasAgo[Entrada - 2 (Almoço)])&gt;0,MINUTE(tblHorasAgo[Saída - 2]-tblHorasAgo[Entrada - 2 (Almoço)])&gt;CARENCIA),
                         tblHorasAgo[Saída - 2]-tblHorasAgo[Entrada - 2 (Almoço)],
                         0)),
       0)),0)</f>
        <v>0</v>
      </c>
      <c r="L13" s="4">
        <f>tblHorasAgo[Horas Trabalhadas (1º Período)]+tblHorasAgo[Horas Trabalhadas (2º Período)]</f>
        <v>0</v>
      </c>
      <c r="M13" s="4" t="str">
        <f>IF(tblHorasAgo[Data]&lt;&gt;"",
        IF(
AND(VLOOKUP(TEXT(tblHorasAgo[Data],"dddd"),tblDiaUtil[],3,FALSE)="Sim",IF(tblHorasAgo[Evento 
(1º Período)]&lt;&gt;"",IF(VLOOKUP(tblHorasAgo[Evento 
(1º Período)],tblEvento[],Tabelas!$E$1,FALSE)="Sim",FALSE,TRUE),TRUE),IF(tblHorasAgo[Evento 
(2º Período)]&lt;&gt;"",IF(VLOOKUP(tblHorasAgo[Evento 
(2º Período)],tblEvento[],Tabelas!$E$1,FALSE)="Sim",FALSE,TRUE),TRUE)),
              IF(VLOOKUP(tblHorasAgo[Dia],tblDiaUtil[[Abreviatura]:[1º Período]],3,FALSE)&gt;0,VLOOKUP(tblHorasAgo[Dia],tblDiaUtil[[Abreviatura]:[1º Período]],3,FALSE),JORNADA),
              ""),
         "")</f>
        <v/>
      </c>
      <c r="N13" s="14">
        <f>IF(OR(tblHorasAgo[Horas Trabalhadas (1º Período)]&lt;&gt;0,tblHorasAgo[Horas Trabalhadas (2º Período)]&lt;&gt;0),
        IF(ISNUMBER(tblHorasAgo[Jornada Diária]),
              IF(tblHorasAgo[Jornada Diária]&gt;(tblHorasAgo[Horas Trabalhadas (2º Período)]+tblHorasAgo[Horas Trabalhadas (1º Período)]),
                     IF(ROUND((tblHorasAgo[Jornada Diária]-(tblHorasAgo[Horas Trabalhadas (2º Período)]+tblHorasAgo[Horas Trabalhadas (1º Período)])),6)&gt;ROUND(CARENCIA,6),
                           -tblHorasAgo[Jornada Diária]+(tblHorasAgo[Horas Trabalhadas (2º Período)]+tblHorasAgo[Horas Trabalhadas (1º Período)]),
                           0),
                      IF(ROUND((tblHorasAgo[Jornada Diária]-(tblHorasAgo[Horas Trabalhadas (2º Período)]+tblHorasAgo[Horas Trabalhadas (1º Período)])),6)&lt;ROUND(-CARENCIA,6),
                           -tblHorasAgo[Jornada Diária]+(tblHorasAgo[Horas Trabalhadas (2º Período)]+tblHorasAgo[Horas Trabalhadas (1º Período)]),
                           0)),
              tblHorasAgo[Horas Trabalhadas (2º Período)]+tblHorasAgo[Horas Trabalhadas (1º Período)]),
         IF(AND(IF(ISERROR(VLOOKUP(tblHorasAgo[Evento 
(1º Período)],tblEvento[[Evento]:[Libera o Período]],4,FALSE)),FALSE,IF(VLOOKUP(tblHorasAgo[Evento 
(1º Período)],tblEvento[[Evento]:[Libera o Período]],4,FALSE)="Não",TRUE,FALSE)),IF(ISERROR(VLOOKUP(tblHorasAgo[Evento 
(2º Período)],tblEvento[[Evento]:[Libera o Período]],4,FALSE)),FALSE,IF(VLOOKUP(tblHorasAgo[Evento 
(2º Período)],tblEvento[[Evento]:[Libera o Período]],4,FALSE)="Não",TRUE,FALSE))),
-IF(VLOOKUP(tblHorasAgo[Dia],tblDiaUtil[[Abreviatura]:[Total Jornada]],5,FALSE)&lt;&gt;"",VLOOKUP(tblHorasAgo[Dia],tblDiaUtil[[Abreviatura]:[Total Jornada]],5,FALSE),JORNADA),
IF(IF(ISERROR(VLOOKUP(tblHorasAgo[Evento 
(1º Período)],tblEvento[[Evento]:[Libera o Período]],4,FALSE)),FALSE,
IF(VLOOKUP(tblHorasAgo[Evento 
(1º Período)],tblEvento[[Evento]:[Libera o Período]],4,FALSE)="Não",TRUE,FALSE)
),
-IF(VLOOKUP(tblHorasAgo[Dia],tblDiaUtil[[Abreviatura]:[1º Período]],3,FALSE)&lt;&gt;"",VLOOKUP(tblHorasAgo[Dia],tblDiaUtil[[Abreviatura]:[1º Período]],3,FALSE),JORNADA_PERIODO_1),
IF(IF(ISERROR(VLOOKUP(tblHorasAgo[Evento 
(2º Período)],tblEvento[[Evento]:[Libera o Período]],4,FALSE)),FALSE,IF(VLOOKUP(tblHorasAgo[Evento 
(2º Período)],tblEvento[[Evento]:[Libera o Período]],4,FALSE)="Não",TRUE,FALSE)),
-IF(VLOOKUP(tblHorasAgo[Dia],tblDiaUtil[[Abreviatura]:[2º Período]],4,FALSE)&lt;&gt;"",VLOOKUP(tblHorasAgo[Dia],tblDiaUtil[[Abreviatura]:[2º Período]],4,FALSE),JORNADA_PERIODO_2),0))))</f>
        <v>0</v>
      </c>
      <c r="O13" s="14">
        <f>IF(tblHorasAgo[Horas Trabalhadas Além Jornada]&gt;0,
        IF(ISNUMBER(tblHorasAgo[Jornada Diária]),
              IF(HOUR(tblHorasAgo[Horas Trabalhadas Além Jornada])&gt;=VLOOKUP(LIMITE,tblLimiteHora[],Tabelas!$I$1,FALSE),
                    VLOOKUP(LIMITE,tblLimiteHora[],Tabelas!$J$1,FALSE),
                    tblHorasAgo[Horas Trabalhadas Além Jornada]),
              tblHorasAgo[Horas Trabalhadas Além Jornada]),
        tblHorasAgo[Horas Trabalhadas Além Jornada])+O12</f>
        <v>0</v>
      </c>
      <c r="P13" s="14" t="str">
        <f>IF(tblHorasAgo[Horas Trabalhadas Além Jornada]&lt;0,IF(OR(tblHorasAgo[Evento 
(1º Período)]="",tblHorasAgo[Evento 
(2º Período)]=""),tblHorasAgo[Horas Trabalhadas Além Jornada],""),"")</f>
        <v/>
      </c>
      <c r="Q13" s="14" t="str">
        <f>IF(tblHorasAgo[Jornada Diária]&lt;&gt;"",IF((N(tblHorasAgo[Jornada Diária])-ABS(N(tblHorasAgo[Horas Trabalhadas Além Jornada])))=0,1,""),"")</f>
        <v/>
      </c>
      <c r="R13" s="14" t="str">
        <f>IF(tblHorasAgo[Horas Trabalhadas Além Jornada]&gt;0,
IF(AND(VLOOKUP(TEXT(tblHorasAgo[Data],"dddd"),tblDiaUtil[],3,FALSE)="Sim",IF(tblHorasAgo[Evento 
(1º Período)]&lt;&gt;"",IF(VLOOKUP(tblHorasAgo[Evento 
(1º Período)],tblEvento[],Tabelas!$E$1,FALSE)="Sim",FALSE,TRUE),TRUE),IF(tblHorasAgo[Evento 
(2º Período)]&lt;&gt;"",IF(VLOOKUP(tblHorasAgo[Evento 
(2º Período)],tblEvento[],Tabelas!$E$1,FALSE)="Sim",FALSE,TRUE),TRUE)),
tblHorasAgo[Horas Trabalhadas Além Jornada],""),"")</f>
        <v/>
      </c>
      <c r="S13" s="14" t="str">
        <f>IF(tblHorasAgo[Horas Trabalhadas Além Jornada]&gt;0,
IF(OR(VLOOKUP(TEXT(tblHorasAgo[Data],"dddd"),tblDiaUtil[],3,FALSE)="Não",IF(tblHorasAgo[Evento 
(1º Período)]&lt;&gt;"",IF(VLOOKUP(tblHorasAgo[Evento 
(1º Período)],tblEvento[],Tabelas!$E$1,FALSE)="Sim",TRUE,FALSE),FALSE),IF(tblHorasAgo[Evento 
(2º Período)]&lt;&gt;"",IF(VLOOKUP(tblHorasAgo[Evento 
(2º Período)],tblEvento[],Tabelas!$E$1,FALSE)="Sim",TRUE,FALSE),FALSE)),
tblHorasAgo[Horas Trabalhadas Além Jornada],""),"")</f>
        <v/>
      </c>
      <c r="T13" s="15" t="str">
        <f>IF(tblHorasAgo[Evento 
(1º Período)]&lt;&gt;""," - " &amp;VLOOKUP(tblHorasAgo[Evento 
(1º Período)],tblEvento[],Tabelas!$F$1,FALSE),"")&amp;IF(AND(tblHorasAgo[Evento 
(2º Período)]&lt;&gt;"",tblHorasAgo[Evento 
(2º Período)]&lt;&gt;tblHorasAgo[Evento 
(1º Período)])," - " &amp; VLOOKUP(tblHorasAgo[Evento 
(2º Período)],tblEvento[],Tabelas!$F$1,FALSE),"")</f>
        <v/>
      </c>
    </row>
    <row r="14" spans="2:25" x14ac:dyDescent="0.25">
      <c r="B14" s="11" t="str">
        <f t="shared" si="0"/>
        <v/>
      </c>
      <c r="C14" s="12" t="str">
        <f>TEXT(tblHorasAgo[Data],"ddd")</f>
        <v/>
      </c>
      <c r="D14" s="25"/>
      <c r="E14" s="1"/>
      <c r="F14" s="1"/>
      <c r="G14" s="1"/>
      <c r="H14" s="1"/>
      <c r="I14" s="53"/>
      <c r="J14" s="4">
        <f>IF($B$6&lt;&gt;"",
IF(AND(tblHorasAgo[Evento 
(1º Período)]&lt;&gt;"",IF(ISERROR(VLOOKUP(tblHorasAgo[Evento 
(1º Período)],tblEvento[],Tabelas!$D$1,FALSE)),FALSE,VLOOKUP(tblHorasAgo[Evento 
(1º Período)],tblEvento[],Tabelas!$D$1,FALSE)="Sim")),
        IF(JORNADA_PERIODO_1&lt;&gt;"",
IF(VLOOKUP(tblHorasAgo[Dia],tblDiaUtil[[Abreviatura]:[1º Período]],3,FALSE)&gt;0,VLOOKUP(tblHorasAgo[Dia],tblDiaUtil[[Abreviatura]:[1º Período]],3,FALSE),JORNADA_PERIODO_1),
IF(VLOOKUP(tblHorasAgo[Dia],tblDiaUtil[[Abreviatura]:[1º Período]],3,FALSE)&gt;0,VLOOKUP(tblHorasAgo[Dia],tblDiaUtil[[Abreviatura]:[1º Período]],3,FALSE),JORNADA/2)),
        IF(AND(ISNUMBER(tblHorasAgo[Saída - 1 (Almoço)]),ISNUMBER(tblHorasAgo[Entrada - 1])),
              IF(OR(AND(tblHorasAgo[Evento 
(1º Período)]&lt;&gt;"",IF(ISERROR(VLOOKUP(tblHorasAgo[Evento 
(1º Período)],tblEvento[],Tabelas!$E$1,FALSE)),FALSE,VLOOKUP(tblHorasAgo[Evento 
(1º Período)],tblEvento[],Tabelas!$E$1,FALSE)="Sim")),IF(VLOOKUP(TEXT(tblHorasAgo[Data],"dddd"),tblDiaUtil[],2,FALSE)="Não",TRUE,FALSE)),
                   tblHorasAgo[Saída - 1 (Almoço)]-tblHorasAgo[Entrada - 1],
                   IF(OR(HOUR(tblHorasAgo[Saída - 1 (Almoço)]-tblHorasAgo[Entrada - 1])&gt;0,ROUND(tblHorasAgo[Saída - 1 (Almoço)]-tblHorasAgo[Entrada - 1],6)&gt;ROUND(CARENCIA,6)),
                          tblHorasAgo[Saída - 1 (Almoço)]-tblHorasAgo[Entrada - 1],
                          0)),
                    0)),0)</f>
        <v>0</v>
      </c>
      <c r="K14" s="4">
        <f>IF($B$6&lt;&gt;"",
IF(AND(tblHorasAgo[Evento 
(2º Período)]&lt;&gt;"",IF(ISERROR(VLOOKUP(tblHorasAgo[Evento 
(2º Período)],tblEvento[],Tabelas!$D$1,FALSE)),FALSE,VLOOKUP(tblHorasAgo[Evento 
(2º Período)],tblEvento[],Tabelas!$D$1,FALSE)="Sim")),
        IF(JORNADA_PERIODO_2&lt;&gt;"",
IF(VLOOKUP(tblHorasAgo[Dia],tblDiaUtil[[Abreviatura]:[2º Período]],4,FALSE)&gt;0,VLOOKUP(tblHorasAgo[Dia],tblDiaUtil[[Abreviatura]:[2º Período]],4,FALSE),JORNADA_PERIODO_2),
IF(VLOOKUP(tblHorasAgo[Dia],tblDiaUtil[[Abreviatura]:[2º Período]],4,FALSE)&gt;0,VLOOKUP(tblHorasAgo[Dia],tblDiaUtil[[Abreviatura]:[2º Período]],4,FALSE),JORNADA/2)),
        IF(AND(ISNUMBER(tblHorasAgo[Saída - 2]),ISNUMBER(tblHorasAgo[Entrada - 2 (Almoço)])),
              IF(OR(AND(tblHorasAgo[Evento 
(2º Período)]&lt;&gt;"",IF(ISERROR(VLOOKUP(tblHorasAgo[Evento 
(2º Período)],tblEvento[],Tabelas!$E$1,FALSE)),FALSE,VLOOKUP(tblHorasAgo[Evento 
(2º Período)],tblEvento[],Tabelas!$E$1,FALSE)="Sim")),IF(VLOOKUP(TEXT(tblHorasAgo[Data],"dddd"),tblDiaUtil[],2,FALSE)="Não",TRUE,FALSE)),
                   tblHorasAgo[Saída - 2]-tblHorasAgo[Entrada - 2 (Almoço)],
                   IF(OR(HOUR(tblHorasAgo[Saída - 2]-tblHorasAgo[Entrada - 2 (Almoço)])&gt;0,MINUTE(tblHorasAgo[Saída - 2]-tblHorasAgo[Entrada - 2 (Almoço)])&gt;CARENCIA),
                         tblHorasAgo[Saída - 2]-tblHorasAgo[Entrada - 2 (Almoço)],
                         0)),
       0)),0)</f>
        <v>0</v>
      </c>
      <c r="L14" s="4">
        <f>tblHorasAgo[Horas Trabalhadas (1º Período)]+tblHorasAgo[Horas Trabalhadas (2º Período)]</f>
        <v>0</v>
      </c>
      <c r="M14" s="4" t="str">
        <f>IF(tblHorasAgo[Data]&lt;&gt;"",
        IF(
AND(VLOOKUP(TEXT(tblHorasAgo[Data],"dddd"),tblDiaUtil[],3,FALSE)="Sim",IF(tblHorasAgo[Evento 
(1º Período)]&lt;&gt;"",IF(VLOOKUP(tblHorasAgo[Evento 
(1º Período)],tblEvento[],Tabelas!$E$1,FALSE)="Sim",FALSE,TRUE),TRUE),IF(tblHorasAgo[Evento 
(2º Período)]&lt;&gt;"",IF(VLOOKUP(tblHorasAgo[Evento 
(2º Período)],tblEvento[],Tabelas!$E$1,FALSE)="Sim",FALSE,TRUE),TRUE)),
              IF(VLOOKUP(tblHorasAgo[Dia],tblDiaUtil[[Abreviatura]:[1º Período]],3,FALSE)&gt;0,VLOOKUP(tblHorasAgo[Dia],tblDiaUtil[[Abreviatura]:[1º Período]],3,FALSE),JORNADA),
              ""),
         "")</f>
        <v/>
      </c>
      <c r="N14" s="14">
        <f>IF(OR(tblHorasAgo[Horas Trabalhadas (1º Período)]&lt;&gt;0,tblHorasAgo[Horas Trabalhadas (2º Período)]&lt;&gt;0),
        IF(ISNUMBER(tblHorasAgo[Jornada Diária]),
              IF(tblHorasAgo[Jornada Diária]&gt;(tblHorasAgo[Horas Trabalhadas (2º Período)]+tblHorasAgo[Horas Trabalhadas (1º Período)]),
                     IF(ROUND((tblHorasAgo[Jornada Diária]-(tblHorasAgo[Horas Trabalhadas (2º Período)]+tblHorasAgo[Horas Trabalhadas (1º Período)])),6)&gt;ROUND(CARENCIA,6),
                           -tblHorasAgo[Jornada Diária]+(tblHorasAgo[Horas Trabalhadas (2º Período)]+tblHorasAgo[Horas Trabalhadas (1º Período)]),
                           0),
                      IF(ROUND((tblHorasAgo[Jornada Diária]-(tblHorasAgo[Horas Trabalhadas (2º Período)]+tblHorasAgo[Horas Trabalhadas (1º Período)])),6)&lt;ROUND(-CARENCIA,6),
                           -tblHorasAgo[Jornada Diária]+(tblHorasAgo[Horas Trabalhadas (2º Período)]+tblHorasAgo[Horas Trabalhadas (1º Período)]),
                           0)),
              tblHorasAgo[Horas Trabalhadas (2º Período)]+tblHorasAgo[Horas Trabalhadas (1º Período)]),
         IF(AND(IF(ISERROR(VLOOKUP(tblHorasAgo[Evento 
(1º Período)],tblEvento[[Evento]:[Libera o Período]],4,FALSE)),FALSE,IF(VLOOKUP(tblHorasAgo[Evento 
(1º Período)],tblEvento[[Evento]:[Libera o Período]],4,FALSE)="Não",TRUE,FALSE)),IF(ISERROR(VLOOKUP(tblHorasAgo[Evento 
(2º Período)],tblEvento[[Evento]:[Libera o Período]],4,FALSE)),FALSE,IF(VLOOKUP(tblHorasAgo[Evento 
(2º Período)],tblEvento[[Evento]:[Libera o Período]],4,FALSE)="Não",TRUE,FALSE))),
-IF(VLOOKUP(tblHorasAgo[Dia],tblDiaUtil[[Abreviatura]:[Total Jornada]],5,FALSE)&lt;&gt;"",VLOOKUP(tblHorasAgo[Dia],tblDiaUtil[[Abreviatura]:[Total Jornada]],5,FALSE),JORNADA),
IF(IF(ISERROR(VLOOKUP(tblHorasAgo[Evento 
(1º Período)],tblEvento[[Evento]:[Libera o Período]],4,FALSE)),FALSE,
IF(VLOOKUP(tblHorasAgo[Evento 
(1º Período)],tblEvento[[Evento]:[Libera o Período]],4,FALSE)="Não",TRUE,FALSE)
),
-IF(VLOOKUP(tblHorasAgo[Dia],tblDiaUtil[[Abreviatura]:[1º Período]],3,FALSE)&lt;&gt;"",VLOOKUP(tblHorasAgo[Dia],tblDiaUtil[[Abreviatura]:[1º Período]],3,FALSE),JORNADA_PERIODO_1),
IF(IF(ISERROR(VLOOKUP(tblHorasAgo[Evento 
(2º Período)],tblEvento[[Evento]:[Libera o Período]],4,FALSE)),FALSE,IF(VLOOKUP(tblHorasAgo[Evento 
(2º Período)],tblEvento[[Evento]:[Libera o Período]],4,FALSE)="Não",TRUE,FALSE)),
-IF(VLOOKUP(tblHorasAgo[Dia],tblDiaUtil[[Abreviatura]:[2º Período]],4,FALSE)&lt;&gt;"",VLOOKUP(tblHorasAgo[Dia],tblDiaUtil[[Abreviatura]:[2º Período]],4,FALSE),JORNADA_PERIODO_2),0))))</f>
        <v>0</v>
      </c>
      <c r="O14" s="14">
        <f>IF(tblHorasAgo[Horas Trabalhadas Além Jornada]&gt;0,
        IF(ISNUMBER(tblHorasAgo[Jornada Diária]),
              IF(HOUR(tblHorasAgo[Horas Trabalhadas Além Jornada])&gt;=VLOOKUP(LIMITE,tblLimiteHora[],Tabelas!$I$1,FALSE),
                    VLOOKUP(LIMITE,tblLimiteHora[],Tabelas!$J$1,FALSE),
                    tblHorasAgo[Horas Trabalhadas Além Jornada]),
              tblHorasAgo[Horas Trabalhadas Além Jornada]),
        tblHorasAgo[Horas Trabalhadas Além Jornada])+O13</f>
        <v>0</v>
      </c>
      <c r="P14" s="14" t="str">
        <f>IF(tblHorasAgo[Horas Trabalhadas Além Jornada]&lt;0,IF(OR(tblHorasAgo[Evento 
(1º Período)]="",tblHorasAgo[Evento 
(2º Período)]=""),tblHorasAgo[Horas Trabalhadas Além Jornada],""),"")</f>
        <v/>
      </c>
      <c r="Q14" s="14" t="str">
        <f>IF(tblHorasAgo[Jornada Diária]&lt;&gt;"",IF((N(tblHorasAgo[Jornada Diária])-ABS(N(tblHorasAgo[Horas Trabalhadas Além Jornada])))=0,1,""),"")</f>
        <v/>
      </c>
      <c r="R14" s="14" t="str">
        <f>IF(tblHorasAgo[Horas Trabalhadas Além Jornada]&gt;0,
IF(AND(VLOOKUP(TEXT(tblHorasAgo[Data],"dddd"),tblDiaUtil[],3,FALSE)="Sim",IF(tblHorasAgo[Evento 
(1º Período)]&lt;&gt;"",IF(VLOOKUP(tblHorasAgo[Evento 
(1º Período)],tblEvento[],Tabelas!$E$1,FALSE)="Sim",FALSE,TRUE),TRUE),IF(tblHorasAgo[Evento 
(2º Período)]&lt;&gt;"",IF(VLOOKUP(tblHorasAgo[Evento 
(2º Período)],tblEvento[],Tabelas!$E$1,FALSE)="Sim",FALSE,TRUE),TRUE)),
tblHorasAgo[Horas Trabalhadas Além Jornada],""),"")</f>
        <v/>
      </c>
      <c r="S14" s="14" t="str">
        <f>IF(tblHorasAgo[Horas Trabalhadas Além Jornada]&gt;0,
IF(OR(VLOOKUP(TEXT(tblHorasAgo[Data],"dddd"),tblDiaUtil[],3,FALSE)="Não",IF(tblHorasAgo[Evento 
(1º Período)]&lt;&gt;"",IF(VLOOKUP(tblHorasAgo[Evento 
(1º Período)],tblEvento[],Tabelas!$E$1,FALSE)="Sim",TRUE,FALSE),FALSE),IF(tblHorasAgo[Evento 
(2º Período)]&lt;&gt;"",IF(VLOOKUP(tblHorasAgo[Evento 
(2º Período)],tblEvento[],Tabelas!$E$1,FALSE)="Sim",TRUE,FALSE),FALSE)),
tblHorasAgo[Horas Trabalhadas Além Jornada],""),"")</f>
        <v/>
      </c>
      <c r="T14" s="15" t="str">
        <f>IF(tblHorasAgo[Evento 
(1º Período)]&lt;&gt;""," - " &amp;VLOOKUP(tblHorasAgo[Evento 
(1º Período)],tblEvento[],Tabelas!$F$1,FALSE),"")&amp;IF(AND(tblHorasAgo[Evento 
(2º Período)]&lt;&gt;"",tblHorasAgo[Evento 
(2º Período)]&lt;&gt;tblHorasAgo[Evento 
(1º Período)])," - " &amp; VLOOKUP(tblHorasAgo[Evento 
(2º Período)],tblEvento[],Tabelas!$F$1,FALSE),"")</f>
        <v/>
      </c>
      <c r="X14" s="18"/>
      <c r="Y14" s="18"/>
    </row>
    <row r="15" spans="2:25" x14ac:dyDescent="0.25">
      <c r="B15" s="11" t="str">
        <f t="shared" si="0"/>
        <v/>
      </c>
      <c r="C15" s="12" t="str">
        <f>TEXT(tblHorasAgo[Data],"ddd")</f>
        <v/>
      </c>
      <c r="D15" s="25"/>
      <c r="E15" s="1"/>
      <c r="F15" s="1"/>
      <c r="G15" s="1"/>
      <c r="H15" s="1"/>
      <c r="I15" s="53"/>
      <c r="J15" s="4">
        <f>IF($B$6&lt;&gt;"",
IF(AND(tblHorasAgo[Evento 
(1º Período)]&lt;&gt;"",IF(ISERROR(VLOOKUP(tblHorasAgo[Evento 
(1º Período)],tblEvento[],Tabelas!$D$1,FALSE)),FALSE,VLOOKUP(tblHorasAgo[Evento 
(1º Período)],tblEvento[],Tabelas!$D$1,FALSE)="Sim")),
        IF(JORNADA_PERIODO_1&lt;&gt;"",
IF(VLOOKUP(tblHorasAgo[Dia],tblDiaUtil[[Abreviatura]:[1º Período]],3,FALSE)&gt;0,VLOOKUP(tblHorasAgo[Dia],tblDiaUtil[[Abreviatura]:[1º Período]],3,FALSE),JORNADA_PERIODO_1),
IF(VLOOKUP(tblHorasAgo[Dia],tblDiaUtil[[Abreviatura]:[1º Período]],3,FALSE)&gt;0,VLOOKUP(tblHorasAgo[Dia],tblDiaUtil[[Abreviatura]:[1º Período]],3,FALSE),JORNADA/2)),
        IF(AND(ISNUMBER(tblHorasAgo[Saída - 1 (Almoço)]),ISNUMBER(tblHorasAgo[Entrada - 1])),
              IF(OR(AND(tblHorasAgo[Evento 
(1º Período)]&lt;&gt;"",IF(ISERROR(VLOOKUP(tblHorasAgo[Evento 
(1º Período)],tblEvento[],Tabelas!$E$1,FALSE)),FALSE,VLOOKUP(tblHorasAgo[Evento 
(1º Período)],tblEvento[],Tabelas!$E$1,FALSE)="Sim")),IF(VLOOKUP(TEXT(tblHorasAgo[Data],"dddd"),tblDiaUtil[],2,FALSE)="Não",TRUE,FALSE)),
                   tblHorasAgo[Saída - 1 (Almoço)]-tblHorasAgo[Entrada - 1],
                   IF(OR(HOUR(tblHorasAgo[Saída - 1 (Almoço)]-tblHorasAgo[Entrada - 1])&gt;0,ROUND(tblHorasAgo[Saída - 1 (Almoço)]-tblHorasAgo[Entrada - 1],6)&gt;ROUND(CARENCIA,6)),
                          tblHorasAgo[Saída - 1 (Almoço)]-tblHorasAgo[Entrada - 1],
                          0)),
                    0)),0)</f>
        <v>0</v>
      </c>
      <c r="K15" s="4">
        <f>IF($B$6&lt;&gt;"",
IF(AND(tblHorasAgo[Evento 
(2º Período)]&lt;&gt;"",IF(ISERROR(VLOOKUP(tblHorasAgo[Evento 
(2º Período)],tblEvento[],Tabelas!$D$1,FALSE)),FALSE,VLOOKUP(tblHorasAgo[Evento 
(2º Período)],tblEvento[],Tabelas!$D$1,FALSE)="Sim")),
        IF(JORNADA_PERIODO_2&lt;&gt;"",
IF(VLOOKUP(tblHorasAgo[Dia],tblDiaUtil[[Abreviatura]:[2º Período]],4,FALSE)&gt;0,VLOOKUP(tblHorasAgo[Dia],tblDiaUtil[[Abreviatura]:[2º Período]],4,FALSE),JORNADA_PERIODO_2),
IF(VLOOKUP(tblHorasAgo[Dia],tblDiaUtil[[Abreviatura]:[2º Período]],4,FALSE)&gt;0,VLOOKUP(tblHorasAgo[Dia],tblDiaUtil[[Abreviatura]:[2º Período]],4,FALSE),JORNADA/2)),
        IF(AND(ISNUMBER(tblHorasAgo[Saída - 2]),ISNUMBER(tblHorasAgo[Entrada - 2 (Almoço)])),
              IF(OR(AND(tblHorasAgo[Evento 
(2º Período)]&lt;&gt;"",IF(ISERROR(VLOOKUP(tblHorasAgo[Evento 
(2º Período)],tblEvento[],Tabelas!$E$1,FALSE)),FALSE,VLOOKUP(tblHorasAgo[Evento 
(2º Período)],tblEvento[],Tabelas!$E$1,FALSE)="Sim")),IF(VLOOKUP(TEXT(tblHorasAgo[Data],"dddd"),tblDiaUtil[],2,FALSE)="Não",TRUE,FALSE)),
                   tblHorasAgo[Saída - 2]-tblHorasAgo[Entrada - 2 (Almoço)],
                   IF(OR(HOUR(tblHorasAgo[Saída - 2]-tblHorasAgo[Entrada - 2 (Almoço)])&gt;0,MINUTE(tblHorasAgo[Saída - 2]-tblHorasAgo[Entrada - 2 (Almoço)])&gt;CARENCIA),
                         tblHorasAgo[Saída - 2]-tblHorasAgo[Entrada - 2 (Almoço)],
                         0)),
       0)),0)</f>
        <v>0</v>
      </c>
      <c r="L15" s="4">
        <f>tblHorasAgo[Horas Trabalhadas (1º Período)]+tblHorasAgo[Horas Trabalhadas (2º Período)]</f>
        <v>0</v>
      </c>
      <c r="M15" s="4" t="str">
        <f>IF(tblHorasAgo[Data]&lt;&gt;"",
        IF(
AND(VLOOKUP(TEXT(tblHorasAgo[Data],"dddd"),tblDiaUtil[],3,FALSE)="Sim",IF(tblHorasAgo[Evento 
(1º Período)]&lt;&gt;"",IF(VLOOKUP(tblHorasAgo[Evento 
(1º Período)],tblEvento[],Tabelas!$E$1,FALSE)="Sim",FALSE,TRUE),TRUE),IF(tblHorasAgo[Evento 
(2º Período)]&lt;&gt;"",IF(VLOOKUP(tblHorasAgo[Evento 
(2º Período)],tblEvento[],Tabelas!$E$1,FALSE)="Sim",FALSE,TRUE),TRUE)),
              IF(VLOOKUP(tblHorasAgo[Dia],tblDiaUtil[[Abreviatura]:[1º Período]],3,FALSE)&gt;0,VLOOKUP(tblHorasAgo[Dia],tblDiaUtil[[Abreviatura]:[1º Período]],3,FALSE),JORNADA),
              ""),
         "")</f>
        <v/>
      </c>
      <c r="N15" s="14">
        <f>IF(OR(tblHorasAgo[Horas Trabalhadas (1º Período)]&lt;&gt;0,tblHorasAgo[Horas Trabalhadas (2º Período)]&lt;&gt;0),
        IF(ISNUMBER(tblHorasAgo[Jornada Diária]),
              IF(tblHorasAgo[Jornada Diária]&gt;(tblHorasAgo[Horas Trabalhadas (2º Período)]+tblHorasAgo[Horas Trabalhadas (1º Período)]),
                     IF(ROUND((tblHorasAgo[Jornada Diária]-(tblHorasAgo[Horas Trabalhadas (2º Período)]+tblHorasAgo[Horas Trabalhadas (1º Período)])),6)&gt;ROUND(CARENCIA,6),
                           -tblHorasAgo[Jornada Diária]+(tblHorasAgo[Horas Trabalhadas (2º Período)]+tblHorasAgo[Horas Trabalhadas (1º Período)]),
                           0),
                      IF(ROUND((tblHorasAgo[Jornada Diária]-(tblHorasAgo[Horas Trabalhadas (2º Período)]+tblHorasAgo[Horas Trabalhadas (1º Período)])),6)&lt;ROUND(-CARENCIA,6),
                           -tblHorasAgo[Jornada Diária]+(tblHorasAgo[Horas Trabalhadas (2º Período)]+tblHorasAgo[Horas Trabalhadas (1º Período)]),
                           0)),
              tblHorasAgo[Horas Trabalhadas (2º Período)]+tblHorasAgo[Horas Trabalhadas (1º Período)]),
         IF(AND(IF(ISERROR(VLOOKUP(tblHorasAgo[Evento 
(1º Período)],tblEvento[[Evento]:[Libera o Período]],4,FALSE)),FALSE,IF(VLOOKUP(tblHorasAgo[Evento 
(1º Período)],tblEvento[[Evento]:[Libera o Período]],4,FALSE)="Não",TRUE,FALSE)),IF(ISERROR(VLOOKUP(tblHorasAgo[Evento 
(2º Período)],tblEvento[[Evento]:[Libera o Período]],4,FALSE)),FALSE,IF(VLOOKUP(tblHorasAgo[Evento 
(2º Período)],tblEvento[[Evento]:[Libera o Período]],4,FALSE)="Não",TRUE,FALSE))),
-IF(VLOOKUP(tblHorasAgo[Dia],tblDiaUtil[[Abreviatura]:[Total Jornada]],5,FALSE)&lt;&gt;"",VLOOKUP(tblHorasAgo[Dia],tblDiaUtil[[Abreviatura]:[Total Jornada]],5,FALSE),JORNADA),
IF(IF(ISERROR(VLOOKUP(tblHorasAgo[Evento 
(1º Período)],tblEvento[[Evento]:[Libera o Período]],4,FALSE)),FALSE,
IF(VLOOKUP(tblHorasAgo[Evento 
(1º Período)],tblEvento[[Evento]:[Libera o Período]],4,FALSE)="Não",TRUE,FALSE)
),
-IF(VLOOKUP(tblHorasAgo[Dia],tblDiaUtil[[Abreviatura]:[1º Período]],3,FALSE)&lt;&gt;"",VLOOKUP(tblHorasAgo[Dia],tblDiaUtil[[Abreviatura]:[1º Período]],3,FALSE),JORNADA_PERIODO_1),
IF(IF(ISERROR(VLOOKUP(tblHorasAgo[Evento 
(2º Período)],tblEvento[[Evento]:[Libera o Período]],4,FALSE)),FALSE,IF(VLOOKUP(tblHorasAgo[Evento 
(2º Período)],tblEvento[[Evento]:[Libera o Período]],4,FALSE)="Não",TRUE,FALSE)),
-IF(VLOOKUP(tblHorasAgo[Dia],tblDiaUtil[[Abreviatura]:[2º Período]],4,FALSE)&lt;&gt;"",VLOOKUP(tblHorasAgo[Dia],tblDiaUtil[[Abreviatura]:[2º Período]],4,FALSE),JORNADA_PERIODO_2),0))))</f>
        <v>0</v>
      </c>
      <c r="O15" s="14">
        <f>IF(tblHorasAgo[Horas Trabalhadas Além Jornada]&gt;0,
        IF(ISNUMBER(tblHorasAgo[Jornada Diária]),
              IF(HOUR(tblHorasAgo[Horas Trabalhadas Além Jornada])&gt;=VLOOKUP(LIMITE,tblLimiteHora[],Tabelas!$I$1,FALSE),
                    VLOOKUP(LIMITE,tblLimiteHora[],Tabelas!$J$1,FALSE),
                    tblHorasAgo[Horas Trabalhadas Além Jornada]),
              tblHorasAgo[Horas Trabalhadas Além Jornada]),
        tblHorasAgo[Horas Trabalhadas Além Jornada])+O14</f>
        <v>0</v>
      </c>
      <c r="P15" s="14" t="str">
        <f>IF(tblHorasAgo[Horas Trabalhadas Além Jornada]&lt;0,IF(OR(tblHorasAgo[Evento 
(1º Período)]="",tblHorasAgo[Evento 
(2º Período)]=""),tblHorasAgo[Horas Trabalhadas Além Jornada],""),"")</f>
        <v/>
      </c>
      <c r="Q15" s="14" t="str">
        <f>IF(tblHorasAgo[Jornada Diária]&lt;&gt;"",IF((N(tblHorasAgo[Jornada Diária])-ABS(N(tblHorasAgo[Horas Trabalhadas Além Jornada])))=0,1,""),"")</f>
        <v/>
      </c>
      <c r="R15" s="14" t="str">
        <f>IF(tblHorasAgo[Horas Trabalhadas Além Jornada]&gt;0,
IF(AND(VLOOKUP(TEXT(tblHorasAgo[Data],"dddd"),tblDiaUtil[],3,FALSE)="Sim",IF(tblHorasAgo[Evento 
(1º Período)]&lt;&gt;"",IF(VLOOKUP(tblHorasAgo[Evento 
(1º Período)],tblEvento[],Tabelas!$E$1,FALSE)="Sim",FALSE,TRUE),TRUE),IF(tblHorasAgo[Evento 
(2º Período)]&lt;&gt;"",IF(VLOOKUP(tblHorasAgo[Evento 
(2º Período)],tblEvento[],Tabelas!$E$1,FALSE)="Sim",FALSE,TRUE),TRUE)),
tblHorasAgo[Horas Trabalhadas Além Jornada],""),"")</f>
        <v/>
      </c>
      <c r="S15" s="14" t="str">
        <f>IF(tblHorasAgo[Horas Trabalhadas Além Jornada]&gt;0,
IF(OR(VLOOKUP(TEXT(tblHorasAgo[Data],"dddd"),tblDiaUtil[],3,FALSE)="Não",IF(tblHorasAgo[Evento 
(1º Período)]&lt;&gt;"",IF(VLOOKUP(tblHorasAgo[Evento 
(1º Período)],tblEvento[],Tabelas!$E$1,FALSE)="Sim",TRUE,FALSE),FALSE),IF(tblHorasAgo[Evento 
(2º Período)]&lt;&gt;"",IF(VLOOKUP(tblHorasAgo[Evento 
(2º Período)],tblEvento[],Tabelas!$E$1,FALSE)="Sim",TRUE,FALSE),FALSE)),
tblHorasAgo[Horas Trabalhadas Além Jornada],""),"")</f>
        <v/>
      </c>
      <c r="T15" s="15" t="str">
        <f>IF(tblHorasAgo[Evento 
(1º Período)]&lt;&gt;""," - " &amp;VLOOKUP(tblHorasAgo[Evento 
(1º Período)],tblEvento[],Tabelas!$F$1,FALSE),"")&amp;IF(AND(tblHorasAgo[Evento 
(2º Período)]&lt;&gt;"",tblHorasAgo[Evento 
(2º Período)]&lt;&gt;tblHorasAgo[Evento 
(1º Período)])," - " &amp; VLOOKUP(tblHorasAgo[Evento 
(2º Período)],tblEvento[],Tabelas!$F$1,FALSE),"")</f>
        <v/>
      </c>
      <c r="X15" s="17"/>
    </row>
    <row r="16" spans="2:25" x14ac:dyDescent="0.25">
      <c r="B16" s="11" t="str">
        <f t="shared" si="0"/>
        <v/>
      </c>
      <c r="C16" s="12" t="str">
        <f>TEXT(tblHorasAgo[Data],"ddd")</f>
        <v/>
      </c>
      <c r="D16" s="25"/>
      <c r="E16" s="1"/>
      <c r="F16" s="1"/>
      <c r="G16" s="1"/>
      <c r="H16" s="1"/>
      <c r="I16" s="53"/>
      <c r="J16" s="4">
        <f>IF($B$6&lt;&gt;"",
IF(AND(tblHorasAgo[Evento 
(1º Período)]&lt;&gt;"",IF(ISERROR(VLOOKUP(tblHorasAgo[Evento 
(1º Período)],tblEvento[],Tabelas!$D$1,FALSE)),FALSE,VLOOKUP(tblHorasAgo[Evento 
(1º Período)],tblEvento[],Tabelas!$D$1,FALSE)="Sim")),
        IF(JORNADA_PERIODO_1&lt;&gt;"",
IF(VLOOKUP(tblHorasAgo[Dia],tblDiaUtil[[Abreviatura]:[1º Período]],3,FALSE)&gt;0,VLOOKUP(tblHorasAgo[Dia],tblDiaUtil[[Abreviatura]:[1º Período]],3,FALSE),JORNADA_PERIODO_1),
IF(VLOOKUP(tblHorasAgo[Dia],tblDiaUtil[[Abreviatura]:[1º Período]],3,FALSE)&gt;0,VLOOKUP(tblHorasAgo[Dia],tblDiaUtil[[Abreviatura]:[1º Período]],3,FALSE),JORNADA/2)),
        IF(AND(ISNUMBER(tblHorasAgo[Saída - 1 (Almoço)]),ISNUMBER(tblHorasAgo[Entrada - 1])),
              IF(OR(AND(tblHorasAgo[Evento 
(1º Período)]&lt;&gt;"",IF(ISERROR(VLOOKUP(tblHorasAgo[Evento 
(1º Período)],tblEvento[],Tabelas!$E$1,FALSE)),FALSE,VLOOKUP(tblHorasAgo[Evento 
(1º Período)],tblEvento[],Tabelas!$E$1,FALSE)="Sim")),IF(VLOOKUP(TEXT(tblHorasAgo[Data],"dddd"),tblDiaUtil[],2,FALSE)="Não",TRUE,FALSE)),
                   tblHorasAgo[Saída - 1 (Almoço)]-tblHorasAgo[Entrada - 1],
                   IF(OR(HOUR(tblHorasAgo[Saída - 1 (Almoço)]-tblHorasAgo[Entrada - 1])&gt;0,ROUND(tblHorasAgo[Saída - 1 (Almoço)]-tblHorasAgo[Entrada - 1],6)&gt;ROUND(CARENCIA,6)),
                          tblHorasAgo[Saída - 1 (Almoço)]-tblHorasAgo[Entrada - 1],
                          0)),
                    0)),0)</f>
        <v>0</v>
      </c>
      <c r="K16" s="4">
        <f>IF($B$6&lt;&gt;"",
IF(AND(tblHorasAgo[Evento 
(2º Período)]&lt;&gt;"",IF(ISERROR(VLOOKUP(tblHorasAgo[Evento 
(2º Período)],tblEvento[],Tabelas!$D$1,FALSE)),FALSE,VLOOKUP(tblHorasAgo[Evento 
(2º Período)],tblEvento[],Tabelas!$D$1,FALSE)="Sim")),
        IF(JORNADA_PERIODO_2&lt;&gt;"",
IF(VLOOKUP(tblHorasAgo[Dia],tblDiaUtil[[Abreviatura]:[2º Período]],4,FALSE)&gt;0,VLOOKUP(tblHorasAgo[Dia],tblDiaUtil[[Abreviatura]:[2º Período]],4,FALSE),JORNADA_PERIODO_2),
IF(VLOOKUP(tblHorasAgo[Dia],tblDiaUtil[[Abreviatura]:[2º Período]],4,FALSE)&gt;0,VLOOKUP(tblHorasAgo[Dia],tblDiaUtil[[Abreviatura]:[2º Período]],4,FALSE),JORNADA/2)),
        IF(AND(ISNUMBER(tblHorasAgo[Saída - 2]),ISNUMBER(tblHorasAgo[Entrada - 2 (Almoço)])),
              IF(OR(AND(tblHorasAgo[Evento 
(2º Período)]&lt;&gt;"",IF(ISERROR(VLOOKUP(tblHorasAgo[Evento 
(2º Período)],tblEvento[],Tabelas!$E$1,FALSE)),FALSE,VLOOKUP(tblHorasAgo[Evento 
(2º Período)],tblEvento[],Tabelas!$E$1,FALSE)="Sim")),IF(VLOOKUP(TEXT(tblHorasAgo[Data],"dddd"),tblDiaUtil[],2,FALSE)="Não",TRUE,FALSE)),
                   tblHorasAgo[Saída - 2]-tblHorasAgo[Entrada - 2 (Almoço)],
                   IF(OR(HOUR(tblHorasAgo[Saída - 2]-tblHorasAgo[Entrada - 2 (Almoço)])&gt;0,MINUTE(tblHorasAgo[Saída - 2]-tblHorasAgo[Entrada - 2 (Almoço)])&gt;CARENCIA),
                         tblHorasAgo[Saída - 2]-tblHorasAgo[Entrada - 2 (Almoço)],
                         0)),
       0)),0)</f>
        <v>0</v>
      </c>
      <c r="L16" s="4">
        <f>tblHorasAgo[Horas Trabalhadas (1º Período)]+tblHorasAgo[Horas Trabalhadas (2º Período)]</f>
        <v>0</v>
      </c>
      <c r="M16" s="4" t="str">
        <f>IF(tblHorasAgo[Data]&lt;&gt;"",
        IF(
AND(VLOOKUP(TEXT(tblHorasAgo[Data],"dddd"),tblDiaUtil[],3,FALSE)="Sim",IF(tblHorasAgo[Evento 
(1º Período)]&lt;&gt;"",IF(VLOOKUP(tblHorasAgo[Evento 
(1º Período)],tblEvento[],Tabelas!$E$1,FALSE)="Sim",FALSE,TRUE),TRUE),IF(tblHorasAgo[Evento 
(2º Período)]&lt;&gt;"",IF(VLOOKUP(tblHorasAgo[Evento 
(2º Período)],tblEvento[],Tabelas!$E$1,FALSE)="Sim",FALSE,TRUE),TRUE)),
              IF(VLOOKUP(tblHorasAgo[Dia],tblDiaUtil[[Abreviatura]:[1º Período]],3,FALSE)&gt;0,VLOOKUP(tblHorasAgo[Dia],tblDiaUtil[[Abreviatura]:[1º Período]],3,FALSE),JORNADA),
              ""),
         "")</f>
        <v/>
      </c>
      <c r="N16" s="14">
        <f>IF(OR(tblHorasAgo[Horas Trabalhadas (1º Período)]&lt;&gt;0,tblHorasAgo[Horas Trabalhadas (2º Período)]&lt;&gt;0),
        IF(ISNUMBER(tblHorasAgo[Jornada Diária]),
              IF(tblHorasAgo[Jornada Diária]&gt;(tblHorasAgo[Horas Trabalhadas (2º Período)]+tblHorasAgo[Horas Trabalhadas (1º Período)]),
                     IF(ROUND((tblHorasAgo[Jornada Diária]-(tblHorasAgo[Horas Trabalhadas (2º Período)]+tblHorasAgo[Horas Trabalhadas (1º Período)])),6)&gt;ROUND(CARENCIA,6),
                           -tblHorasAgo[Jornada Diária]+(tblHorasAgo[Horas Trabalhadas (2º Período)]+tblHorasAgo[Horas Trabalhadas (1º Período)]),
                           0),
                      IF(ROUND((tblHorasAgo[Jornada Diária]-(tblHorasAgo[Horas Trabalhadas (2º Período)]+tblHorasAgo[Horas Trabalhadas (1º Período)])),6)&lt;ROUND(-CARENCIA,6),
                           -tblHorasAgo[Jornada Diária]+(tblHorasAgo[Horas Trabalhadas (2º Período)]+tblHorasAgo[Horas Trabalhadas (1º Período)]),
                           0)),
              tblHorasAgo[Horas Trabalhadas (2º Período)]+tblHorasAgo[Horas Trabalhadas (1º Período)]),
         IF(AND(IF(ISERROR(VLOOKUP(tblHorasAgo[Evento 
(1º Período)],tblEvento[[Evento]:[Libera o Período]],4,FALSE)),FALSE,IF(VLOOKUP(tblHorasAgo[Evento 
(1º Período)],tblEvento[[Evento]:[Libera o Período]],4,FALSE)="Não",TRUE,FALSE)),IF(ISERROR(VLOOKUP(tblHorasAgo[Evento 
(2º Período)],tblEvento[[Evento]:[Libera o Período]],4,FALSE)),FALSE,IF(VLOOKUP(tblHorasAgo[Evento 
(2º Período)],tblEvento[[Evento]:[Libera o Período]],4,FALSE)="Não",TRUE,FALSE))),
-IF(VLOOKUP(tblHorasAgo[Dia],tblDiaUtil[[Abreviatura]:[Total Jornada]],5,FALSE)&lt;&gt;"",VLOOKUP(tblHorasAgo[Dia],tblDiaUtil[[Abreviatura]:[Total Jornada]],5,FALSE),JORNADA),
IF(IF(ISERROR(VLOOKUP(tblHorasAgo[Evento 
(1º Período)],tblEvento[[Evento]:[Libera o Período]],4,FALSE)),FALSE,
IF(VLOOKUP(tblHorasAgo[Evento 
(1º Período)],tblEvento[[Evento]:[Libera o Período]],4,FALSE)="Não",TRUE,FALSE)
),
-IF(VLOOKUP(tblHorasAgo[Dia],tblDiaUtil[[Abreviatura]:[1º Período]],3,FALSE)&lt;&gt;"",VLOOKUP(tblHorasAgo[Dia],tblDiaUtil[[Abreviatura]:[1º Período]],3,FALSE),JORNADA_PERIODO_1),
IF(IF(ISERROR(VLOOKUP(tblHorasAgo[Evento 
(2º Período)],tblEvento[[Evento]:[Libera o Período]],4,FALSE)),FALSE,IF(VLOOKUP(tblHorasAgo[Evento 
(2º Período)],tblEvento[[Evento]:[Libera o Período]],4,FALSE)="Não",TRUE,FALSE)),
-IF(VLOOKUP(tblHorasAgo[Dia],tblDiaUtil[[Abreviatura]:[2º Período]],4,FALSE)&lt;&gt;"",VLOOKUP(tblHorasAgo[Dia],tblDiaUtil[[Abreviatura]:[2º Período]],4,FALSE),JORNADA_PERIODO_2),0))))</f>
        <v>0</v>
      </c>
      <c r="O16" s="14">
        <f>IF(tblHorasAgo[Horas Trabalhadas Além Jornada]&gt;0,
        IF(ISNUMBER(tblHorasAgo[Jornada Diária]),
              IF(HOUR(tblHorasAgo[Horas Trabalhadas Além Jornada])&gt;=VLOOKUP(LIMITE,tblLimiteHora[],Tabelas!$I$1,FALSE),
                    VLOOKUP(LIMITE,tblLimiteHora[],Tabelas!$J$1,FALSE),
                    tblHorasAgo[Horas Trabalhadas Além Jornada]),
              tblHorasAgo[Horas Trabalhadas Além Jornada]),
        tblHorasAgo[Horas Trabalhadas Além Jornada])+O15</f>
        <v>0</v>
      </c>
      <c r="P16" s="14" t="str">
        <f>IF(tblHorasAgo[Horas Trabalhadas Além Jornada]&lt;0,IF(OR(tblHorasAgo[Evento 
(1º Período)]="",tblHorasAgo[Evento 
(2º Período)]=""),tblHorasAgo[Horas Trabalhadas Além Jornada],""),"")</f>
        <v/>
      </c>
      <c r="Q16" s="14" t="str">
        <f>IF(tblHorasAgo[Jornada Diária]&lt;&gt;"",IF((N(tblHorasAgo[Jornada Diária])-ABS(N(tblHorasAgo[Horas Trabalhadas Além Jornada])))=0,1,""),"")</f>
        <v/>
      </c>
      <c r="R16" s="14" t="str">
        <f>IF(tblHorasAgo[Horas Trabalhadas Além Jornada]&gt;0,
IF(AND(VLOOKUP(TEXT(tblHorasAgo[Data],"dddd"),tblDiaUtil[],3,FALSE)="Sim",IF(tblHorasAgo[Evento 
(1º Período)]&lt;&gt;"",IF(VLOOKUP(tblHorasAgo[Evento 
(1º Período)],tblEvento[],Tabelas!$E$1,FALSE)="Sim",FALSE,TRUE),TRUE),IF(tblHorasAgo[Evento 
(2º Período)]&lt;&gt;"",IF(VLOOKUP(tblHorasAgo[Evento 
(2º Período)],tblEvento[],Tabelas!$E$1,FALSE)="Sim",FALSE,TRUE),TRUE)),
tblHorasAgo[Horas Trabalhadas Além Jornada],""),"")</f>
        <v/>
      </c>
      <c r="S16" s="14" t="str">
        <f>IF(tblHorasAgo[Horas Trabalhadas Além Jornada]&gt;0,
IF(OR(VLOOKUP(TEXT(tblHorasAgo[Data],"dddd"),tblDiaUtil[],3,FALSE)="Não",IF(tblHorasAgo[Evento 
(1º Período)]&lt;&gt;"",IF(VLOOKUP(tblHorasAgo[Evento 
(1º Período)],tblEvento[],Tabelas!$E$1,FALSE)="Sim",TRUE,FALSE),FALSE),IF(tblHorasAgo[Evento 
(2º Período)]&lt;&gt;"",IF(VLOOKUP(tblHorasAgo[Evento 
(2º Período)],tblEvento[],Tabelas!$E$1,FALSE)="Sim",TRUE,FALSE),FALSE)),
tblHorasAgo[Horas Trabalhadas Além Jornada],""),"")</f>
        <v/>
      </c>
      <c r="T16" s="15" t="str">
        <f>IF(tblHorasAgo[Evento 
(1º Período)]&lt;&gt;""," - " &amp;VLOOKUP(tblHorasAgo[Evento 
(1º Período)],tblEvento[],Tabelas!$F$1,FALSE),"")&amp;IF(AND(tblHorasAgo[Evento 
(2º Período)]&lt;&gt;"",tblHorasAgo[Evento 
(2º Período)]&lt;&gt;tblHorasAgo[Evento 
(1º Período)])," - " &amp; VLOOKUP(tblHorasAgo[Evento 
(2º Período)],tblEvento[],Tabelas!$F$1,FALSE),"")</f>
        <v/>
      </c>
    </row>
    <row r="17" spans="2:20" x14ac:dyDescent="0.25">
      <c r="B17" s="11" t="str">
        <f t="shared" si="0"/>
        <v/>
      </c>
      <c r="C17" s="12" t="str">
        <f>TEXT(tblHorasAgo[Data],"ddd")</f>
        <v/>
      </c>
      <c r="D17" s="25"/>
      <c r="E17" s="1"/>
      <c r="F17" s="1"/>
      <c r="G17" s="1"/>
      <c r="H17" s="1"/>
      <c r="I17" s="53"/>
      <c r="J17" s="4">
        <f>IF($B$6&lt;&gt;"",
IF(AND(tblHorasAgo[Evento 
(1º Período)]&lt;&gt;"",IF(ISERROR(VLOOKUP(tblHorasAgo[Evento 
(1º Período)],tblEvento[],Tabelas!$D$1,FALSE)),FALSE,VLOOKUP(tblHorasAgo[Evento 
(1º Período)],tblEvento[],Tabelas!$D$1,FALSE)="Sim")),
        IF(JORNADA_PERIODO_1&lt;&gt;"",
IF(VLOOKUP(tblHorasAgo[Dia],tblDiaUtil[[Abreviatura]:[1º Período]],3,FALSE)&gt;0,VLOOKUP(tblHorasAgo[Dia],tblDiaUtil[[Abreviatura]:[1º Período]],3,FALSE),JORNADA_PERIODO_1),
IF(VLOOKUP(tblHorasAgo[Dia],tblDiaUtil[[Abreviatura]:[1º Período]],3,FALSE)&gt;0,VLOOKUP(tblHorasAgo[Dia],tblDiaUtil[[Abreviatura]:[1º Período]],3,FALSE),JORNADA/2)),
        IF(AND(ISNUMBER(tblHorasAgo[Saída - 1 (Almoço)]),ISNUMBER(tblHorasAgo[Entrada - 1])),
              IF(OR(AND(tblHorasAgo[Evento 
(1º Período)]&lt;&gt;"",IF(ISERROR(VLOOKUP(tblHorasAgo[Evento 
(1º Período)],tblEvento[],Tabelas!$E$1,FALSE)),FALSE,VLOOKUP(tblHorasAgo[Evento 
(1º Período)],tblEvento[],Tabelas!$E$1,FALSE)="Sim")),IF(VLOOKUP(TEXT(tblHorasAgo[Data],"dddd"),tblDiaUtil[],2,FALSE)="Não",TRUE,FALSE)),
                   tblHorasAgo[Saída - 1 (Almoço)]-tblHorasAgo[Entrada - 1],
                   IF(OR(HOUR(tblHorasAgo[Saída - 1 (Almoço)]-tblHorasAgo[Entrada - 1])&gt;0,ROUND(tblHorasAgo[Saída - 1 (Almoço)]-tblHorasAgo[Entrada - 1],6)&gt;ROUND(CARENCIA,6)),
                          tblHorasAgo[Saída - 1 (Almoço)]-tblHorasAgo[Entrada - 1],
                          0)),
                    0)),0)</f>
        <v>0</v>
      </c>
      <c r="K17" s="4">
        <f>IF($B$6&lt;&gt;"",
IF(AND(tblHorasAgo[Evento 
(2º Período)]&lt;&gt;"",IF(ISERROR(VLOOKUP(tblHorasAgo[Evento 
(2º Período)],tblEvento[],Tabelas!$D$1,FALSE)),FALSE,VLOOKUP(tblHorasAgo[Evento 
(2º Período)],tblEvento[],Tabelas!$D$1,FALSE)="Sim")),
        IF(JORNADA_PERIODO_2&lt;&gt;"",
IF(VLOOKUP(tblHorasAgo[Dia],tblDiaUtil[[Abreviatura]:[2º Período]],4,FALSE)&gt;0,VLOOKUP(tblHorasAgo[Dia],tblDiaUtil[[Abreviatura]:[2º Período]],4,FALSE),JORNADA_PERIODO_2),
IF(VLOOKUP(tblHorasAgo[Dia],tblDiaUtil[[Abreviatura]:[2º Período]],4,FALSE)&gt;0,VLOOKUP(tblHorasAgo[Dia],tblDiaUtil[[Abreviatura]:[2º Período]],4,FALSE),JORNADA/2)),
        IF(AND(ISNUMBER(tblHorasAgo[Saída - 2]),ISNUMBER(tblHorasAgo[Entrada - 2 (Almoço)])),
              IF(OR(AND(tblHorasAgo[Evento 
(2º Período)]&lt;&gt;"",IF(ISERROR(VLOOKUP(tblHorasAgo[Evento 
(2º Período)],tblEvento[],Tabelas!$E$1,FALSE)),FALSE,VLOOKUP(tblHorasAgo[Evento 
(2º Período)],tblEvento[],Tabelas!$E$1,FALSE)="Sim")),IF(VLOOKUP(TEXT(tblHorasAgo[Data],"dddd"),tblDiaUtil[],2,FALSE)="Não",TRUE,FALSE)),
                   tblHorasAgo[Saída - 2]-tblHorasAgo[Entrada - 2 (Almoço)],
                   IF(OR(HOUR(tblHorasAgo[Saída - 2]-tblHorasAgo[Entrada - 2 (Almoço)])&gt;0,MINUTE(tblHorasAgo[Saída - 2]-tblHorasAgo[Entrada - 2 (Almoço)])&gt;CARENCIA),
                         tblHorasAgo[Saída - 2]-tblHorasAgo[Entrada - 2 (Almoço)],
                         0)),
       0)),0)</f>
        <v>0</v>
      </c>
      <c r="L17" s="4">
        <f>tblHorasAgo[Horas Trabalhadas (1º Período)]+tblHorasAgo[Horas Trabalhadas (2º Período)]</f>
        <v>0</v>
      </c>
      <c r="M17" s="4" t="str">
        <f>IF(tblHorasAgo[Data]&lt;&gt;"",
        IF(
AND(VLOOKUP(TEXT(tblHorasAgo[Data],"dddd"),tblDiaUtil[],3,FALSE)="Sim",IF(tblHorasAgo[Evento 
(1º Período)]&lt;&gt;"",IF(VLOOKUP(tblHorasAgo[Evento 
(1º Período)],tblEvento[],Tabelas!$E$1,FALSE)="Sim",FALSE,TRUE),TRUE),IF(tblHorasAgo[Evento 
(2º Período)]&lt;&gt;"",IF(VLOOKUP(tblHorasAgo[Evento 
(2º Período)],tblEvento[],Tabelas!$E$1,FALSE)="Sim",FALSE,TRUE),TRUE)),
              IF(VLOOKUP(tblHorasAgo[Dia],tblDiaUtil[[Abreviatura]:[1º Período]],3,FALSE)&gt;0,VLOOKUP(tblHorasAgo[Dia],tblDiaUtil[[Abreviatura]:[1º Período]],3,FALSE),JORNADA),
              ""),
         "")</f>
        <v/>
      </c>
      <c r="N17" s="14">
        <f>IF(OR(tblHorasAgo[Horas Trabalhadas (1º Período)]&lt;&gt;0,tblHorasAgo[Horas Trabalhadas (2º Período)]&lt;&gt;0),
        IF(ISNUMBER(tblHorasAgo[Jornada Diária]),
              IF(tblHorasAgo[Jornada Diária]&gt;(tblHorasAgo[Horas Trabalhadas (2º Período)]+tblHorasAgo[Horas Trabalhadas (1º Período)]),
                     IF(ROUND((tblHorasAgo[Jornada Diária]-(tblHorasAgo[Horas Trabalhadas (2º Período)]+tblHorasAgo[Horas Trabalhadas (1º Período)])),6)&gt;ROUND(CARENCIA,6),
                           -tblHorasAgo[Jornada Diária]+(tblHorasAgo[Horas Trabalhadas (2º Período)]+tblHorasAgo[Horas Trabalhadas (1º Período)]),
                           0),
                      IF(ROUND((tblHorasAgo[Jornada Diária]-(tblHorasAgo[Horas Trabalhadas (2º Período)]+tblHorasAgo[Horas Trabalhadas (1º Período)])),6)&lt;ROUND(-CARENCIA,6),
                           -tblHorasAgo[Jornada Diária]+(tblHorasAgo[Horas Trabalhadas (2º Período)]+tblHorasAgo[Horas Trabalhadas (1º Período)]),
                           0)),
              tblHorasAgo[Horas Trabalhadas (2º Período)]+tblHorasAgo[Horas Trabalhadas (1º Período)]),
         IF(AND(IF(ISERROR(VLOOKUP(tblHorasAgo[Evento 
(1º Período)],tblEvento[[Evento]:[Libera o Período]],4,FALSE)),FALSE,IF(VLOOKUP(tblHorasAgo[Evento 
(1º Período)],tblEvento[[Evento]:[Libera o Período]],4,FALSE)="Não",TRUE,FALSE)),IF(ISERROR(VLOOKUP(tblHorasAgo[Evento 
(2º Período)],tblEvento[[Evento]:[Libera o Período]],4,FALSE)),FALSE,IF(VLOOKUP(tblHorasAgo[Evento 
(2º Período)],tblEvento[[Evento]:[Libera o Período]],4,FALSE)="Não",TRUE,FALSE))),
-IF(VLOOKUP(tblHorasAgo[Dia],tblDiaUtil[[Abreviatura]:[Total Jornada]],5,FALSE)&lt;&gt;"",VLOOKUP(tblHorasAgo[Dia],tblDiaUtil[[Abreviatura]:[Total Jornada]],5,FALSE),JORNADA),
IF(IF(ISERROR(VLOOKUP(tblHorasAgo[Evento 
(1º Período)],tblEvento[[Evento]:[Libera o Período]],4,FALSE)),FALSE,
IF(VLOOKUP(tblHorasAgo[Evento 
(1º Período)],tblEvento[[Evento]:[Libera o Período]],4,FALSE)="Não",TRUE,FALSE)
),
-IF(VLOOKUP(tblHorasAgo[Dia],tblDiaUtil[[Abreviatura]:[1º Período]],3,FALSE)&lt;&gt;"",VLOOKUP(tblHorasAgo[Dia],tblDiaUtil[[Abreviatura]:[1º Período]],3,FALSE),JORNADA_PERIODO_1),
IF(IF(ISERROR(VLOOKUP(tblHorasAgo[Evento 
(2º Período)],tblEvento[[Evento]:[Libera o Período]],4,FALSE)),FALSE,IF(VLOOKUP(tblHorasAgo[Evento 
(2º Período)],tblEvento[[Evento]:[Libera o Período]],4,FALSE)="Não",TRUE,FALSE)),
-IF(VLOOKUP(tblHorasAgo[Dia],tblDiaUtil[[Abreviatura]:[2º Período]],4,FALSE)&lt;&gt;"",VLOOKUP(tblHorasAgo[Dia],tblDiaUtil[[Abreviatura]:[2º Período]],4,FALSE),JORNADA_PERIODO_2),0))))</f>
        <v>0</v>
      </c>
      <c r="O17" s="14">
        <f>IF(tblHorasAgo[Horas Trabalhadas Além Jornada]&gt;0,
        IF(ISNUMBER(tblHorasAgo[Jornada Diária]),
              IF(HOUR(tblHorasAgo[Horas Trabalhadas Além Jornada])&gt;=VLOOKUP(LIMITE,tblLimiteHora[],Tabelas!$I$1,FALSE),
                    VLOOKUP(LIMITE,tblLimiteHora[],Tabelas!$J$1,FALSE),
                    tblHorasAgo[Horas Trabalhadas Além Jornada]),
              tblHorasAgo[Horas Trabalhadas Além Jornada]),
        tblHorasAgo[Horas Trabalhadas Além Jornada])+O16</f>
        <v>0</v>
      </c>
      <c r="P17" s="14" t="str">
        <f>IF(tblHorasAgo[Horas Trabalhadas Além Jornada]&lt;0,IF(OR(tblHorasAgo[Evento 
(1º Período)]="",tblHorasAgo[Evento 
(2º Período)]=""),tblHorasAgo[Horas Trabalhadas Além Jornada],""),"")</f>
        <v/>
      </c>
      <c r="Q17" s="14" t="str">
        <f>IF(tblHorasAgo[Jornada Diária]&lt;&gt;"",IF((N(tblHorasAgo[Jornada Diária])-ABS(N(tblHorasAgo[Horas Trabalhadas Além Jornada])))=0,1,""),"")</f>
        <v/>
      </c>
      <c r="R17" s="14" t="str">
        <f>IF(tblHorasAgo[Horas Trabalhadas Além Jornada]&gt;0,
IF(AND(VLOOKUP(TEXT(tblHorasAgo[Data],"dddd"),tblDiaUtil[],3,FALSE)="Sim",IF(tblHorasAgo[Evento 
(1º Período)]&lt;&gt;"",IF(VLOOKUP(tblHorasAgo[Evento 
(1º Período)],tblEvento[],Tabelas!$E$1,FALSE)="Sim",FALSE,TRUE),TRUE),IF(tblHorasAgo[Evento 
(2º Período)]&lt;&gt;"",IF(VLOOKUP(tblHorasAgo[Evento 
(2º Período)],tblEvento[],Tabelas!$E$1,FALSE)="Sim",FALSE,TRUE),TRUE)),
tblHorasAgo[Horas Trabalhadas Além Jornada],""),"")</f>
        <v/>
      </c>
      <c r="S17" s="14" t="str">
        <f>IF(tblHorasAgo[Horas Trabalhadas Além Jornada]&gt;0,
IF(OR(VLOOKUP(TEXT(tblHorasAgo[Data],"dddd"),tblDiaUtil[],3,FALSE)="Não",IF(tblHorasAgo[Evento 
(1º Período)]&lt;&gt;"",IF(VLOOKUP(tblHorasAgo[Evento 
(1º Período)],tblEvento[],Tabelas!$E$1,FALSE)="Sim",TRUE,FALSE),FALSE),IF(tblHorasAgo[Evento 
(2º Período)]&lt;&gt;"",IF(VLOOKUP(tblHorasAgo[Evento 
(2º Período)],tblEvento[],Tabelas!$E$1,FALSE)="Sim",TRUE,FALSE),FALSE)),
tblHorasAgo[Horas Trabalhadas Além Jornada],""),"")</f>
        <v/>
      </c>
      <c r="T17" s="15" t="str">
        <f>IF(tblHorasAgo[Evento 
(1º Período)]&lt;&gt;""," - " &amp;VLOOKUP(tblHorasAgo[Evento 
(1º Período)],tblEvento[],Tabelas!$F$1,FALSE),"")&amp;IF(AND(tblHorasAgo[Evento 
(2º Período)]&lt;&gt;"",tblHorasAgo[Evento 
(2º Período)]&lt;&gt;tblHorasAgo[Evento 
(1º Período)])," - " &amp; VLOOKUP(tblHorasAgo[Evento 
(2º Período)],tblEvento[],Tabelas!$F$1,FALSE),"")</f>
        <v/>
      </c>
    </row>
    <row r="18" spans="2:20" x14ac:dyDescent="0.25">
      <c r="B18" s="11" t="str">
        <f t="shared" si="0"/>
        <v/>
      </c>
      <c r="C18" s="12" t="str">
        <f>TEXT(tblHorasAgo[Data],"ddd")</f>
        <v/>
      </c>
      <c r="D18" s="25"/>
      <c r="E18" s="1"/>
      <c r="F18" s="1"/>
      <c r="G18" s="1"/>
      <c r="H18" s="1"/>
      <c r="I18" s="53"/>
      <c r="J18" s="4">
        <f>IF($B$6&lt;&gt;"",
IF(AND(tblHorasAgo[Evento 
(1º Período)]&lt;&gt;"",IF(ISERROR(VLOOKUP(tblHorasAgo[Evento 
(1º Período)],tblEvento[],Tabelas!$D$1,FALSE)),FALSE,VLOOKUP(tblHorasAgo[Evento 
(1º Período)],tblEvento[],Tabelas!$D$1,FALSE)="Sim")),
        IF(JORNADA_PERIODO_1&lt;&gt;"",
IF(VLOOKUP(tblHorasAgo[Dia],tblDiaUtil[[Abreviatura]:[1º Período]],3,FALSE)&gt;0,VLOOKUP(tblHorasAgo[Dia],tblDiaUtil[[Abreviatura]:[1º Período]],3,FALSE),JORNADA_PERIODO_1),
IF(VLOOKUP(tblHorasAgo[Dia],tblDiaUtil[[Abreviatura]:[1º Período]],3,FALSE)&gt;0,VLOOKUP(tblHorasAgo[Dia],tblDiaUtil[[Abreviatura]:[1º Período]],3,FALSE),JORNADA/2)),
        IF(AND(ISNUMBER(tblHorasAgo[Saída - 1 (Almoço)]),ISNUMBER(tblHorasAgo[Entrada - 1])),
              IF(OR(AND(tblHorasAgo[Evento 
(1º Período)]&lt;&gt;"",IF(ISERROR(VLOOKUP(tblHorasAgo[Evento 
(1º Período)],tblEvento[],Tabelas!$E$1,FALSE)),FALSE,VLOOKUP(tblHorasAgo[Evento 
(1º Período)],tblEvento[],Tabelas!$E$1,FALSE)="Sim")),IF(VLOOKUP(TEXT(tblHorasAgo[Data],"dddd"),tblDiaUtil[],2,FALSE)="Não",TRUE,FALSE)),
                   tblHorasAgo[Saída - 1 (Almoço)]-tblHorasAgo[Entrada - 1],
                   IF(OR(HOUR(tblHorasAgo[Saída - 1 (Almoço)]-tblHorasAgo[Entrada - 1])&gt;0,ROUND(tblHorasAgo[Saída - 1 (Almoço)]-tblHorasAgo[Entrada - 1],6)&gt;ROUND(CARENCIA,6)),
                          tblHorasAgo[Saída - 1 (Almoço)]-tblHorasAgo[Entrada - 1],
                          0)),
                    0)),0)</f>
        <v>0</v>
      </c>
      <c r="K18" s="4">
        <f>IF($B$6&lt;&gt;"",
IF(AND(tblHorasAgo[Evento 
(2º Período)]&lt;&gt;"",IF(ISERROR(VLOOKUP(tblHorasAgo[Evento 
(2º Período)],tblEvento[],Tabelas!$D$1,FALSE)),FALSE,VLOOKUP(tblHorasAgo[Evento 
(2º Período)],tblEvento[],Tabelas!$D$1,FALSE)="Sim")),
        IF(JORNADA_PERIODO_2&lt;&gt;"",
IF(VLOOKUP(tblHorasAgo[Dia],tblDiaUtil[[Abreviatura]:[2º Período]],4,FALSE)&gt;0,VLOOKUP(tblHorasAgo[Dia],tblDiaUtil[[Abreviatura]:[2º Período]],4,FALSE),JORNADA_PERIODO_2),
IF(VLOOKUP(tblHorasAgo[Dia],tblDiaUtil[[Abreviatura]:[2º Período]],4,FALSE)&gt;0,VLOOKUP(tblHorasAgo[Dia],tblDiaUtil[[Abreviatura]:[2º Período]],4,FALSE),JORNADA/2)),
        IF(AND(ISNUMBER(tblHorasAgo[Saída - 2]),ISNUMBER(tblHorasAgo[Entrada - 2 (Almoço)])),
              IF(OR(AND(tblHorasAgo[Evento 
(2º Período)]&lt;&gt;"",IF(ISERROR(VLOOKUP(tblHorasAgo[Evento 
(2º Período)],tblEvento[],Tabelas!$E$1,FALSE)),FALSE,VLOOKUP(tblHorasAgo[Evento 
(2º Período)],tblEvento[],Tabelas!$E$1,FALSE)="Sim")),IF(VLOOKUP(TEXT(tblHorasAgo[Data],"dddd"),tblDiaUtil[],2,FALSE)="Não",TRUE,FALSE)),
                   tblHorasAgo[Saída - 2]-tblHorasAgo[Entrada - 2 (Almoço)],
                   IF(OR(HOUR(tblHorasAgo[Saída - 2]-tblHorasAgo[Entrada - 2 (Almoço)])&gt;0,MINUTE(tblHorasAgo[Saída - 2]-tblHorasAgo[Entrada - 2 (Almoço)])&gt;CARENCIA),
                         tblHorasAgo[Saída - 2]-tblHorasAgo[Entrada - 2 (Almoço)],
                         0)),
       0)),0)</f>
        <v>0</v>
      </c>
      <c r="L18" s="4">
        <f>tblHorasAgo[Horas Trabalhadas (1º Período)]+tblHorasAgo[Horas Trabalhadas (2º Período)]</f>
        <v>0</v>
      </c>
      <c r="M18" s="4" t="str">
        <f>IF(tblHorasAgo[Data]&lt;&gt;"",
        IF(
AND(VLOOKUP(TEXT(tblHorasAgo[Data],"dddd"),tblDiaUtil[],3,FALSE)="Sim",IF(tblHorasAgo[Evento 
(1º Período)]&lt;&gt;"",IF(VLOOKUP(tblHorasAgo[Evento 
(1º Período)],tblEvento[],Tabelas!$E$1,FALSE)="Sim",FALSE,TRUE),TRUE),IF(tblHorasAgo[Evento 
(2º Período)]&lt;&gt;"",IF(VLOOKUP(tblHorasAgo[Evento 
(2º Período)],tblEvento[],Tabelas!$E$1,FALSE)="Sim",FALSE,TRUE),TRUE)),
              IF(VLOOKUP(tblHorasAgo[Dia],tblDiaUtil[[Abreviatura]:[1º Período]],3,FALSE)&gt;0,VLOOKUP(tblHorasAgo[Dia],tblDiaUtil[[Abreviatura]:[1º Período]],3,FALSE),JORNADA),
              ""),
         "")</f>
        <v/>
      </c>
      <c r="N18" s="14">
        <f>IF(OR(tblHorasAgo[Horas Trabalhadas (1º Período)]&lt;&gt;0,tblHorasAgo[Horas Trabalhadas (2º Período)]&lt;&gt;0),
        IF(ISNUMBER(tblHorasAgo[Jornada Diária]),
              IF(tblHorasAgo[Jornada Diária]&gt;(tblHorasAgo[Horas Trabalhadas (2º Período)]+tblHorasAgo[Horas Trabalhadas (1º Período)]),
                     IF(ROUND((tblHorasAgo[Jornada Diária]-(tblHorasAgo[Horas Trabalhadas (2º Período)]+tblHorasAgo[Horas Trabalhadas (1º Período)])),6)&gt;ROUND(CARENCIA,6),
                           -tblHorasAgo[Jornada Diária]+(tblHorasAgo[Horas Trabalhadas (2º Período)]+tblHorasAgo[Horas Trabalhadas (1º Período)]),
                           0),
                      IF(ROUND((tblHorasAgo[Jornada Diária]-(tblHorasAgo[Horas Trabalhadas (2º Período)]+tblHorasAgo[Horas Trabalhadas (1º Período)])),6)&lt;ROUND(-CARENCIA,6),
                           -tblHorasAgo[Jornada Diária]+(tblHorasAgo[Horas Trabalhadas (2º Período)]+tblHorasAgo[Horas Trabalhadas (1º Período)]),
                           0)),
              tblHorasAgo[Horas Trabalhadas (2º Período)]+tblHorasAgo[Horas Trabalhadas (1º Período)]),
         IF(AND(IF(ISERROR(VLOOKUP(tblHorasAgo[Evento 
(1º Período)],tblEvento[[Evento]:[Libera o Período]],4,FALSE)),FALSE,IF(VLOOKUP(tblHorasAgo[Evento 
(1º Período)],tblEvento[[Evento]:[Libera o Período]],4,FALSE)="Não",TRUE,FALSE)),IF(ISERROR(VLOOKUP(tblHorasAgo[Evento 
(2º Período)],tblEvento[[Evento]:[Libera o Período]],4,FALSE)),FALSE,IF(VLOOKUP(tblHorasAgo[Evento 
(2º Período)],tblEvento[[Evento]:[Libera o Período]],4,FALSE)="Não",TRUE,FALSE))),
-IF(VLOOKUP(tblHorasAgo[Dia],tblDiaUtil[[Abreviatura]:[Total Jornada]],5,FALSE)&lt;&gt;"",VLOOKUP(tblHorasAgo[Dia],tblDiaUtil[[Abreviatura]:[Total Jornada]],5,FALSE),JORNADA),
IF(IF(ISERROR(VLOOKUP(tblHorasAgo[Evento 
(1º Período)],tblEvento[[Evento]:[Libera o Período]],4,FALSE)),FALSE,
IF(VLOOKUP(tblHorasAgo[Evento 
(1º Período)],tblEvento[[Evento]:[Libera o Período]],4,FALSE)="Não",TRUE,FALSE)
),
-IF(VLOOKUP(tblHorasAgo[Dia],tblDiaUtil[[Abreviatura]:[1º Período]],3,FALSE)&lt;&gt;"",VLOOKUP(tblHorasAgo[Dia],tblDiaUtil[[Abreviatura]:[1º Período]],3,FALSE),JORNADA_PERIODO_1),
IF(IF(ISERROR(VLOOKUP(tblHorasAgo[Evento 
(2º Período)],tblEvento[[Evento]:[Libera o Período]],4,FALSE)),FALSE,IF(VLOOKUP(tblHorasAgo[Evento 
(2º Período)],tblEvento[[Evento]:[Libera o Período]],4,FALSE)="Não",TRUE,FALSE)),
-IF(VLOOKUP(tblHorasAgo[Dia],tblDiaUtil[[Abreviatura]:[2º Período]],4,FALSE)&lt;&gt;"",VLOOKUP(tblHorasAgo[Dia],tblDiaUtil[[Abreviatura]:[2º Período]],4,FALSE),JORNADA_PERIODO_2),0))))</f>
        <v>0</v>
      </c>
      <c r="O18" s="14">
        <f>IF(tblHorasAgo[Horas Trabalhadas Além Jornada]&gt;0,
        IF(ISNUMBER(tblHorasAgo[Jornada Diária]),
              IF(HOUR(tblHorasAgo[Horas Trabalhadas Além Jornada])&gt;=VLOOKUP(LIMITE,tblLimiteHora[],Tabelas!$I$1,FALSE),
                    VLOOKUP(LIMITE,tblLimiteHora[],Tabelas!$J$1,FALSE),
                    tblHorasAgo[Horas Trabalhadas Além Jornada]),
              tblHorasAgo[Horas Trabalhadas Além Jornada]),
        tblHorasAgo[Horas Trabalhadas Além Jornada])+O17</f>
        <v>0</v>
      </c>
      <c r="P18" s="14" t="str">
        <f>IF(tblHorasAgo[Horas Trabalhadas Além Jornada]&lt;0,IF(OR(tblHorasAgo[Evento 
(1º Período)]="",tblHorasAgo[Evento 
(2º Período)]=""),tblHorasAgo[Horas Trabalhadas Além Jornada],""),"")</f>
        <v/>
      </c>
      <c r="Q18" s="14" t="str">
        <f>IF(tblHorasAgo[Jornada Diária]&lt;&gt;"",IF((N(tblHorasAgo[Jornada Diária])-ABS(N(tblHorasAgo[Horas Trabalhadas Além Jornada])))=0,1,""),"")</f>
        <v/>
      </c>
      <c r="R18" s="14" t="str">
        <f>IF(tblHorasAgo[Horas Trabalhadas Além Jornada]&gt;0,
IF(AND(VLOOKUP(TEXT(tblHorasAgo[Data],"dddd"),tblDiaUtil[],3,FALSE)="Sim",IF(tblHorasAgo[Evento 
(1º Período)]&lt;&gt;"",IF(VLOOKUP(tblHorasAgo[Evento 
(1º Período)],tblEvento[],Tabelas!$E$1,FALSE)="Sim",FALSE,TRUE),TRUE),IF(tblHorasAgo[Evento 
(2º Período)]&lt;&gt;"",IF(VLOOKUP(tblHorasAgo[Evento 
(2º Período)],tblEvento[],Tabelas!$E$1,FALSE)="Sim",FALSE,TRUE),TRUE)),
tblHorasAgo[Horas Trabalhadas Além Jornada],""),"")</f>
        <v/>
      </c>
      <c r="S18" s="14" t="str">
        <f>IF(tblHorasAgo[Horas Trabalhadas Além Jornada]&gt;0,
IF(OR(VLOOKUP(TEXT(tblHorasAgo[Data],"dddd"),tblDiaUtil[],3,FALSE)="Não",IF(tblHorasAgo[Evento 
(1º Período)]&lt;&gt;"",IF(VLOOKUP(tblHorasAgo[Evento 
(1º Período)],tblEvento[],Tabelas!$E$1,FALSE)="Sim",TRUE,FALSE),FALSE),IF(tblHorasAgo[Evento 
(2º Período)]&lt;&gt;"",IF(VLOOKUP(tblHorasAgo[Evento 
(2º Período)],tblEvento[],Tabelas!$E$1,FALSE)="Sim",TRUE,FALSE),FALSE)),
tblHorasAgo[Horas Trabalhadas Além Jornada],""),"")</f>
        <v/>
      </c>
      <c r="T18" s="15" t="str">
        <f>IF(tblHorasAgo[Evento 
(1º Período)]&lt;&gt;""," - " &amp;VLOOKUP(tblHorasAgo[Evento 
(1º Período)],tblEvento[],Tabelas!$F$1,FALSE),"")&amp;IF(AND(tblHorasAgo[Evento 
(2º Período)]&lt;&gt;"",tblHorasAgo[Evento 
(2º Período)]&lt;&gt;tblHorasAgo[Evento 
(1º Período)])," - " &amp; VLOOKUP(tblHorasAgo[Evento 
(2º Período)],tblEvento[],Tabelas!$F$1,FALSE),"")</f>
        <v/>
      </c>
    </row>
    <row r="19" spans="2:20" x14ac:dyDescent="0.25">
      <c r="B19" s="11" t="str">
        <f t="shared" si="0"/>
        <v/>
      </c>
      <c r="C19" s="12" t="str">
        <f>TEXT(tblHorasAgo[Data],"ddd")</f>
        <v/>
      </c>
      <c r="D19" s="25"/>
      <c r="E19" s="1"/>
      <c r="F19" s="1"/>
      <c r="G19" s="1"/>
      <c r="H19" s="1"/>
      <c r="I19" s="53"/>
      <c r="J19" s="4">
        <f>IF($B$6&lt;&gt;"",
IF(AND(tblHorasAgo[Evento 
(1º Período)]&lt;&gt;"",IF(ISERROR(VLOOKUP(tblHorasAgo[Evento 
(1º Período)],tblEvento[],Tabelas!$D$1,FALSE)),FALSE,VLOOKUP(tblHorasAgo[Evento 
(1º Período)],tblEvento[],Tabelas!$D$1,FALSE)="Sim")),
        IF(JORNADA_PERIODO_1&lt;&gt;"",
IF(VLOOKUP(tblHorasAgo[Dia],tblDiaUtil[[Abreviatura]:[1º Período]],3,FALSE)&gt;0,VLOOKUP(tblHorasAgo[Dia],tblDiaUtil[[Abreviatura]:[1º Período]],3,FALSE),JORNADA_PERIODO_1),
IF(VLOOKUP(tblHorasAgo[Dia],tblDiaUtil[[Abreviatura]:[1º Período]],3,FALSE)&gt;0,VLOOKUP(tblHorasAgo[Dia],tblDiaUtil[[Abreviatura]:[1º Período]],3,FALSE),JORNADA/2)),
        IF(AND(ISNUMBER(tblHorasAgo[Saída - 1 (Almoço)]),ISNUMBER(tblHorasAgo[Entrada - 1])),
              IF(OR(AND(tblHorasAgo[Evento 
(1º Período)]&lt;&gt;"",IF(ISERROR(VLOOKUP(tblHorasAgo[Evento 
(1º Período)],tblEvento[],Tabelas!$E$1,FALSE)),FALSE,VLOOKUP(tblHorasAgo[Evento 
(1º Período)],tblEvento[],Tabelas!$E$1,FALSE)="Sim")),IF(VLOOKUP(TEXT(tblHorasAgo[Data],"dddd"),tblDiaUtil[],2,FALSE)="Não",TRUE,FALSE)),
                   tblHorasAgo[Saída - 1 (Almoço)]-tblHorasAgo[Entrada - 1],
                   IF(OR(HOUR(tblHorasAgo[Saída - 1 (Almoço)]-tblHorasAgo[Entrada - 1])&gt;0,ROUND(tblHorasAgo[Saída - 1 (Almoço)]-tblHorasAgo[Entrada - 1],6)&gt;ROUND(CARENCIA,6)),
                          tblHorasAgo[Saída - 1 (Almoço)]-tblHorasAgo[Entrada - 1],
                          0)),
                    0)),0)</f>
        <v>0</v>
      </c>
      <c r="K19" s="4">
        <f>IF($B$6&lt;&gt;"",
IF(AND(tblHorasAgo[Evento 
(2º Período)]&lt;&gt;"",IF(ISERROR(VLOOKUP(tblHorasAgo[Evento 
(2º Período)],tblEvento[],Tabelas!$D$1,FALSE)),FALSE,VLOOKUP(tblHorasAgo[Evento 
(2º Período)],tblEvento[],Tabelas!$D$1,FALSE)="Sim")),
        IF(JORNADA_PERIODO_2&lt;&gt;"",
IF(VLOOKUP(tblHorasAgo[Dia],tblDiaUtil[[Abreviatura]:[2º Período]],4,FALSE)&gt;0,VLOOKUP(tblHorasAgo[Dia],tblDiaUtil[[Abreviatura]:[2º Período]],4,FALSE),JORNADA_PERIODO_2),
IF(VLOOKUP(tblHorasAgo[Dia],tblDiaUtil[[Abreviatura]:[2º Período]],4,FALSE)&gt;0,VLOOKUP(tblHorasAgo[Dia],tblDiaUtil[[Abreviatura]:[2º Período]],4,FALSE),JORNADA/2)),
        IF(AND(ISNUMBER(tblHorasAgo[Saída - 2]),ISNUMBER(tblHorasAgo[Entrada - 2 (Almoço)])),
              IF(OR(AND(tblHorasAgo[Evento 
(2º Período)]&lt;&gt;"",IF(ISERROR(VLOOKUP(tblHorasAgo[Evento 
(2º Período)],tblEvento[],Tabelas!$E$1,FALSE)),FALSE,VLOOKUP(tblHorasAgo[Evento 
(2º Período)],tblEvento[],Tabelas!$E$1,FALSE)="Sim")),IF(VLOOKUP(TEXT(tblHorasAgo[Data],"dddd"),tblDiaUtil[],2,FALSE)="Não",TRUE,FALSE)),
                   tblHorasAgo[Saída - 2]-tblHorasAgo[Entrada - 2 (Almoço)],
                   IF(OR(HOUR(tblHorasAgo[Saída - 2]-tblHorasAgo[Entrada - 2 (Almoço)])&gt;0,MINUTE(tblHorasAgo[Saída - 2]-tblHorasAgo[Entrada - 2 (Almoço)])&gt;CARENCIA),
                         tblHorasAgo[Saída - 2]-tblHorasAgo[Entrada - 2 (Almoço)],
                         0)),
       0)),0)</f>
        <v>0</v>
      </c>
      <c r="L19" s="4">
        <f>tblHorasAgo[Horas Trabalhadas (1º Período)]+tblHorasAgo[Horas Trabalhadas (2º Período)]</f>
        <v>0</v>
      </c>
      <c r="M19" s="4" t="str">
        <f>IF(tblHorasAgo[Data]&lt;&gt;"",
        IF(
AND(VLOOKUP(TEXT(tblHorasAgo[Data],"dddd"),tblDiaUtil[],3,FALSE)="Sim",IF(tblHorasAgo[Evento 
(1º Período)]&lt;&gt;"",IF(VLOOKUP(tblHorasAgo[Evento 
(1º Período)],tblEvento[],Tabelas!$E$1,FALSE)="Sim",FALSE,TRUE),TRUE),IF(tblHorasAgo[Evento 
(2º Período)]&lt;&gt;"",IF(VLOOKUP(tblHorasAgo[Evento 
(2º Período)],tblEvento[],Tabelas!$E$1,FALSE)="Sim",FALSE,TRUE),TRUE)),
              IF(VLOOKUP(tblHorasAgo[Dia],tblDiaUtil[[Abreviatura]:[1º Período]],3,FALSE)&gt;0,VLOOKUP(tblHorasAgo[Dia],tblDiaUtil[[Abreviatura]:[1º Período]],3,FALSE),JORNADA),
              ""),
         "")</f>
        <v/>
      </c>
      <c r="N19" s="14">
        <f>IF(OR(tblHorasAgo[Horas Trabalhadas (1º Período)]&lt;&gt;0,tblHorasAgo[Horas Trabalhadas (2º Período)]&lt;&gt;0),
        IF(ISNUMBER(tblHorasAgo[Jornada Diária]),
              IF(tblHorasAgo[Jornada Diária]&gt;(tblHorasAgo[Horas Trabalhadas (2º Período)]+tblHorasAgo[Horas Trabalhadas (1º Período)]),
                     IF(ROUND((tblHorasAgo[Jornada Diária]-(tblHorasAgo[Horas Trabalhadas (2º Período)]+tblHorasAgo[Horas Trabalhadas (1º Período)])),6)&gt;ROUND(CARENCIA,6),
                           -tblHorasAgo[Jornada Diária]+(tblHorasAgo[Horas Trabalhadas (2º Período)]+tblHorasAgo[Horas Trabalhadas (1º Período)]),
                           0),
                      IF(ROUND((tblHorasAgo[Jornada Diária]-(tblHorasAgo[Horas Trabalhadas (2º Período)]+tblHorasAgo[Horas Trabalhadas (1º Período)])),6)&lt;ROUND(-CARENCIA,6),
                           -tblHorasAgo[Jornada Diária]+(tblHorasAgo[Horas Trabalhadas (2º Período)]+tblHorasAgo[Horas Trabalhadas (1º Período)]),
                           0)),
              tblHorasAgo[Horas Trabalhadas (2º Período)]+tblHorasAgo[Horas Trabalhadas (1º Período)]),
         IF(AND(IF(ISERROR(VLOOKUP(tblHorasAgo[Evento 
(1º Período)],tblEvento[[Evento]:[Libera o Período]],4,FALSE)),FALSE,IF(VLOOKUP(tblHorasAgo[Evento 
(1º Período)],tblEvento[[Evento]:[Libera o Período]],4,FALSE)="Não",TRUE,FALSE)),IF(ISERROR(VLOOKUP(tblHorasAgo[Evento 
(2º Período)],tblEvento[[Evento]:[Libera o Período]],4,FALSE)),FALSE,IF(VLOOKUP(tblHorasAgo[Evento 
(2º Período)],tblEvento[[Evento]:[Libera o Período]],4,FALSE)="Não",TRUE,FALSE))),
-IF(VLOOKUP(tblHorasAgo[Dia],tblDiaUtil[[Abreviatura]:[Total Jornada]],5,FALSE)&lt;&gt;"",VLOOKUP(tblHorasAgo[Dia],tblDiaUtil[[Abreviatura]:[Total Jornada]],5,FALSE),JORNADA),
IF(IF(ISERROR(VLOOKUP(tblHorasAgo[Evento 
(1º Período)],tblEvento[[Evento]:[Libera o Período]],4,FALSE)),FALSE,
IF(VLOOKUP(tblHorasAgo[Evento 
(1º Período)],tblEvento[[Evento]:[Libera o Período]],4,FALSE)="Não",TRUE,FALSE)
),
-IF(VLOOKUP(tblHorasAgo[Dia],tblDiaUtil[[Abreviatura]:[1º Período]],3,FALSE)&lt;&gt;"",VLOOKUP(tblHorasAgo[Dia],tblDiaUtil[[Abreviatura]:[1º Período]],3,FALSE),JORNADA_PERIODO_1),
IF(IF(ISERROR(VLOOKUP(tblHorasAgo[Evento 
(2º Período)],tblEvento[[Evento]:[Libera o Período]],4,FALSE)),FALSE,IF(VLOOKUP(tblHorasAgo[Evento 
(2º Período)],tblEvento[[Evento]:[Libera o Período]],4,FALSE)="Não",TRUE,FALSE)),
-IF(VLOOKUP(tblHorasAgo[Dia],tblDiaUtil[[Abreviatura]:[2º Período]],4,FALSE)&lt;&gt;"",VLOOKUP(tblHorasAgo[Dia],tblDiaUtil[[Abreviatura]:[2º Período]],4,FALSE),JORNADA_PERIODO_2),0))))</f>
        <v>0</v>
      </c>
      <c r="O19" s="14">
        <f>IF(tblHorasAgo[Horas Trabalhadas Além Jornada]&gt;0,
        IF(ISNUMBER(tblHorasAgo[Jornada Diária]),
              IF(HOUR(tblHorasAgo[Horas Trabalhadas Além Jornada])&gt;=VLOOKUP(LIMITE,tblLimiteHora[],Tabelas!$I$1,FALSE),
                    VLOOKUP(LIMITE,tblLimiteHora[],Tabelas!$J$1,FALSE),
                    tblHorasAgo[Horas Trabalhadas Além Jornada]),
              tblHorasAgo[Horas Trabalhadas Além Jornada]),
        tblHorasAgo[Horas Trabalhadas Além Jornada])+O18</f>
        <v>0</v>
      </c>
      <c r="P19" s="14" t="str">
        <f>IF(tblHorasAgo[Horas Trabalhadas Além Jornada]&lt;0,IF(OR(tblHorasAgo[Evento 
(1º Período)]="",tblHorasAgo[Evento 
(2º Período)]=""),tblHorasAgo[Horas Trabalhadas Além Jornada],""),"")</f>
        <v/>
      </c>
      <c r="Q19" s="14" t="str">
        <f>IF(tblHorasAgo[Jornada Diária]&lt;&gt;"",IF((N(tblHorasAgo[Jornada Diária])-ABS(N(tblHorasAgo[Horas Trabalhadas Além Jornada])))=0,1,""),"")</f>
        <v/>
      </c>
      <c r="R19" s="14" t="str">
        <f>IF(tblHorasAgo[Horas Trabalhadas Além Jornada]&gt;0,
IF(AND(VLOOKUP(TEXT(tblHorasAgo[Data],"dddd"),tblDiaUtil[],3,FALSE)="Sim",IF(tblHorasAgo[Evento 
(1º Período)]&lt;&gt;"",IF(VLOOKUP(tblHorasAgo[Evento 
(1º Período)],tblEvento[],Tabelas!$E$1,FALSE)="Sim",FALSE,TRUE),TRUE),IF(tblHorasAgo[Evento 
(2º Período)]&lt;&gt;"",IF(VLOOKUP(tblHorasAgo[Evento 
(2º Período)],tblEvento[],Tabelas!$E$1,FALSE)="Sim",FALSE,TRUE),TRUE)),
tblHorasAgo[Horas Trabalhadas Além Jornada],""),"")</f>
        <v/>
      </c>
      <c r="S19" s="14" t="str">
        <f>IF(tblHorasAgo[Horas Trabalhadas Além Jornada]&gt;0,
IF(OR(VLOOKUP(TEXT(tblHorasAgo[Data],"dddd"),tblDiaUtil[],3,FALSE)="Não",IF(tblHorasAgo[Evento 
(1º Período)]&lt;&gt;"",IF(VLOOKUP(tblHorasAgo[Evento 
(1º Período)],tblEvento[],Tabelas!$E$1,FALSE)="Sim",TRUE,FALSE),FALSE),IF(tblHorasAgo[Evento 
(2º Período)]&lt;&gt;"",IF(VLOOKUP(tblHorasAgo[Evento 
(2º Período)],tblEvento[],Tabelas!$E$1,FALSE)="Sim",TRUE,FALSE),FALSE)),
tblHorasAgo[Horas Trabalhadas Além Jornada],""),"")</f>
        <v/>
      </c>
      <c r="T19" s="15" t="str">
        <f>IF(tblHorasAgo[Evento 
(1º Período)]&lt;&gt;""," - " &amp;VLOOKUP(tblHorasAgo[Evento 
(1º Período)],tblEvento[],Tabelas!$F$1,FALSE),"")&amp;IF(AND(tblHorasAgo[Evento 
(2º Período)]&lt;&gt;"",tblHorasAgo[Evento 
(2º Período)]&lt;&gt;tblHorasAgo[Evento 
(1º Período)])," - " &amp; VLOOKUP(tblHorasAgo[Evento 
(2º Período)],tblEvento[],Tabelas!$F$1,FALSE),"")</f>
        <v/>
      </c>
    </row>
    <row r="20" spans="2:20" x14ac:dyDescent="0.25">
      <c r="B20" s="11" t="str">
        <f t="shared" si="0"/>
        <v/>
      </c>
      <c r="C20" s="12" t="str">
        <f>TEXT(tblHorasAgo[Data],"ddd")</f>
        <v/>
      </c>
      <c r="D20" s="25"/>
      <c r="E20" s="1"/>
      <c r="F20" s="1"/>
      <c r="G20" s="1"/>
      <c r="H20" s="1"/>
      <c r="I20" s="53"/>
      <c r="J20" s="4">
        <f>IF($B$6&lt;&gt;"",
IF(AND(tblHorasAgo[Evento 
(1º Período)]&lt;&gt;"",IF(ISERROR(VLOOKUP(tblHorasAgo[Evento 
(1º Período)],tblEvento[],Tabelas!$D$1,FALSE)),FALSE,VLOOKUP(tblHorasAgo[Evento 
(1º Período)],tblEvento[],Tabelas!$D$1,FALSE)="Sim")),
        IF(JORNADA_PERIODO_1&lt;&gt;"",
IF(VLOOKUP(tblHorasAgo[Dia],tblDiaUtil[[Abreviatura]:[1º Período]],3,FALSE)&gt;0,VLOOKUP(tblHorasAgo[Dia],tblDiaUtil[[Abreviatura]:[1º Período]],3,FALSE),JORNADA_PERIODO_1),
IF(VLOOKUP(tblHorasAgo[Dia],tblDiaUtil[[Abreviatura]:[1º Período]],3,FALSE)&gt;0,VLOOKUP(tblHorasAgo[Dia],tblDiaUtil[[Abreviatura]:[1º Período]],3,FALSE),JORNADA/2)),
        IF(AND(ISNUMBER(tblHorasAgo[Saída - 1 (Almoço)]),ISNUMBER(tblHorasAgo[Entrada - 1])),
              IF(OR(AND(tblHorasAgo[Evento 
(1º Período)]&lt;&gt;"",IF(ISERROR(VLOOKUP(tblHorasAgo[Evento 
(1º Período)],tblEvento[],Tabelas!$E$1,FALSE)),FALSE,VLOOKUP(tblHorasAgo[Evento 
(1º Período)],tblEvento[],Tabelas!$E$1,FALSE)="Sim")),IF(VLOOKUP(TEXT(tblHorasAgo[Data],"dddd"),tblDiaUtil[],2,FALSE)="Não",TRUE,FALSE)),
                   tblHorasAgo[Saída - 1 (Almoço)]-tblHorasAgo[Entrada - 1],
                   IF(OR(HOUR(tblHorasAgo[Saída - 1 (Almoço)]-tblHorasAgo[Entrada - 1])&gt;0,ROUND(tblHorasAgo[Saída - 1 (Almoço)]-tblHorasAgo[Entrada - 1],6)&gt;ROUND(CARENCIA,6)),
                          tblHorasAgo[Saída - 1 (Almoço)]-tblHorasAgo[Entrada - 1],
                          0)),
                    0)),0)</f>
        <v>0</v>
      </c>
      <c r="K20" s="4">
        <f>IF($B$6&lt;&gt;"",
IF(AND(tblHorasAgo[Evento 
(2º Período)]&lt;&gt;"",IF(ISERROR(VLOOKUP(tblHorasAgo[Evento 
(2º Período)],tblEvento[],Tabelas!$D$1,FALSE)),FALSE,VLOOKUP(tblHorasAgo[Evento 
(2º Período)],tblEvento[],Tabelas!$D$1,FALSE)="Sim")),
        IF(JORNADA_PERIODO_2&lt;&gt;"",
IF(VLOOKUP(tblHorasAgo[Dia],tblDiaUtil[[Abreviatura]:[2º Período]],4,FALSE)&gt;0,VLOOKUP(tblHorasAgo[Dia],tblDiaUtil[[Abreviatura]:[2º Período]],4,FALSE),JORNADA_PERIODO_2),
IF(VLOOKUP(tblHorasAgo[Dia],tblDiaUtil[[Abreviatura]:[2º Período]],4,FALSE)&gt;0,VLOOKUP(tblHorasAgo[Dia],tblDiaUtil[[Abreviatura]:[2º Período]],4,FALSE),JORNADA/2)),
        IF(AND(ISNUMBER(tblHorasAgo[Saída - 2]),ISNUMBER(tblHorasAgo[Entrada - 2 (Almoço)])),
              IF(OR(AND(tblHorasAgo[Evento 
(2º Período)]&lt;&gt;"",IF(ISERROR(VLOOKUP(tblHorasAgo[Evento 
(2º Período)],tblEvento[],Tabelas!$E$1,FALSE)),FALSE,VLOOKUP(tblHorasAgo[Evento 
(2º Período)],tblEvento[],Tabelas!$E$1,FALSE)="Sim")),IF(VLOOKUP(TEXT(tblHorasAgo[Data],"dddd"),tblDiaUtil[],2,FALSE)="Não",TRUE,FALSE)),
                   tblHorasAgo[Saída - 2]-tblHorasAgo[Entrada - 2 (Almoço)],
                   IF(OR(HOUR(tblHorasAgo[Saída - 2]-tblHorasAgo[Entrada - 2 (Almoço)])&gt;0,MINUTE(tblHorasAgo[Saída - 2]-tblHorasAgo[Entrada - 2 (Almoço)])&gt;CARENCIA),
                         tblHorasAgo[Saída - 2]-tblHorasAgo[Entrada - 2 (Almoço)],
                         0)),
       0)),0)</f>
        <v>0</v>
      </c>
      <c r="L20" s="4">
        <f>tblHorasAgo[Horas Trabalhadas (1º Período)]+tblHorasAgo[Horas Trabalhadas (2º Período)]</f>
        <v>0</v>
      </c>
      <c r="M20" s="4" t="str">
        <f>IF(tblHorasAgo[Data]&lt;&gt;"",
        IF(
AND(VLOOKUP(TEXT(tblHorasAgo[Data],"dddd"),tblDiaUtil[],3,FALSE)="Sim",IF(tblHorasAgo[Evento 
(1º Período)]&lt;&gt;"",IF(VLOOKUP(tblHorasAgo[Evento 
(1º Período)],tblEvento[],Tabelas!$E$1,FALSE)="Sim",FALSE,TRUE),TRUE),IF(tblHorasAgo[Evento 
(2º Período)]&lt;&gt;"",IF(VLOOKUP(tblHorasAgo[Evento 
(2º Período)],tblEvento[],Tabelas!$E$1,FALSE)="Sim",FALSE,TRUE),TRUE)),
              IF(VLOOKUP(tblHorasAgo[Dia],tblDiaUtil[[Abreviatura]:[1º Período]],3,FALSE)&gt;0,VLOOKUP(tblHorasAgo[Dia],tblDiaUtil[[Abreviatura]:[1º Período]],3,FALSE),JORNADA),
              ""),
         "")</f>
        <v/>
      </c>
      <c r="N20" s="14">
        <f>IF(OR(tblHorasAgo[Horas Trabalhadas (1º Período)]&lt;&gt;0,tblHorasAgo[Horas Trabalhadas (2º Período)]&lt;&gt;0),
        IF(ISNUMBER(tblHorasAgo[Jornada Diária]),
              IF(tblHorasAgo[Jornada Diária]&gt;(tblHorasAgo[Horas Trabalhadas (2º Período)]+tblHorasAgo[Horas Trabalhadas (1º Período)]),
                     IF(ROUND((tblHorasAgo[Jornada Diária]-(tblHorasAgo[Horas Trabalhadas (2º Período)]+tblHorasAgo[Horas Trabalhadas (1º Período)])),6)&gt;ROUND(CARENCIA,6),
                           -tblHorasAgo[Jornada Diária]+(tblHorasAgo[Horas Trabalhadas (2º Período)]+tblHorasAgo[Horas Trabalhadas (1º Período)]),
                           0),
                      IF(ROUND((tblHorasAgo[Jornada Diária]-(tblHorasAgo[Horas Trabalhadas (2º Período)]+tblHorasAgo[Horas Trabalhadas (1º Período)])),6)&lt;ROUND(-CARENCIA,6),
                           -tblHorasAgo[Jornada Diária]+(tblHorasAgo[Horas Trabalhadas (2º Período)]+tblHorasAgo[Horas Trabalhadas (1º Período)]),
                           0)),
              tblHorasAgo[Horas Trabalhadas (2º Período)]+tblHorasAgo[Horas Trabalhadas (1º Período)]),
         IF(AND(IF(ISERROR(VLOOKUP(tblHorasAgo[Evento 
(1º Período)],tblEvento[[Evento]:[Libera o Período]],4,FALSE)),FALSE,IF(VLOOKUP(tblHorasAgo[Evento 
(1º Período)],tblEvento[[Evento]:[Libera o Período]],4,FALSE)="Não",TRUE,FALSE)),IF(ISERROR(VLOOKUP(tblHorasAgo[Evento 
(2º Período)],tblEvento[[Evento]:[Libera o Período]],4,FALSE)),FALSE,IF(VLOOKUP(tblHorasAgo[Evento 
(2º Período)],tblEvento[[Evento]:[Libera o Período]],4,FALSE)="Não",TRUE,FALSE))),
-IF(VLOOKUP(tblHorasAgo[Dia],tblDiaUtil[[Abreviatura]:[Total Jornada]],5,FALSE)&lt;&gt;"",VLOOKUP(tblHorasAgo[Dia],tblDiaUtil[[Abreviatura]:[Total Jornada]],5,FALSE),JORNADA),
IF(IF(ISERROR(VLOOKUP(tblHorasAgo[Evento 
(1º Período)],tblEvento[[Evento]:[Libera o Período]],4,FALSE)),FALSE,
IF(VLOOKUP(tblHorasAgo[Evento 
(1º Período)],tblEvento[[Evento]:[Libera o Período]],4,FALSE)="Não",TRUE,FALSE)
),
-IF(VLOOKUP(tblHorasAgo[Dia],tblDiaUtil[[Abreviatura]:[1º Período]],3,FALSE)&lt;&gt;"",VLOOKUP(tblHorasAgo[Dia],tblDiaUtil[[Abreviatura]:[1º Período]],3,FALSE),JORNADA_PERIODO_1),
IF(IF(ISERROR(VLOOKUP(tblHorasAgo[Evento 
(2º Período)],tblEvento[[Evento]:[Libera o Período]],4,FALSE)),FALSE,IF(VLOOKUP(tblHorasAgo[Evento 
(2º Período)],tblEvento[[Evento]:[Libera o Período]],4,FALSE)="Não",TRUE,FALSE)),
-IF(VLOOKUP(tblHorasAgo[Dia],tblDiaUtil[[Abreviatura]:[2º Período]],4,FALSE)&lt;&gt;"",VLOOKUP(tblHorasAgo[Dia],tblDiaUtil[[Abreviatura]:[2º Período]],4,FALSE),JORNADA_PERIODO_2),0))))</f>
        <v>0</v>
      </c>
      <c r="O20" s="14">
        <f>IF(tblHorasAgo[Horas Trabalhadas Além Jornada]&gt;0,
        IF(ISNUMBER(tblHorasAgo[Jornada Diária]),
              IF(HOUR(tblHorasAgo[Horas Trabalhadas Além Jornada])&gt;=VLOOKUP(LIMITE,tblLimiteHora[],Tabelas!$I$1,FALSE),
                    VLOOKUP(LIMITE,tblLimiteHora[],Tabelas!$J$1,FALSE),
                    tblHorasAgo[Horas Trabalhadas Além Jornada]),
              tblHorasAgo[Horas Trabalhadas Além Jornada]),
        tblHorasAgo[Horas Trabalhadas Além Jornada])+O19</f>
        <v>0</v>
      </c>
      <c r="P20" s="14" t="str">
        <f>IF(tblHorasAgo[Horas Trabalhadas Além Jornada]&lt;0,IF(OR(tblHorasAgo[Evento 
(1º Período)]="",tblHorasAgo[Evento 
(2º Período)]=""),tblHorasAgo[Horas Trabalhadas Além Jornada],""),"")</f>
        <v/>
      </c>
      <c r="Q20" s="14" t="str">
        <f>IF(tblHorasAgo[Jornada Diária]&lt;&gt;"",IF((N(tblHorasAgo[Jornada Diária])-ABS(N(tblHorasAgo[Horas Trabalhadas Além Jornada])))=0,1,""),"")</f>
        <v/>
      </c>
      <c r="R20" s="14" t="str">
        <f>IF(tblHorasAgo[Horas Trabalhadas Além Jornada]&gt;0,
IF(AND(VLOOKUP(TEXT(tblHorasAgo[Data],"dddd"),tblDiaUtil[],3,FALSE)="Sim",IF(tblHorasAgo[Evento 
(1º Período)]&lt;&gt;"",IF(VLOOKUP(tblHorasAgo[Evento 
(1º Período)],tblEvento[],Tabelas!$E$1,FALSE)="Sim",FALSE,TRUE),TRUE),IF(tblHorasAgo[Evento 
(2º Período)]&lt;&gt;"",IF(VLOOKUP(tblHorasAgo[Evento 
(2º Período)],tblEvento[],Tabelas!$E$1,FALSE)="Sim",FALSE,TRUE),TRUE)),
tblHorasAgo[Horas Trabalhadas Além Jornada],""),"")</f>
        <v/>
      </c>
      <c r="S20" s="14" t="str">
        <f>IF(tblHorasAgo[Horas Trabalhadas Além Jornada]&gt;0,
IF(OR(VLOOKUP(TEXT(tblHorasAgo[Data],"dddd"),tblDiaUtil[],3,FALSE)="Não",IF(tblHorasAgo[Evento 
(1º Período)]&lt;&gt;"",IF(VLOOKUP(tblHorasAgo[Evento 
(1º Período)],tblEvento[],Tabelas!$E$1,FALSE)="Sim",TRUE,FALSE),FALSE),IF(tblHorasAgo[Evento 
(2º Período)]&lt;&gt;"",IF(VLOOKUP(tblHorasAgo[Evento 
(2º Período)],tblEvento[],Tabelas!$E$1,FALSE)="Sim",TRUE,FALSE),FALSE)),
tblHorasAgo[Horas Trabalhadas Além Jornada],""),"")</f>
        <v/>
      </c>
      <c r="T20" s="15" t="str">
        <f>IF(tblHorasAgo[Evento 
(1º Período)]&lt;&gt;""," - " &amp;VLOOKUP(tblHorasAgo[Evento 
(1º Período)],tblEvento[],Tabelas!$F$1,FALSE),"")&amp;IF(AND(tblHorasAgo[Evento 
(2º Período)]&lt;&gt;"",tblHorasAgo[Evento 
(2º Período)]&lt;&gt;tblHorasAgo[Evento 
(1º Período)])," - " &amp; VLOOKUP(tblHorasAgo[Evento 
(2º Período)],tblEvento[],Tabelas!$F$1,FALSE),"")</f>
        <v/>
      </c>
    </row>
    <row r="21" spans="2:20" x14ac:dyDescent="0.25">
      <c r="B21" s="11" t="str">
        <f t="shared" si="0"/>
        <v/>
      </c>
      <c r="C21" s="12" t="str">
        <f>TEXT(tblHorasAgo[Data],"ddd")</f>
        <v/>
      </c>
      <c r="D21" s="25"/>
      <c r="E21" s="1"/>
      <c r="F21" s="1"/>
      <c r="G21" s="1"/>
      <c r="H21" s="1"/>
      <c r="I21" s="53"/>
      <c r="J21" s="4">
        <f>IF($B$6&lt;&gt;"",
IF(AND(tblHorasAgo[Evento 
(1º Período)]&lt;&gt;"",IF(ISERROR(VLOOKUP(tblHorasAgo[Evento 
(1º Período)],tblEvento[],Tabelas!$D$1,FALSE)),FALSE,VLOOKUP(tblHorasAgo[Evento 
(1º Período)],tblEvento[],Tabelas!$D$1,FALSE)="Sim")),
        IF(JORNADA_PERIODO_1&lt;&gt;"",
IF(VLOOKUP(tblHorasAgo[Dia],tblDiaUtil[[Abreviatura]:[1º Período]],3,FALSE)&gt;0,VLOOKUP(tblHorasAgo[Dia],tblDiaUtil[[Abreviatura]:[1º Período]],3,FALSE),JORNADA_PERIODO_1),
IF(VLOOKUP(tblHorasAgo[Dia],tblDiaUtil[[Abreviatura]:[1º Período]],3,FALSE)&gt;0,VLOOKUP(tblHorasAgo[Dia],tblDiaUtil[[Abreviatura]:[1º Período]],3,FALSE),JORNADA/2)),
        IF(AND(ISNUMBER(tblHorasAgo[Saída - 1 (Almoço)]),ISNUMBER(tblHorasAgo[Entrada - 1])),
              IF(OR(AND(tblHorasAgo[Evento 
(1º Período)]&lt;&gt;"",IF(ISERROR(VLOOKUP(tblHorasAgo[Evento 
(1º Período)],tblEvento[],Tabelas!$E$1,FALSE)),FALSE,VLOOKUP(tblHorasAgo[Evento 
(1º Período)],tblEvento[],Tabelas!$E$1,FALSE)="Sim")),IF(VLOOKUP(TEXT(tblHorasAgo[Data],"dddd"),tblDiaUtil[],2,FALSE)="Não",TRUE,FALSE)),
                   tblHorasAgo[Saída - 1 (Almoço)]-tblHorasAgo[Entrada - 1],
                   IF(OR(HOUR(tblHorasAgo[Saída - 1 (Almoço)]-tblHorasAgo[Entrada - 1])&gt;0,ROUND(tblHorasAgo[Saída - 1 (Almoço)]-tblHorasAgo[Entrada - 1],6)&gt;ROUND(CARENCIA,6)),
                          tblHorasAgo[Saída - 1 (Almoço)]-tblHorasAgo[Entrada - 1],
                          0)),
                    0)),0)</f>
        <v>0</v>
      </c>
      <c r="K21" s="4">
        <f>IF($B$6&lt;&gt;"",
IF(AND(tblHorasAgo[Evento 
(2º Período)]&lt;&gt;"",IF(ISERROR(VLOOKUP(tblHorasAgo[Evento 
(2º Período)],tblEvento[],Tabelas!$D$1,FALSE)),FALSE,VLOOKUP(tblHorasAgo[Evento 
(2º Período)],tblEvento[],Tabelas!$D$1,FALSE)="Sim")),
        IF(JORNADA_PERIODO_2&lt;&gt;"",
IF(VLOOKUP(tblHorasAgo[Dia],tblDiaUtil[[Abreviatura]:[2º Período]],4,FALSE)&gt;0,VLOOKUP(tblHorasAgo[Dia],tblDiaUtil[[Abreviatura]:[2º Período]],4,FALSE),JORNADA_PERIODO_2),
IF(VLOOKUP(tblHorasAgo[Dia],tblDiaUtil[[Abreviatura]:[2º Período]],4,FALSE)&gt;0,VLOOKUP(tblHorasAgo[Dia],tblDiaUtil[[Abreviatura]:[2º Período]],4,FALSE),JORNADA/2)),
        IF(AND(ISNUMBER(tblHorasAgo[Saída - 2]),ISNUMBER(tblHorasAgo[Entrada - 2 (Almoço)])),
              IF(OR(AND(tblHorasAgo[Evento 
(2º Período)]&lt;&gt;"",IF(ISERROR(VLOOKUP(tblHorasAgo[Evento 
(2º Período)],tblEvento[],Tabelas!$E$1,FALSE)),FALSE,VLOOKUP(tblHorasAgo[Evento 
(2º Período)],tblEvento[],Tabelas!$E$1,FALSE)="Sim")),IF(VLOOKUP(TEXT(tblHorasAgo[Data],"dddd"),tblDiaUtil[],2,FALSE)="Não",TRUE,FALSE)),
                   tblHorasAgo[Saída - 2]-tblHorasAgo[Entrada - 2 (Almoço)],
                   IF(OR(HOUR(tblHorasAgo[Saída - 2]-tblHorasAgo[Entrada - 2 (Almoço)])&gt;0,MINUTE(tblHorasAgo[Saída - 2]-tblHorasAgo[Entrada - 2 (Almoço)])&gt;CARENCIA),
                         tblHorasAgo[Saída - 2]-tblHorasAgo[Entrada - 2 (Almoço)],
                         0)),
       0)),0)</f>
        <v>0</v>
      </c>
      <c r="L21" s="4">
        <f>tblHorasAgo[Horas Trabalhadas (1º Período)]+tblHorasAgo[Horas Trabalhadas (2º Período)]</f>
        <v>0</v>
      </c>
      <c r="M21" s="4" t="str">
        <f>IF(tblHorasAgo[Data]&lt;&gt;"",
        IF(
AND(VLOOKUP(TEXT(tblHorasAgo[Data],"dddd"),tblDiaUtil[],3,FALSE)="Sim",IF(tblHorasAgo[Evento 
(1º Período)]&lt;&gt;"",IF(VLOOKUP(tblHorasAgo[Evento 
(1º Período)],tblEvento[],Tabelas!$E$1,FALSE)="Sim",FALSE,TRUE),TRUE),IF(tblHorasAgo[Evento 
(2º Período)]&lt;&gt;"",IF(VLOOKUP(tblHorasAgo[Evento 
(2º Período)],tblEvento[],Tabelas!$E$1,FALSE)="Sim",FALSE,TRUE),TRUE)),
              IF(VLOOKUP(tblHorasAgo[Dia],tblDiaUtil[[Abreviatura]:[1º Período]],3,FALSE)&gt;0,VLOOKUP(tblHorasAgo[Dia],tblDiaUtil[[Abreviatura]:[1º Período]],3,FALSE),JORNADA),
              ""),
         "")</f>
        <v/>
      </c>
      <c r="N21" s="14">
        <f>IF(OR(tblHorasAgo[Horas Trabalhadas (1º Período)]&lt;&gt;0,tblHorasAgo[Horas Trabalhadas (2º Período)]&lt;&gt;0),
        IF(ISNUMBER(tblHorasAgo[Jornada Diária]),
              IF(tblHorasAgo[Jornada Diária]&gt;(tblHorasAgo[Horas Trabalhadas (2º Período)]+tblHorasAgo[Horas Trabalhadas (1º Período)]),
                     IF(ROUND((tblHorasAgo[Jornada Diária]-(tblHorasAgo[Horas Trabalhadas (2º Período)]+tblHorasAgo[Horas Trabalhadas (1º Período)])),6)&gt;ROUND(CARENCIA,6),
                           -tblHorasAgo[Jornada Diária]+(tblHorasAgo[Horas Trabalhadas (2º Período)]+tblHorasAgo[Horas Trabalhadas (1º Período)]),
                           0),
                      IF(ROUND((tblHorasAgo[Jornada Diária]-(tblHorasAgo[Horas Trabalhadas (2º Período)]+tblHorasAgo[Horas Trabalhadas (1º Período)])),6)&lt;ROUND(-CARENCIA,6),
                           -tblHorasAgo[Jornada Diária]+(tblHorasAgo[Horas Trabalhadas (2º Período)]+tblHorasAgo[Horas Trabalhadas (1º Período)]),
                           0)),
              tblHorasAgo[Horas Trabalhadas (2º Período)]+tblHorasAgo[Horas Trabalhadas (1º Período)]),
         IF(AND(IF(ISERROR(VLOOKUP(tblHorasAgo[Evento 
(1º Período)],tblEvento[[Evento]:[Libera o Período]],4,FALSE)),FALSE,IF(VLOOKUP(tblHorasAgo[Evento 
(1º Período)],tblEvento[[Evento]:[Libera o Período]],4,FALSE)="Não",TRUE,FALSE)),IF(ISERROR(VLOOKUP(tblHorasAgo[Evento 
(2º Período)],tblEvento[[Evento]:[Libera o Período]],4,FALSE)),FALSE,IF(VLOOKUP(tblHorasAgo[Evento 
(2º Período)],tblEvento[[Evento]:[Libera o Período]],4,FALSE)="Não",TRUE,FALSE))),
-IF(VLOOKUP(tblHorasAgo[Dia],tblDiaUtil[[Abreviatura]:[Total Jornada]],5,FALSE)&lt;&gt;"",VLOOKUP(tblHorasAgo[Dia],tblDiaUtil[[Abreviatura]:[Total Jornada]],5,FALSE),JORNADA),
IF(IF(ISERROR(VLOOKUP(tblHorasAgo[Evento 
(1º Período)],tblEvento[[Evento]:[Libera o Período]],4,FALSE)),FALSE,
IF(VLOOKUP(tblHorasAgo[Evento 
(1º Período)],tblEvento[[Evento]:[Libera o Período]],4,FALSE)="Não",TRUE,FALSE)
),
-IF(VLOOKUP(tblHorasAgo[Dia],tblDiaUtil[[Abreviatura]:[1º Período]],3,FALSE)&lt;&gt;"",VLOOKUP(tblHorasAgo[Dia],tblDiaUtil[[Abreviatura]:[1º Período]],3,FALSE),JORNADA_PERIODO_1),
IF(IF(ISERROR(VLOOKUP(tblHorasAgo[Evento 
(2º Período)],tblEvento[[Evento]:[Libera o Período]],4,FALSE)),FALSE,IF(VLOOKUP(tblHorasAgo[Evento 
(2º Período)],tblEvento[[Evento]:[Libera o Período]],4,FALSE)="Não",TRUE,FALSE)),
-IF(VLOOKUP(tblHorasAgo[Dia],tblDiaUtil[[Abreviatura]:[2º Período]],4,FALSE)&lt;&gt;"",VLOOKUP(tblHorasAgo[Dia],tblDiaUtil[[Abreviatura]:[2º Período]],4,FALSE),JORNADA_PERIODO_2),0))))</f>
        <v>0</v>
      </c>
      <c r="O21" s="14">
        <f>IF(tblHorasAgo[Horas Trabalhadas Além Jornada]&gt;0,
        IF(ISNUMBER(tblHorasAgo[Jornada Diária]),
              IF(HOUR(tblHorasAgo[Horas Trabalhadas Além Jornada])&gt;=VLOOKUP(LIMITE,tblLimiteHora[],Tabelas!$I$1,FALSE),
                    VLOOKUP(LIMITE,tblLimiteHora[],Tabelas!$J$1,FALSE),
                    tblHorasAgo[Horas Trabalhadas Além Jornada]),
              tblHorasAgo[Horas Trabalhadas Além Jornada]),
        tblHorasAgo[Horas Trabalhadas Além Jornada])+O20</f>
        <v>0</v>
      </c>
      <c r="P21" s="14" t="str">
        <f>IF(tblHorasAgo[Horas Trabalhadas Além Jornada]&lt;0,IF(OR(tblHorasAgo[Evento 
(1º Período)]="",tblHorasAgo[Evento 
(2º Período)]=""),tblHorasAgo[Horas Trabalhadas Além Jornada],""),"")</f>
        <v/>
      </c>
      <c r="Q21" s="14" t="str">
        <f>IF(tblHorasAgo[Jornada Diária]&lt;&gt;"",IF((N(tblHorasAgo[Jornada Diária])-ABS(N(tblHorasAgo[Horas Trabalhadas Além Jornada])))=0,1,""),"")</f>
        <v/>
      </c>
      <c r="R21" s="14" t="str">
        <f>IF(tblHorasAgo[Horas Trabalhadas Além Jornada]&gt;0,
IF(AND(VLOOKUP(TEXT(tblHorasAgo[Data],"dddd"),tblDiaUtil[],3,FALSE)="Sim",IF(tblHorasAgo[Evento 
(1º Período)]&lt;&gt;"",IF(VLOOKUP(tblHorasAgo[Evento 
(1º Período)],tblEvento[],Tabelas!$E$1,FALSE)="Sim",FALSE,TRUE),TRUE),IF(tblHorasAgo[Evento 
(2º Período)]&lt;&gt;"",IF(VLOOKUP(tblHorasAgo[Evento 
(2º Período)],tblEvento[],Tabelas!$E$1,FALSE)="Sim",FALSE,TRUE),TRUE)),
tblHorasAgo[Horas Trabalhadas Além Jornada],""),"")</f>
        <v/>
      </c>
      <c r="S21" s="14" t="str">
        <f>IF(tblHorasAgo[Horas Trabalhadas Além Jornada]&gt;0,
IF(OR(VLOOKUP(TEXT(tblHorasAgo[Data],"dddd"),tblDiaUtil[],3,FALSE)="Não",IF(tblHorasAgo[Evento 
(1º Período)]&lt;&gt;"",IF(VLOOKUP(tblHorasAgo[Evento 
(1º Período)],tblEvento[],Tabelas!$E$1,FALSE)="Sim",TRUE,FALSE),FALSE),IF(tblHorasAgo[Evento 
(2º Período)]&lt;&gt;"",IF(VLOOKUP(tblHorasAgo[Evento 
(2º Período)],tblEvento[],Tabelas!$E$1,FALSE)="Sim",TRUE,FALSE),FALSE)),
tblHorasAgo[Horas Trabalhadas Além Jornada],""),"")</f>
        <v/>
      </c>
      <c r="T21" s="15" t="str">
        <f>IF(tblHorasAgo[Evento 
(1º Período)]&lt;&gt;""," - " &amp;VLOOKUP(tblHorasAgo[Evento 
(1º Período)],tblEvento[],Tabelas!$F$1,FALSE),"")&amp;IF(AND(tblHorasAgo[Evento 
(2º Período)]&lt;&gt;"",tblHorasAgo[Evento 
(2º Período)]&lt;&gt;tblHorasAgo[Evento 
(1º Período)])," - " &amp; VLOOKUP(tblHorasAgo[Evento 
(2º Período)],tblEvento[],Tabelas!$F$1,FALSE),"")</f>
        <v/>
      </c>
    </row>
    <row r="22" spans="2:20" x14ac:dyDescent="0.25">
      <c r="B22" s="11" t="str">
        <f t="shared" si="0"/>
        <v/>
      </c>
      <c r="C22" s="12" t="str">
        <f>TEXT(tblHorasAgo[Data],"ddd")</f>
        <v/>
      </c>
      <c r="D22" s="25"/>
      <c r="E22" s="1"/>
      <c r="F22" s="1"/>
      <c r="G22" s="1"/>
      <c r="H22" s="1"/>
      <c r="I22" s="53"/>
      <c r="J22" s="4">
        <f>IF($B$6&lt;&gt;"",
IF(AND(tblHorasAgo[Evento 
(1º Período)]&lt;&gt;"",IF(ISERROR(VLOOKUP(tblHorasAgo[Evento 
(1º Período)],tblEvento[],Tabelas!$D$1,FALSE)),FALSE,VLOOKUP(tblHorasAgo[Evento 
(1º Período)],tblEvento[],Tabelas!$D$1,FALSE)="Sim")),
        IF(JORNADA_PERIODO_1&lt;&gt;"",
IF(VLOOKUP(tblHorasAgo[Dia],tblDiaUtil[[Abreviatura]:[1º Período]],3,FALSE)&gt;0,VLOOKUP(tblHorasAgo[Dia],tblDiaUtil[[Abreviatura]:[1º Período]],3,FALSE),JORNADA_PERIODO_1),
IF(VLOOKUP(tblHorasAgo[Dia],tblDiaUtil[[Abreviatura]:[1º Período]],3,FALSE)&gt;0,VLOOKUP(tblHorasAgo[Dia],tblDiaUtil[[Abreviatura]:[1º Período]],3,FALSE),JORNADA/2)),
        IF(AND(ISNUMBER(tblHorasAgo[Saída - 1 (Almoço)]),ISNUMBER(tblHorasAgo[Entrada - 1])),
              IF(OR(AND(tblHorasAgo[Evento 
(1º Período)]&lt;&gt;"",IF(ISERROR(VLOOKUP(tblHorasAgo[Evento 
(1º Período)],tblEvento[],Tabelas!$E$1,FALSE)),FALSE,VLOOKUP(tblHorasAgo[Evento 
(1º Período)],tblEvento[],Tabelas!$E$1,FALSE)="Sim")),IF(VLOOKUP(TEXT(tblHorasAgo[Data],"dddd"),tblDiaUtil[],2,FALSE)="Não",TRUE,FALSE)),
                   tblHorasAgo[Saída - 1 (Almoço)]-tblHorasAgo[Entrada - 1],
                   IF(OR(HOUR(tblHorasAgo[Saída - 1 (Almoço)]-tblHorasAgo[Entrada - 1])&gt;0,ROUND(tblHorasAgo[Saída - 1 (Almoço)]-tblHorasAgo[Entrada - 1],6)&gt;ROUND(CARENCIA,6)),
                          tblHorasAgo[Saída - 1 (Almoço)]-tblHorasAgo[Entrada - 1],
                          0)),
                    0)),0)</f>
        <v>0</v>
      </c>
      <c r="K22" s="4">
        <f>IF($B$6&lt;&gt;"",
IF(AND(tblHorasAgo[Evento 
(2º Período)]&lt;&gt;"",IF(ISERROR(VLOOKUP(tblHorasAgo[Evento 
(2º Período)],tblEvento[],Tabelas!$D$1,FALSE)),FALSE,VLOOKUP(tblHorasAgo[Evento 
(2º Período)],tblEvento[],Tabelas!$D$1,FALSE)="Sim")),
        IF(JORNADA_PERIODO_2&lt;&gt;"",
IF(VLOOKUP(tblHorasAgo[Dia],tblDiaUtil[[Abreviatura]:[2º Período]],4,FALSE)&gt;0,VLOOKUP(tblHorasAgo[Dia],tblDiaUtil[[Abreviatura]:[2º Período]],4,FALSE),JORNADA_PERIODO_2),
IF(VLOOKUP(tblHorasAgo[Dia],tblDiaUtil[[Abreviatura]:[2º Período]],4,FALSE)&gt;0,VLOOKUP(tblHorasAgo[Dia],tblDiaUtil[[Abreviatura]:[2º Período]],4,FALSE),JORNADA/2)),
        IF(AND(ISNUMBER(tblHorasAgo[Saída - 2]),ISNUMBER(tblHorasAgo[Entrada - 2 (Almoço)])),
              IF(OR(AND(tblHorasAgo[Evento 
(2º Período)]&lt;&gt;"",IF(ISERROR(VLOOKUP(tblHorasAgo[Evento 
(2º Período)],tblEvento[],Tabelas!$E$1,FALSE)),FALSE,VLOOKUP(tblHorasAgo[Evento 
(2º Período)],tblEvento[],Tabelas!$E$1,FALSE)="Sim")),IF(VLOOKUP(TEXT(tblHorasAgo[Data],"dddd"),tblDiaUtil[],2,FALSE)="Não",TRUE,FALSE)),
                   tblHorasAgo[Saída - 2]-tblHorasAgo[Entrada - 2 (Almoço)],
                   IF(OR(HOUR(tblHorasAgo[Saída - 2]-tblHorasAgo[Entrada - 2 (Almoço)])&gt;0,MINUTE(tblHorasAgo[Saída - 2]-tblHorasAgo[Entrada - 2 (Almoço)])&gt;CARENCIA),
                         tblHorasAgo[Saída - 2]-tblHorasAgo[Entrada - 2 (Almoço)],
                         0)),
       0)),0)</f>
        <v>0</v>
      </c>
      <c r="L22" s="4">
        <f>tblHorasAgo[Horas Trabalhadas (1º Período)]+tblHorasAgo[Horas Trabalhadas (2º Período)]</f>
        <v>0</v>
      </c>
      <c r="M22" s="4" t="str">
        <f>IF(tblHorasAgo[Data]&lt;&gt;"",
        IF(
AND(VLOOKUP(TEXT(tblHorasAgo[Data],"dddd"),tblDiaUtil[],3,FALSE)="Sim",IF(tblHorasAgo[Evento 
(1º Período)]&lt;&gt;"",IF(VLOOKUP(tblHorasAgo[Evento 
(1º Período)],tblEvento[],Tabelas!$E$1,FALSE)="Sim",FALSE,TRUE),TRUE),IF(tblHorasAgo[Evento 
(2º Período)]&lt;&gt;"",IF(VLOOKUP(tblHorasAgo[Evento 
(2º Período)],tblEvento[],Tabelas!$E$1,FALSE)="Sim",FALSE,TRUE),TRUE)),
              IF(VLOOKUP(tblHorasAgo[Dia],tblDiaUtil[[Abreviatura]:[1º Período]],3,FALSE)&gt;0,VLOOKUP(tblHorasAgo[Dia],tblDiaUtil[[Abreviatura]:[1º Período]],3,FALSE),JORNADA),
              ""),
         "")</f>
        <v/>
      </c>
      <c r="N22" s="14">
        <f>IF(OR(tblHorasAgo[Horas Trabalhadas (1º Período)]&lt;&gt;0,tblHorasAgo[Horas Trabalhadas (2º Período)]&lt;&gt;0),
        IF(ISNUMBER(tblHorasAgo[Jornada Diária]),
              IF(tblHorasAgo[Jornada Diária]&gt;(tblHorasAgo[Horas Trabalhadas (2º Período)]+tblHorasAgo[Horas Trabalhadas (1º Período)]),
                     IF(ROUND((tblHorasAgo[Jornada Diária]-(tblHorasAgo[Horas Trabalhadas (2º Período)]+tblHorasAgo[Horas Trabalhadas (1º Período)])),6)&gt;ROUND(CARENCIA,6),
                           -tblHorasAgo[Jornada Diária]+(tblHorasAgo[Horas Trabalhadas (2º Período)]+tblHorasAgo[Horas Trabalhadas (1º Período)]),
                           0),
                      IF(ROUND((tblHorasAgo[Jornada Diária]-(tblHorasAgo[Horas Trabalhadas (2º Período)]+tblHorasAgo[Horas Trabalhadas (1º Período)])),6)&lt;ROUND(-CARENCIA,6),
                           -tblHorasAgo[Jornada Diária]+(tblHorasAgo[Horas Trabalhadas (2º Período)]+tblHorasAgo[Horas Trabalhadas (1º Período)]),
                           0)),
              tblHorasAgo[Horas Trabalhadas (2º Período)]+tblHorasAgo[Horas Trabalhadas (1º Período)]),
         IF(AND(IF(ISERROR(VLOOKUP(tblHorasAgo[Evento 
(1º Período)],tblEvento[[Evento]:[Libera o Período]],4,FALSE)),FALSE,IF(VLOOKUP(tblHorasAgo[Evento 
(1º Período)],tblEvento[[Evento]:[Libera o Período]],4,FALSE)="Não",TRUE,FALSE)),IF(ISERROR(VLOOKUP(tblHorasAgo[Evento 
(2º Período)],tblEvento[[Evento]:[Libera o Período]],4,FALSE)),FALSE,IF(VLOOKUP(tblHorasAgo[Evento 
(2º Período)],tblEvento[[Evento]:[Libera o Período]],4,FALSE)="Não",TRUE,FALSE))),
-IF(VLOOKUP(tblHorasAgo[Dia],tblDiaUtil[[Abreviatura]:[Total Jornada]],5,FALSE)&lt;&gt;"",VLOOKUP(tblHorasAgo[Dia],tblDiaUtil[[Abreviatura]:[Total Jornada]],5,FALSE),JORNADA),
IF(IF(ISERROR(VLOOKUP(tblHorasAgo[Evento 
(1º Período)],tblEvento[[Evento]:[Libera o Período]],4,FALSE)),FALSE,
IF(VLOOKUP(tblHorasAgo[Evento 
(1º Período)],tblEvento[[Evento]:[Libera o Período]],4,FALSE)="Não",TRUE,FALSE)
),
-IF(VLOOKUP(tblHorasAgo[Dia],tblDiaUtil[[Abreviatura]:[1º Período]],3,FALSE)&lt;&gt;"",VLOOKUP(tblHorasAgo[Dia],tblDiaUtil[[Abreviatura]:[1º Período]],3,FALSE),JORNADA_PERIODO_1),
IF(IF(ISERROR(VLOOKUP(tblHorasAgo[Evento 
(2º Período)],tblEvento[[Evento]:[Libera o Período]],4,FALSE)),FALSE,IF(VLOOKUP(tblHorasAgo[Evento 
(2º Período)],tblEvento[[Evento]:[Libera o Período]],4,FALSE)="Não",TRUE,FALSE)),
-IF(VLOOKUP(tblHorasAgo[Dia],tblDiaUtil[[Abreviatura]:[2º Período]],4,FALSE)&lt;&gt;"",VLOOKUP(tblHorasAgo[Dia],tblDiaUtil[[Abreviatura]:[2º Período]],4,FALSE),JORNADA_PERIODO_2),0))))</f>
        <v>0</v>
      </c>
      <c r="O22" s="14">
        <f>IF(tblHorasAgo[Horas Trabalhadas Além Jornada]&gt;0,
        IF(ISNUMBER(tblHorasAgo[Jornada Diária]),
              IF(HOUR(tblHorasAgo[Horas Trabalhadas Além Jornada])&gt;=VLOOKUP(LIMITE,tblLimiteHora[],Tabelas!$I$1,FALSE),
                    VLOOKUP(LIMITE,tblLimiteHora[],Tabelas!$J$1,FALSE),
                    tblHorasAgo[Horas Trabalhadas Além Jornada]),
              tblHorasAgo[Horas Trabalhadas Além Jornada]),
        tblHorasAgo[Horas Trabalhadas Além Jornada])+O21</f>
        <v>0</v>
      </c>
      <c r="P22" s="14" t="str">
        <f>IF(tblHorasAgo[Horas Trabalhadas Além Jornada]&lt;0,IF(OR(tblHorasAgo[Evento 
(1º Período)]="",tblHorasAgo[Evento 
(2º Período)]=""),tblHorasAgo[Horas Trabalhadas Além Jornada],""),"")</f>
        <v/>
      </c>
      <c r="Q22" s="14" t="str">
        <f>IF(tblHorasAgo[Jornada Diária]&lt;&gt;"",IF((N(tblHorasAgo[Jornada Diária])-ABS(N(tblHorasAgo[Horas Trabalhadas Além Jornada])))=0,1,""),"")</f>
        <v/>
      </c>
      <c r="R22" s="14" t="str">
        <f>IF(tblHorasAgo[Horas Trabalhadas Além Jornada]&gt;0,
IF(AND(VLOOKUP(TEXT(tblHorasAgo[Data],"dddd"),tblDiaUtil[],3,FALSE)="Sim",IF(tblHorasAgo[Evento 
(1º Período)]&lt;&gt;"",IF(VLOOKUP(tblHorasAgo[Evento 
(1º Período)],tblEvento[],Tabelas!$E$1,FALSE)="Sim",FALSE,TRUE),TRUE),IF(tblHorasAgo[Evento 
(2º Período)]&lt;&gt;"",IF(VLOOKUP(tblHorasAgo[Evento 
(2º Período)],tblEvento[],Tabelas!$E$1,FALSE)="Sim",FALSE,TRUE),TRUE)),
tblHorasAgo[Horas Trabalhadas Além Jornada],""),"")</f>
        <v/>
      </c>
      <c r="S22" s="14" t="str">
        <f>IF(tblHorasAgo[Horas Trabalhadas Além Jornada]&gt;0,
IF(OR(VLOOKUP(TEXT(tblHorasAgo[Data],"dddd"),tblDiaUtil[],3,FALSE)="Não",IF(tblHorasAgo[Evento 
(1º Período)]&lt;&gt;"",IF(VLOOKUP(tblHorasAgo[Evento 
(1º Período)],tblEvento[],Tabelas!$E$1,FALSE)="Sim",TRUE,FALSE),FALSE),IF(tblHorasAgo[Evento 
(2º Período)]&lt;&gt;"",IF(VLOOKUP(tblHorasAgo[Evento 
(2º Período)],tblEvento[],Tabelas!$E$1,FALSE)="Sim",TRUE,FALSE),FALSE)),
tblHorasAgo[Horas Trabalhadas Além Jornada],""),"")</f>
        <v/>
      </c>
      <c r="T22" s="15" t="str">
        <f>IF(tblHorasAgo[Evento 
(1º Período)]&lt;&gt;""," - " &amp;VLOOKUP(tblHorasAgo[Evento 
(1º Período)],tblEvento[],Tabelas!$F$1,FALSE),"")&amp;IF(AND(tblHorasAgo[Evento 
(2º Período)]&lt;&gt;"",tblHorasAgo[Evento 
(2º Período)]&lt;&gt;tblHorasAgo[Evento 
(1º Período)])," - " &amp; VLOOKUP(tblHorasAgo[Evento 
(2º Período)],tblEvento[],Tabelas!$F$1,FALSE),"")</f>
        <v/>
      </c>
    </row>
    <row r="23" spans="2:20" x14ac:dyDescent="0.25">
      <c r="B23" s="11" t="str">
        <f t="shared" si="0"/>
        <v/>
      </c>
      <c r="C23" s="12" t="str">
        <f>TEXT(tblHorasAgo[Data],"ddd")</f>
        <v/>
      </c>
      <c r="D23" s="25"/>
      <c r="E23" s="1"/>
      <c r="F23" s="1"/>
      <c r="G23" s="1"/>
      <c r="H23" s="1"/>
      <c r="I23" s="53"/>
      <c r="J23" s="4">
        <f>IF($B$6&lt;&gt;"",
IF(AND(tblHorasAgo[Evento 
(1º Período)]&lt;&gt;"",IF(ISERROR(VLOOKUP(tblHorasAgo[Evento 
(1º Período)],tblEvento[],Tabelas!$D$1,FALSE)),FALSE,VLOOKUP(tblHorasAgo[Evento 
(1º Período)],tblEvento[],Tabelas!$D$1,FALSE)="Sim")),
        IF(JORNADA_PERIODO_1&lt;&gt;"",
IF(VLOOKUP(tblHorasAgo[Dia],tblDiaUtil[[Abreviatura]:[1º Período]],3,FALSE)&gt;0,VLOOKUP(tblHorasAgo[Dia],tblDiaUtil[[Abreviatura]:[1º Período]],3,FALSE),JORNADA_PERIODO_1),
IF(VLOOKUP(tblHorasAgo[Dia],tblDiaUtil[[Abreviatura]:[1º Período]],3,FALSE)&gt;0,VLOOKUP(tblHorasAgo[Dia],tblDiaUtil[[Abreviatura]:[1º Período]],3,FALSE),JORNADA/2)),
        IF(AND(ISNUMBER(tblHorasAgo[Saída - 1 (Almoço)]),ISNUMBER(tblHorasAgo[Entrada - 1])),
              IF(OR(AND(tblHorasAgo[Evento 
(1º Período)]&lt;&gt;"",IF(ISERROR(VLOOKUP(tblHorasAgo[Evento 
(1º Período)],tblEvento[],Tabelas!$E$1,FALSE)),FALSE,VLOOKUP(tblHorasAgo[Evento 
(1º Período)],tblEvento[],Tabelas!$E$1,FALSE)="Sim")),IF(VLOOKUP(TEXT(tblHorasAgo[Data],"dddd"),tblDiaUtil[],2,FALSE)="Não",TRUE,FALSE)),
                   tblHorasAgo[Saída - 1 (Almoço)]-tblHorasAgo[Entrada - 1],
                   IF(OR(HOUR(tblHorasAgo[Saída - 1 (Almoço)]-tblHorasAgo[Entrada - 1])&gt;0,ROUND(tblHorasAgo[Saída - 1 (Almoço)]-tblHorasAgo[Entrada - 1],6)&gt;ROUND(CARENCIA,6)),
                          tblHorasAgo[Saída - 1 (Almoço)]-tblHorasAgo[Entrada - 1],
                          0)),
                    0)),0)</f>
        <v>0</v>
      </c>
      <c r="K23" s="4">
        <f>IF($B$6&lt;&gt;"",
IF(AND(tblHorasAgo[Evento 
(2º Período)]&lt;&gt;"",IF(ISERROR(VLOOKUP(tblHorasAgo[Evento 
(2º Período)],tblEvento[],Tabelas!$D$1,FALSE)),FALSE,VLOOKUP(tblHorasAgo[Evento 
(2º Período)],tblEvento[],Tabelas!$D$1,FALSE)="Sim")),
        IF(JORNADA_PERIODO_2&lt;&gt;"",
IF(VLOOKUP(tblHorasAgo[Dia],tblDiaUtil[[Abreviatura]:[2º Período]],4,FALSE)&gt;0,VLOOKUP(tblHorasAgo[Dia],tblDiaUtil[[Abreviatura]:[2º Período]],4,FALSE),JORNADA_PERIODO_2),
IF(VLOOKUP(tblHorasAgo[Dia],tblDiaUtil[[Abreviatura]:[2º Período]],4,FALSE)&gt;0,VLOOKUP(tblHorasAgo[Dia],tblDiaUtil[[Abreviatura]:[2º Período]],4,FALSE),JORNADA/2)),
        IF(AND(ISNUMBER(tblHorasAgo[Saída - 2]),ISNUMBER(tblHorasAgo[Entrada - 2 (Almoço)])),
              IF(OR(AND(tblHorasAgo[Evento 
(2º Período)]&lt;&gt;"",IF(ISERROR(VLOOKUP(tblHorasAgo[Evento 
(2º Período)],tblEvento[],Tabelas!$E$1,FALSE)),FALSE,VLOOKUP(tblHorasAgo[Evento 
(2º Período)],tblEvento[],Tabelas!$E$1,FALSE)="Sim")),IF(VLOOKUP(TEXT(tblHorasAgo[Data],"dddd"),tblDiaUtil[],2,FALSE)="Não",TRUE,FALSE)),
                   tblHorasAgo[Saída - 2]-tblHorasAgo[Entrada - 2 (Almoço)],
                   IF(OR(HOUR(tblHorasAgo[Saída - 2]-tblHorasAgo[Entrada - 2 (Almoço)])&gt;0,MINUTE(tblHorasAgo[Saída - 2]-tblHorasAgo[Entrada - 2 (Almoço)])&gt;CARENCIA),
                         tblHorasAgo[Saída - 2]-tblHorasAgo[Entrada - 2 (Almoço)],
                         0)),
       0)),0)</f>
        <v>0</v>
      </c>
      <c r="L23" s="4">
        <f>tblHorasAgo[Horas Trabalhadas (1º Período)]+tblHorasAgo[Horas Trabalhadas (2º Período)]</f>
        <v>0</v>
      </c>
      <c r="M23" s="4" t="str">
        <f>IF(tblHorasAgo[Data]&lt;&gt;"",
        IF(
AND(VLOOKUP(TEXT(tblHorasAgo[Data],"dddd"),tblDiaUtil[],3,FALSE)="Sim",IF(tblHorasAgo[Evento 
(1º Período)]&lt;&gt;"",IF(VLOOKUP(tblHorasAgo[Evento 
(1º Período)],tblEvento[],Tabelas!$E$1,FALSE)="Sim",FALSE,TRUE),TRUE),IF(tblHorasAgo[Evento 
(2º Período)]&lt;&gt;"",IF(VLOOKUP(tblHorasAgo[Evento 
(2º Período)],tblEvento[],Tabelas!$E$1,FALSE)="Sim",FALSE,TRUE),TRUE)),
              IF(VLOOKUP(tblHorasAgo[Dia],tblDiaUtil[[Abreviatura]:[1º Período]],3,FALSE)&gt;0,VLOOKUP(tblHorasAgo[Dia],tblDiaUtil[[Abreviatura]:[1º Período]],3,FALSE),JORNADA),
              ""),
         "")</f>
        <v/>
      </c>
      <c r="N23" s="14">
        <f>IF(OR(tblHorasAgo[Horas Trabalhadas (1º Período)]&lt;&gt;0,tblHorasAgo[Horas Trabalhadas (2º Período)]&lt;&gt;0),
        IF(ISNUMBER(tblHorasAgo[Jornada Diária]),
              IF(tblHorasAgo[Jornada Diária]&gt;(tblHorasAgo[Horas Trabalhadas (2º Período)]+tblHorasAgo[Horas Trabalhadas (1º Período)]),
                     IF(ROUND((tblHorasAgo[Jornada Diária]-(tblHorasAgo[Horas Trabalhadas (2º Período)]+tblHorasAgo[Horas Trabalhadas (1º Período)])),6)&gt;ROUND(CARENCIA,6),
                           -tblHorasAgo[Jornada Diária]+(tblHorasAgo[Horas Trabalhadas (2º Período)]+tblHorasAgo[Horas Trabalhadas (1º Período)]),
                           0),
                      IF(ROUND((tblHorasAgo[Jornada Diária]-(tblHorasAgo[Horas Trabalhadas (2º Período)]+tblHorasAgo[Horas Trabalhadas (1º Período)])),6)&lt;ROUND(-CARENCIA,6),
                           -tblHorasAgo[Jornada Diária]+(tblHorasAgo[Horas Trabalhadas (2º Período)]+tblHorasAgo[Horas Trabalhadas (1º Período)]),
                           0)),
              tblHorasAgo[Horas Trabalhadas (2º Período)]+tblHorasAgo[Horas Trabalhadas (1º Período)]),
         IF(AND(IF(ISERROR(VLOOKUP(tblHorasAgo[Evento 
(1º Período)],tblEvento[[Evento]:[Libera o Período]],4,FALSE)),FALSE,IF(VLOOKUP(tblHorasAgo[Evento 
(1º Período)],tblEvento[[Evento]:[Libera o Período]],4,FALSE)="Não",TRUE,FALSE)),IF(ISERROR(VLOOKUP(tblHorasAgo[Evento 
(2º Período)],tblEvento[[Evento]:[Libera o Período]],4,FALSE)),FALSE,IF(VLOOKUP(tblHorasAgo[Evento 
(2º Período)],tblEvento[[Evento]:[Libera o Período]],4,FALSE)="Não",TRUE,FALSE))),
-IF(VLOOKUP(tblHorasAgo[Dia],tblDiaUtil[[Abreviatura]:[Total Jornada]],5,FALSE)&lt;&gt;"",VLOOKUP(tblHorasAgo[Dia],tblDiaUtil[[Abreviatura]:[Total Jornada]],5,FALSE),JORNADA),
IF(IF(ISERROR(VLOOKUP(tblHorasAgo[Evento 
(1º Período)],tblEvento[[Evento]:[Libera o Período]],4,FALSE)),FALSE,
IF(VLOOKUP(tblHorasAgo[Evento 
(1º Período)],tblEvento[[Evento]:[Libera o Período]],4,FALSE)="Não",TRUE,FALSE)
),
-IF(VLOOKUP(tblHorasAgo[Dia],tblDiaUtil[[Abreviatura]:[1º Período]],3,FALSE)&lt;&gt;"",VLOOKUP(tblHorasAgo[Dia],tblDiaUtil[[Abreviatura]:[1º Período]],3,FALSE),JORNADA_PERIODO_1),
IF(IF(ISERROR(VLOOKUP(tblHorasAgo[Evento 
(2º Período)],tblEvento[[Evento]:[Libera o Período]],4,FALSE)),FALSE,IF(VLOOKUP(tblHorasAgo[Evento 
(2º Período)],tblEvento[[Evento]:[Libera o Período]],4,FALSE)="Não",TRUE,FALSE)),
-IF(VLOOKUP(tblHorasAgo[Dia],tblDiaUtil[[Abreviatura]:[2º Período]],4,FALSE)&lt;&gt;"",VLOOKUP(tblHorasAgo[Dia],tblDiaUtil[[Abreviatura]:[2º Período]],4,FALSE),JORNADA_PERIODO_2),0))))</f>
        <v>0</v>
      </c>
      <c r="O23" s="14">
        <f>IF(tblHorasAgo[Horas Trabalhadas Além Jornada]&gt;0,
        IF(ISNUMBER(tblHorasAgo[Jornada Diária]),
              IF(HOUR(tblHorasAgo[Horas Trabalhadas Além Jornada])&gt;=VLOOKUP(LIMITE,tblLimiteHora[],Tabelas!$I$1,FALSE),
                    VLOOKUP(LIMITE,tblLimiteHora[],Tabelas!$J$1,FALSE),
                    tblHorasAgo[Horas Trabalhadas Além Jornada]),
              tblHorasAgo[Horas Trabalhadas Além Jornada]),
        tblHorasAgo[Horas Trabalhadas Além Jornada])+O22</f>
        <v>0</v>
      </c>
      <c r="P23" s="14" t="str">
        <f>IF(tblHorasAgo[Horas Trabalhadas Além Jornada]&lt;0,IF(OR(tblHorasAgo[Evento 
(1º Período)]="",tblHorasAgo[Evento 
(2º Período)]=""),tblHorasAgo[Horas Trabalhadas Além Jornada],""),"")</f>
        <v/>
      </c>
      <c r="Q23" s="14" t="str">
        <f>IF(tblHorasAgo[Jornada Diária]&lt;&gt;"",IF((N(tblHorasAgo[Jornada Diária])-ABS(N(tblHorasAgo[Horas Trabalhadas Além Jornada])))=0,1,""),"")</f>
        <v/>
      </c>
      <c r="R23" s="14" t="str">
        <f>IF(tblHorasAgo[Horas Trabalhadas Além Jornada]&gt;0,
IF(AND(VLOOKUP(TEXT(tblHorasAgo[Data],"dddd"),tblDiaUtil[],3,FALSE)="Sim",IF(tblHorasAgo[Evento 
(1º Período)]&lt;&gt;"",IF(VLOOKUP(tblHorasAgo[Evento 
(1º Período)],tblEvento[],Tabelas!$E$1,FALSE)="Sim",FALSE,TRUE),TRUE),IF(tblHorasAgo[Evento 
(2º Período)]&lt;&gt;"",IF(VLOOKUP(tblHorasAgo[Evento 
(2º Período)],tblEvento[],Tabelas!$E$1,FALSE)="Sim",FALSE,TRUE),TRUE)),
tblHorasAgo[Horas Trabalhadas Além Jornada],""),"")</f>
        <v/>
      </c>
      <c r="S23" s="14" t="str">
        <f>IF(tblHorasAgo[Horas Trabalhadas Além Jornada]&gt;0,
IF(OR(VLOOKUP(TEXT(tblHorasAgo[Data],"dddd"),tblDiaUtil[],3,FALSE)="Não",IF(tblHorasAgo[Evento 
(1º Período)]&lt;&gt;"",IF(VLOOKUP(tblHorasAgo[Evento 
(1º Período)],tblEvento[],Tabelas!$E$1,FALSE)="Sim",TRUE,FALSE),FALSE),IF(tblHorasAgo[Evento 
(2º Período)]&lt;&gt;"",IF(VLOOKUP(tblHorasAgo[Evento 
(2º Período)],tblEvento[],Tabelas!$E$1,FALSE)="Sim",TRUE,FALSE),FALSE)),
tblHorasAgo[Horas Trabalhadas Além Jornada],""),"")</f>
        <v/>
      </c>
      <c r="T23" s="15" t="str">
        <f>IF(tblHorasAgo[Evento 
(1º Período)]&lt;&gt;""," - " &amp;VLOOKUP(tblHorasAgo[Evento 
(1º Período)],tblEvento[],Tabelas!$F$1,FALSE),"")&amp;IF(AND(tblHorasAgo[Evento 
(2º Período)]&lt;&gt;"",tblHorasAgo[Evento 
(2º Período)]&lt;&gt;tblHorasAgo[Evento 
(1º Período)])," - " &amp; VLOOKUP(tblHorasAgo[Evento 
(2º Período)],tblEvento[],Tabelas!$F$1,FALSE),"")</f>
        <v/>
      </c>
    </row>
    <row r="24" spans="2:20" x14ac:dyDescent="0.25">
      <c r="B24" s="11" t="str">
        <f t="shared" si="0"/>
        <v/>
      </c>
      <c r="C24" s="12" t="str">
        <f>TEXT(tblHorasAgo[Data],"ddd")</f>
        <v/>
      </c>
      <c r="D24" s="25"/>
      <c r="E24" s="1"/>
      <c r="F24" s="1"/>
      <c r="G24" s="1"/>
      <c r="H24" s="1"/>
      <c r="I24" s="53"/>
      <c r="J24" s="4">
        <f>IF($B$6&lt;&gt;"",
IF(AND(tblHorasAgo[Evento 
(1º Período)]&lt;&gt;"",IF(ISERROR(VLOOKUP(tblHorasAgo[Evento 
(1º Período)],tblEvento[],Tabelas!$D$1,FALSE)),FALSE,VLOOKUP(tblHorasAgo[Evento 
(1º Período)],tblEvento[],Tabelas!$D$1,FALSE)="Sim")),
        IF(JORNADA_PERIODO_1&lt;&gt;"",
IF(VLOOKUP(tblHorasAgo[Dia],tblDiaUtil[[Abreviatura]:[1º Período]],3,FALSE)&gt;0,VLOOKUP(tblHorasAgo[Dia],tblDiaUtil[[Abreviatura]:[1º Período]],3,FALSE),JORNADA_PERIODO_1),
IF(VLOOKUP(tblHorasAgo[Dia],tblDiaUtil[[Abreviatura]:[1º Período]],3,FALSE)&gt;0,VLOOKUP(tblHorasAgo[Dia],tblDiaUtil[[Abreviatura]:[1º Período]],3,FALSE),JORNADA/2)),
        IF(AND(ISNUMBER(tblHorasAgo[Saída - 1 (Almoço)]),ISNUMBER(tblHorasAgo[Entrada - 1])),
              IF(OR(AND(tblHorasAgo[Evento 
(1º Período)]&lt;&gt;"",IF(ISERROR(VLOOKUP(tblHorasAgo[Evento 
(1º Período)],tblEvento[],Tabelas!$E$1,FALSE)),FALSE,VLOOKUP(tblHorasAgo[Evento 
(1º Período)],tblEvento[],Tabelas!$E$1,FALSE)="Sim")),IF(VLOOKUP(TEXT(tblHorasAgo[Data],"dddd"),tblDiaUtil[],2,FALSE)="Não",TRUE,FALSE)),
                   tblHorasAgo[Saída - 1 (Almoço)]-tblHorasAgo[Entrada - 1],
                   IF(OR(HOUR(tblHorasAgo[Saída - 1 (Almoço)]-tblHorasAgo[Entrada - 1])&gt;0,ROUND(tblHorasAgo[Saída - 1 (Almoço)]-tblHorasAgo[Entrada - 1],6)&gt;ROUND(CARENCIA,6)),
                          tblHorasAgo[Saída - 1 (Almoço)]-tblHorasAgo[Entrada - 1],
                          0)),
                    0)),0)</f>
        <v>0</v>
      </c>
      <c r="K24" s="4">
        <f>IF($B$6&lt;&gt;"",
IF(AND(tblHorasAgo[Evento 
(2º Período)]&lt;&gt;"",IF(ISERROR(VLOOKUP(tblHorasAgo[Evento 
(2º Período)],tblEvento[],Tabelas!$D$1,FALSE)),FALSE,VLOOKUP(tblHorasAgo[Evento 
(2º Período)],tblEvento[],Tabelas!$D$1,FALSE)="Sim")),
        IF(JORNADA_PERIODO_2&lt;&gt;"",
IF(VLOOKUP(tblHorasAgo[Dia],tblDiaUtil[[Abreviatura]:[2º Período]],4,FALSE)&gt;0,VLOOKUP(tblHorasAgo[Dia],tblDiaUtil[[Abreviatura]:[2º Período]],4,FALSE),JORNADA_PERIODO_2),
IF(VLOOKUP(tblHorasAgo[Dia],tblDiaUtil[[Abreviatura]:[2º Período]],4,FALSE)&gt;0,VLOOKUP(tblHorasAgo[Dia],tblDiaUtil[[Abreviatura]:[2º Período]],4,FALSE),JORNADA/2)),
        IF(AND(ISNUMBER(tblHorasAgo[Saída - 2]),ISNUMBER(tblHorasAgo[Entrada - 2 (Almoço)])),
              IF(OR(AND(tblHorasAgo[Evento 
(2º Período)]&lt;&gt;"",IF(ISERROR(VLOOKUP(tblHorasAgo[Evento 
(2º Período)],tblEvento[],Tabelas!$E$1,FALSE)),FALSE,VLOOKUP(tblHorasAgo[Evento 
(2º Período)],tblEvento[],Tabelas!$E$1,FALSE)="Sim")),IF(VLOOKUP(TEXT(tblHorasAgo[Data],"dddd"),tblDiaUtil[],2,FALSE)="Não",TRUE,FALSE)),
                   tblHorasAgo[Saída - 2]-tblHorasAgo[Entrada - 2 (Almoço)],
                   IF(OR(HOUR(tblHorasAgo[Saída - 2]-tblHorasAgo[Entrada - 2 (Almoço)])&gt;0,MINUTE(tblHorasAgo[Saída - 2]-tblHorasAgo[Entrada - 2 (Almoço)])&gt;CARENCIA),
                         tblHorasAgo[Saída - 2]-tblHorasAgo[Entrada - 2 (Almoço)],
                         0)),
       0)),0)</f>
        <v>0</v>
      </c>
      <c r="L24" s="4">
        <f>tblHorasAgo[Horas Trabalhadas (1º Período)]+tblHorasAgo[Horas Trabalhadas (2º Período)]</f>
        <v>0</v>
      </c>
      <c r="M24" s="4" t="str">
        <f>IF(tblHorasAgo[Data]&lt;&gt;"",
        IF(
AND(VLOOKUP(TEXT(tblHorasAgo[Data],"dddd"),tblDiaUtil[],3,FALSE)="Sim",IF(tblHorasAgo[Evento 
(1º Período)]&lt;&gt;"",IF(VLOOKUP(tblHorasAgo[Evento 
(1º Período)],tblEvento[],Tabelas!$E$1,FALSE)="Sim",FALSE,TRUE),TRUE),IF(tblHorasAgo[Evento 
(2º Período)]&lt;&gt;"",IF(VLOOKUP(tblHorasAgo[Evento 
(2º Período)],tblEvento[],Tabelas!$E$1,FALSE)="Sim",FALSE,TRUE),TRUE)),
              IF(VLOOKUP(tblHorasAgo[Dia],tblDiaUtil[[Abreviatura]:[1º Período]],3,FALSE)&gt;0,VLOOKUP(tblHorasAgo[Dia],tblDiaUtil[[Abreviatura]:[1º Período]],3,FALSE),JORNADA),
              ""),
         "")</f>
        <v/>
      </c>
      <c r="N24" s="14">
        <f>IF(OR(tblHorasAgo[Horas Trabalhadas (1º Período)]&lt;&gt;0,tblHorasAgo[Horas Trabalhadas (2º Período)]&lt;&gt;0),
        IF(ISNUMBER(tblHorasAgo[Jornada Diária]),
              IF(tblHorasAgo[Jornada Diária]&gt;(tblHorasAgo[Horas Trabalhadas (2º Período)]+tblHorasAgo[Horas Trabalhadas (1º Período)]),
                     IF(ROUND((tblHorasAgo[Jornada Diária]-(tblHorasAgo[Horas Trabalhadas (2º Período)]+tblHorasAgo[Horas Trabalhadas (1º Período)])),6)&gt;ROUND(CARENCIA,6),
                           -tblHorasAgo[Jornada Diária]+(tblHorasAgo[Horas Trabalhadas (2º Período)]+tblHorasAgo[Horas Trabalhadas (1º Período)]),
                           0),
                      IF(ROUND((tblHorasAgo[Jornada Diária]-(tblHorasAgo[Horas Trabalhadas (2º Período)]+tblHorasAgo[Horas Trabalhadas (1º Período)])),6)&lt;ROUND(-CARENCIA,6),
                           -tblHorasAgo[Jornada Diária]+(tblHorasAgo[Horas Trabalhadas (2º Período)]+tblHorasAgo[Horas Trabalhadas (1º Período)]),
                           0)),
              tblHorasAgo[Horas Trabalhadas (2º Período)]+tblHorasAgo[Horas Trabalhadas (1º Período)]),
         IF(AND(IF(ISERROR(VLOOKUP(tblHorasAgo[Evento 
(1º Período)],tblEvento[[Evento]:[Libera o Período]],4,FALSE)),FALSE,IF(VLOOKUP(tblHorasAgo[Evento 
(1º Período)],tblEvento[[Evento]:[Libera o Período]],4,FALSE)="Não",TRUE,FALSE)),IF(ISERROR(VLOOKUP(tblHorasAgo[Evento 
(2º Período)],tblEvento[[Evento]:[Libera o Período]],4,FALSE)),FALSE,IF(VLOOKUP(tblHorasAgo[Evento 
(2º Período)],tblEvento[[Evento]:[Libera o Período]],4,FALSE)="Não",TRUE,FALSE))),
-IF(VLOOKUP(tblHorasAgo[Dia],tblDiaUtil[[Abreviatura]:[Total Jornada]],5,FALSE)&lt;&gt;"",VLOOKUP(tblHorasAgo[Dia],tblDiaUtil[[Abreviatura]:[Total Jornada]],5,FALSE),JORNADA),
IF(IF(ISERROR(VLOOKUP(tblHorasAgo[Evento 
(1º Período)],tblEvento[[Evento]:[Libera o Período]],4,FALSE)),FALSE,
IF(VLOOKUP(tblHorasAgo[Evento 
(1º Período)],tblEvento[[Evento]:[Libera o Período]],4,FALSE)="Não",TRUE,FALSE)
),
-IF(VLOOKUP(tblHorasAgo[Dia],tblDiaUtil[[Abreviatura]:[1º Período]],3,FALSE)&lt;&gt;"",VLOOKUP(tblHorasAgo[Dia],tblDiaUtil[[Abreviatura]:[1º Período]],3,FALSE),JORNADA_PERIODO_1),
IF(IF(ISERROR(VLOOKUP(tblHorasAgo[Evento 
(2º Período)],tblEvento[[Evento]:[Libera o Período]],4,FALSE)),FALSE,IF(VLOOKUP(tblHorasAgo[Evento 
(2º Período)],tblEvento[[Evento]:[Libera o Período]],4,FALSE)="Não",TRUE,FALSE)),
-IF(VLOOKUP(tblHorasAgo[Dia],tblDiaUtil[[Abreviatura]:[2º Período]],4,FALSE)&lt;&gt;"",VLOOKUP(tblHorasAgo[Dia],tblDiaUtil[[Abreviatura]:[2º Período]],4,FALSE),JORNADA_PERIODO_2),0))))</f>
        <v>0</v>
      </c>
      <c r="O24" s="14">
        <f>IF(tblHorasAgo[Horas Trabalhadas Além Jornada]&gt;0,
        IF(ISNUMBER(tblHorasAgo[Jornada Diária]),
              IF(HOUR(tblHorasAgo[Horas Trabalhadas Além Jornada])&gt;=VLOOKUP(LIMITE,tblLimiteHora[],Tabelas!$I$1,FALSE),
                    VLOOKUP(LIMITE,tblLimiteHora[],Tabelas!$J$1,FALSE),
                    tblHorasAgo[Horas Trabalhadas Além Jornada]),
              tblHorasAgo[Horas Trabalhadas Além Jornada]),
        tblHorasAgo[Horas Trabalhadas Além Jornada])+O23</f>
        <v>0</v>
      </c>
      <c r="P24" s="14" t="str">
        <f>IF(tblHorasAgo[Horas Trabalhadas Além Jornada]&lt;0,IF(OR(tblHorasAgo[Evento 
(1º Período)]="",tblHorasAgo[Evento 
(2º Período)]=""),tblHorasAgo[Horas Trabalhadas Além Jornada],""),"")</f>
        <v/>
      </c>
      <c r="Q24" s="14" t="str">
        <f>IF(tblHorasAgo[Jornada Diária]&lt;&gt;"",IF((N(tblHorasAgo[Jornada Diária])-ABS(N(tblHorasAgo[Horas Trabalhadas Além Jornada])))=0,1,""),"")</f>
        <v/>
      </c>
      <c r="R24" s="14" t="str">
        <f>IF(tblHorasAgo[Horas Trabalhadas Além Jornada]&gt;0,
IF(AND(VLOOKUP(TEXT(tblHorasAgo[Data],"dddd"),tblDiaUtil[],3,FALSE)="Sim",IF(tblHorasAgo[Evento 
(1º Período)]&lt;&gt;"",IF(VLOOKUP(tblHorasAgo[Evento 
(1º Período)],tblEvento[],Tabelas!$E$1,FALSE)="Sim",FALSE,TRUE),TRUE),IF(tblHorasAgo[Evento 
(2º Período)]&lt;&gt;"",IF(VLOOKUP(tblHorasAgo[Evento 
(2º Período)],tblEvento[],Tabelas!$E$1,FALSE)="Sim",FALSE,TRUE),TRUE)),
tblHorasAgo[Horas Trabalhadas Além Jornada],""),"")</f>
        <v/>
      </c>
      <c r="S24" s="14" t="str">
        <f>IF(tblHorasAgo[Horas Trabalhadas Além Jornada]&gt;0,
IF(OR(VLOOKUP(TEXT(tblHorasAgo[Data],"dddd"),tblDiaUtil[],3,FALSE)="Não",IF(tblHorasAgo[Evento 
(1º Período)]&lt;&gt;"",IF(VLOOKUP(tblHorasAgo[Evento 
(1º Período)],tblEvento[],Tabelas!$E$1,FALSE)="Sim",TRUE,FALSE),FALSE),IF(tblHorasAgo[Evento 
(2º Período)]&lt;&gt;"",IF(VLOOKUP(tblHorasAgo[Evento 
(2º Período)],tblEvento[],Tabelas!$E$1,FALSE)="Sim",TRUE,FALSE),FALSE)),
tblHorasAgo[Horas Trabalhadas Além Jornada],""),"")</f>
        <v/>
      </c>
      <c r="T24" s="15" t="str">
        <f>IF(tblHorasAgo[Evento 
(1º Período)]&lt;&gt;""," - " &amp;VLOOKUP(tblHorasAgo[Evento 
(1º Período)],tblEvento[],Tabelas!$F$1,FALSE),"")&amp;IF(AND(tblHorasAgo[Evento 
(2º Período)]&lt;&gt;"",tblHorasAgo[Evento 
(2º Período)]&lt;&gt;tblHorasAgo[Evento 
(1º Período)])," - " &amp; VLOOKUP(tblHorasAgo[Evento 
(2º Período)],tblEvento[],Tabelas!$F$1,FALSE),"")</f>
        <v/>
      </c>
    </row>
    <row r="25" spans="2:20" x14ac:dyDescent="0.25">
      <c r="B25" s="11" t="str">
        <f t="shared" si="0"/>
        <v/>
      </c>
      <c r="C25" s="12" t="str">
        <f>TEXT(tblHorasAgo[Data],"ddd")</f>
        <v/>
      </c>
      <c r="D25" s="25"/>
      <c r="E25" s="1"/>
      <c r="F25" s="1"/>
      <c r="G25" s="1"/>
      <c r="H25" s="1"/>
      <c r="I25" s="53"/>
      <c r="J25" s="4">
        <f>IF($B$6&lt;&gt;"",
IF(AND(tblHorasAgo[Evento 
(1º Período)]&lt;&gt;"",IF(ISERROR(VLOOKUP(tblHorasAgo[Evento 
(1º Período)],tblEvento[],Tabelas!$D$1,FALSE)),FALSE,VLOOKUP(tblHorasAgo[Evento 
(1º Período)],tblEvento[],Tabelas!$D$1,FALSE)="Sim")),
        IF(JORNADA_PERIODO_1&lt;&gt;"",
IF(VLOOKUP(tblHorasAgo[Dia],tblDiaUtil[[Abreviatura]:[1º Período]],3,FALSE)&gt;0,VLOOKUP(tblHorasAgo[Dia],tblDiaUtil[[Abreviatura]:[1º Período]],3,FALSE),JORNADA_PERIODO_1),
IF(VLOOKUP(tblHorasAgo[Dia],tblDiaUtil[[Abreviatura]:[1º Período]],3,FALSE)&gt;0,VLOOKUP(tblHorasAgo[Dia],tblDiaUtil[[Abreviatura]:[1º Período]],3,FALSE),JORNADA/2)),
        IF(AND(ISNUMBER(tblHorasAgo[Saída - 1 (Almoço)]),ISNUMBER(tblHorasAgo[Entrada - 1])),
              IF(OR(AND(tblHorasAgo[Evento 
(1º Período)]&lt;&gt;"",IF(ISERROR(VLOOKUP(tblHorasAgo[Evento 
(1º Período)],tblEvento[],Tabelas!$E$1,FALSE)),FALSE,VLOOKUP(tblHorasAgo[Evento 
(1º Período)],tblEvento[],Tabelas!$E$1,FALSE)="Sim")),IF(VLOOKUP(TEXT(tblHorasAgo[Data],"dddd"),tblDiaUtil[],2,FALSE)="Não",TRUE,FALSE)),
                   tblHorasAgo[Saída - 1 (Almoço)]-tblHorasAgo[Entrada - 1],
                   IF(OR(HOUR(tblHorasAgo[Saída - 1 (Almoço)]-tblHorasAgo[Entrada - 1])&gt;0,ROUND(tblHorasAgo[Saída - 1 (Almoço)]-tblHorasAgo[Entrada - 1],6)&gt;ROUND(CARENCIA,6)),
                          tblHorasAgo[Saída - 1 (Almoço)]-tblHorasAgo[Entrada - 1],
                          0)),
                    0)),0)</f>
        <v>0</v>
      </c>
      <c r="K25" s="4">
        <f>IF($B$6&lt;&gt;"",
IF(AND(tblHorasAgo[Evento 
(2º Período)]&lt;&gt;"",IF(ISERROR(VLOOKUP(tblHorasAgo[Evento 
(2º Período)],tblEvento[],Tabelas!$D$1,FALSE)),FALSE,VLOOKUP(tblHorasAgo[Evento 
(2º Período)],tblEvento[],Tabelas!$D$1,FALSE)="Sim")),
        IF(JORNADA_PERIODO_2&lt;&gt;"",
IF(VLOOKUP(tblHorasAgo[Dia],tblDiaUtil[[Abreviatura]:[2º Período]],4,FALSE)&gt;0,VLOOKUP(tblHorasAgo[Dia],tblDiaUtil[[Abreviatura]:[2º Período]],4,FALSE),JORNADA_PERIODO_2),
IF(VLOOKUP(tblHorasAgo[Dia],tblDiaUtil[[Abreviatura]:[2º Período]],4,FALSE)&gt;0,VLOOKUP(tblHorasAgo[Dia],tblDiaUtil[[Abreviatura]:[2º Período]],4,FALSE),JORNADA/2)),
        IF(AND(ISNUMBER(tblHorasAgo[Saída - 2]),ISNUMBER(tblHorasAgo[Entrada - 2 (Almoço)])),
              IF(OR(AND(tblHorasAgo[Evento 
(2º Período)]&lt;&gt;"",IF(ISERROR(VLOOKUP(tblHorasAgo[Evento 
(2º Período)],tblEvento[],Tabelas!$E$1,FALSE)),FALSE,VLOOKUP(tblHorasAgo[Evento 
(2º Período)],tblEvento[],Tabelas!$E$1,FALSE)="Sim")),IF(VLOOKUP(TEXT(tblHorasAgo[Data],"dddd"),tblDiaUtil[],2,FALSE)="Não",TRUE,FALSE)),
                   tblHorasAgo[Saída - 2]-tblHorasAgo[Entrada - 2 (Almoço)],
                   IF(OR(HOUR(tblHorasAgo[Saída - 2]-tblHorasAgo[Entrada - 2 (Almoço)])&gt;0,MINUTE(tblHorasAgo[Saída - 2]-tblHorasAgo[Entrada - 2 (Almoço)])&gt;CARENCIA),
                         tblHorasAgo[Saída - 2]-tblHorasAgo[Entrada - 2 (Almoço)],
                         0)),
       0)),0)</f>
        <v>0</v>
      </c>
      <c r="L25" s="4">
        <f>tblHorasAgo[Horas Trabalhadas (1º Período)]+tblHorasAgo[Horas Trabalhadas (2º Período)]</f>
        <v>0</v>
      </c>
      <c r="M25" s="4" t="str">
        <f>IF(tblHorasAgo[Data]&lt;&gt;"",
        IF(
AND(VLOOKUP(TEXT(tblHorasAgo[Data],"dddd"),tblDiaUtil[],3,FALSE)="Sim",IF(tblHorasAgo[Evento 
(1º Período)]&lt;&gt;"",IF(VLOOKUP(tblHorasAgo[Evento 
(1º Período)],tblEvento[],Tabelas!$E$1,FALSE)="Sim",FALSE,TRUE),TRUE),IF(tblHorasAgo[Evento 
(2º Período)]&lt;&gt;"",IF(VLOOKUP(tblHorasAgo[Evento 
(2º Período)],tblEvento[],Tabelas!$E$1,FALSE)="Sim",FALSE,TRUE),TRUE)),
              IF(VLOOKUP(tblHorasAgo[Dia],tblDiaUtil[[Abreviatura]:[1º Período]],3,FALSE)&gt;0,VLOOKUP(tblHorasAgo[Dia],tblDiaUtil[[Abreviatura]:[1º Período]],3,FALSE),JORNADA),
              ""),
         "")</f>
        <v/>
      </c>
      <c r="N25" s="14">
        <f>IF(OR(tblHorasAgo[Horas Trabalhadas (1º Período)]&lt;&gt;0,tblHorasAgo[Horas Trabalhadas (2º Período)]&lt;&gt;0),
        IF(ISNUMBER(tblHorasAgo[Jornada Diária]),
              IF(tblHorasAgo[Jornada Diária]&gt;(tblHorasAgo[Horas Trabalhadas (2º Período)]+tblHorasAgo[Horas Trabalhadas (1º Período)]),
                     IF(ROUND((tblHorasAgo[Jornada Diária]-(tblHorasAgo[Horas Trabalhadas (2º Período)]+tblHorasAgo[Horas Trabalhadas (1º Período)])),6)&gt;ROUND(CARENCIA,6),
                           -tblHorasAgo[Jornada Diária]+(tblHorasAgo[Horas Trabalhadas (2º Período)]+tblHorasAgo[Horas Trabalhadas (1º Período)]),
                           0),
                      IF(ROUND((tblHorasAgo[Jornada Diária]-(tblHorasAgo[Horas Trabalhadas (2º Período)]+tblHorasAgo[Horas Trabalhadas (1º Período)])),6)&lt;ROUND(-CARENCIA,6),
                           -tblHorasAgo[Jornada Diária]+(tblHorasAgo[Horas Trabalhadas (2º Período)]+tblHorasAgo[Horas Trabalhadas (1º Período)]),
                           0)),
              tblHorasAgo[Horas Trabalhadas (2º Período)]+tblHorasAgo[Horas Trabalhadas (1º Período)]),
         IF(AND(IF(ISERROR(VLOOKUP(tblHorasAgo[Evento 
(1º Período)],tblEvento[[Evento]:[Libera o Período]],4,FALSE)),FALSE,IF(VLOOKUP(tblHorasAgo[Evento 
(1º Período)],tblEvento[[Evento]:[Libera o Período]],4,FALSE)="Não",TRUE,FALSE)),IF(ISERROR(VLOOKUP(tblHorasAgo[Evento 
(2º Período)],tblEvento[[Evento]:[Libera o Período]],4,FALSE)),FALSE,IF(VLOOKUP(tblHorasAgo[Evento 
(2º Período)],tblEvento[[Evento]:[Libera o Período]],4,FALSE)="Não",TRUE,FALSE))),
-IF(VLOOKUP(tblHorasAgo[Dia],tblDiaUtil[[Abreviatura]:[Total Jornada]],5,FALSE)&lt;&gt;"",VLOOKUP(tblHorasAgo[Dia],tblDiaUtil[[Abreviatura]:[Total Jornada]],5,FALSE),JORNADA),
IF(IF(ISERROR(VLOOKUP(tblHorasAgo[Evento 
(1º Período)],tblEvento[[Evento]:[Libera o Período]],4,FALSE)),FALSE,
IF(VLOOKUP(tblHorasAgo[Evento 
(1º Período)],tblEvento[[Evento]:[Libera o Período]],4,FALSE)="Não",TRUE,FALSE)
),
-IF(VLOOKUP(tblHorasAgo[Dia],tblDiaUtil[[Abreviatura]:[1º Período]],3,FALSE)&lt;&gt;"",VLOOKUP(tblHorasAgo[Dia],tblDiaUtil[[Abreviatura]:[1º Período]],3,FALSE),JORNADA_PERIODO_1),
IF(IF(ISERROR(VLOOKUP(tblHorasAgo[Evento 
(2º Período)],tblEvento[[Evento]:[Libera o Período]],4,FALSE)),FALSE,IF(VLOOKUP(tblHorasAgo[Evento 
(2º Período)],tblEvento[[Evento]:[Libera o Período]],4,FALSE)="Não",TRUE,FALSE)),
-IF(VLOOKUP(tblHorasAgo[Dia],tblDiaUtil[[Abreviatura]:[2º Período]],4,FALSE)&lt;&gt;"",VLOOKUP(tblHorasAgo[Dia],tblDiaUtil[[Abreviatura]:[2º Período]],4,FALSE),JORNADA_PERIODO_2),0))))</f>
        <v>0</v>
      </c>
      <c r="O25" s="14">
        <f>IF(tblHorasAgo[Horas Trabalhadas Além Jornada]&gt;0,
        IF(ISNUMBER(tblHorasAgo[Jornada Diária]),
              IF(HOUR(tblHorasAgo[Horas Trabalhadas Além Jornada])&gt;=VLOOKUP(LIMITE,tblLimiteHora[],Tabelas!$I$1,FALSE),
                    VLOOKUP(LIMITE,tblLimiteHora[],Tabelas!$J$1,FALSE),
                    tblHorasAgo[Horas Trabalhadas Além Jornada]),
              tblHorasAgo[Horas Trabalhadas Além Jornada]),
        tblHorasAgo[Horas Trabalhadas Além Jornada])+O24</f>
        <v>0</v>
      </c>
      <c r="P25" s="14" t="str">
        <f>IF(tblHorasAgo[Horas Trabalhadas Além Jornada]&lt;0,IF(OR(tblHorasAgo[Evento 
(1º Período)]="",tblHorasAgo[Evento 
(2º Período)]=""),tblHorasAgo[Horas Trabalhadas Além Jornada],""),"")</f>
        <v/>
      </c>
      <c r="Q25" s="14" t="str">
        <f>IF(tblHorasAgo[Jornada Diária]&lt;&gt;"",IF((N(tblHorasAgo[Jornada Diária])-ABS(N(tblHorasAgo[Horas Trabalhadas Além Jornada])))=0,1,""),"")</f>
        <v/>
      </c>
      <c r="R25" s="14" t="str">
        <f>IF(tblHorasAgo[Horas Trabalhadas Além Jornada]&gt;0,
IF(AND(VLOOKUP(TEXT(tblHorasAgo[Data],"dddd"),tblDiaUtil[],3,FALSE)="Sim",IF(tblHorasAgo[Evento 
(1º Período)]&lt;&gt;"",IF(VLOOKUP(tblHorasAgo[Evento 
(1º Período)],tblEvento[],Tabelas!$E$1,FALSE)="Sim",FALSE,TRUE),TRUE),IF(tblHorasAgo[Evento 
(2º Período)]&lt;&gt;"",IF(VLOOKUP(tblHorasAgo[Evento 
(2º Período)],tblEvento[],Tabelas!$E$1,FALSE)="Sim",FALSE,TRUE),TRUE)),
tblHorasAgo[Horas Trabalhadas Além Jornada],""),"")</f>
        <v/>
      </c>
      <c r="S25" s="14" t="str">
        <f>IF(tblHorasAgo[Horas Trabalhadas Além Jornada]&gt;0,
IF(OR(VLOOKUP(TEXT(tblHorasAgo[Data],"dddd"),tblDiaUtil[],3,FALSE)="Não",IF(tblHorasAgo[Evento 
(1º Período)]&lt;&gt;"",IF(VLOOKUP(tblHorasAgo[Evento 
(1º Período)],tblEvento[],Tabelas!$E$1,FALSE)="Sim",TRUE,FALSE),FALSE),IF(tblHorasAgo[Evento 
(2º Período)]&lt;&gt;"",IF(VLOOKUP(tblHorasAgo[Evento 
(2º Período)],tblEvento[],Tabelas!$E$1,FALSE)="Sim",TRUE,FALSE),FALSE)),
tblHorasAgo[Horas Trabalhadas Além Jornada],""),"")</f>
        <v/>
      </c>
      <c r="T25" s="15" t="str">
        <f>IF(tblHorasAgo[Evento 
(1º Período)]&lt;&gt;""," - " &amp;VLOOKUP(tblHorasAgo[Evento 
(1º Período)],tblEvento[],Tabelas!$F$1,FALSE),"")&amp;IF(AND(tblHorasAgo[Evento 
(2º Período)]&lt;&gt;"",tblHorasAgo[Evento 
(2º Período)]&lt;&gt;tblHorasAgo[Evento 
(1º Período)])," - " &amp; VLOOKUP(tblHorasAgo[Evento 
(2º Período)],tblEvento[],Tabelas!$F$1,FALSE),"")</f>
        <v/>
      </c>
    </row>
    <row r="26" spans="2:20" x14ac:dyDescent="0.25">
      <c r="B26" s="11" t="str">
        <f t="shared" si="0"/>
        <v/>
      </c>
      <c r="C26" s="12" t="str">
        <f>TEXT(tblHorasAgo[Data],"ddd")</f>
        <v/>
      </c>
      <c r="D26" s="25"/>
      <c r="E26" s="1"/>
      <c r="F26" s="1"/>
      <c r="G26" s="1"/>
      <c r="H26" s="1"/>
      <c r="I26" s="53"/>
      <c r="J26" s="4">
        <f>IF($B$6&lt;&gt;"",
IF(AND(tblHorasAgo[Evento 
(1º Período)]&lt;&gt;"",IF(ISERROR(VLOOKUP(tblHorasAgo[Evento 
(1º Período)],tblEvento[],Tabelas!$D$1,FALSE)),FALSE,VLOOKUP(tblHorasAgo[Evento 
(1º Período)],tblEvento[],Tabelas!$D$1,FALSE)="Sim")),
        IF(JORNADA_PERIODO_1&lt;&gt;"",
IF(VLOOKUP(tblHorasAgo[Dia],tblDiaUtil[[Abreviatura]:[1º Período]],3,FALSE)&gt;0,VLOOKUP(tblHorasAgo[Dia],tblDiaUtil[[Abreviatura]:[1º Período]],3,FALSE),JORNADA_PERIODO_1),
IF(VLOOKUP(tblHorasAgo[Dia],tblDiaUtil[[Abreviatura]:[1º Período]],3,FALSE)&gt;0,VLOOKUP(tblHorasAgo[Dia],tblDiaUtil[[Abreviatura]:[1º Período]],3,FALSE),JORNADA/2)),
        IF(AND(ISNUMBER(tblHorasAgo[Saída - 1 (Almoço)]),ISNUMBER(tblHorasAgo[Entrada - 1])),
              IF(OR(AND(tblHorasAgo[Evento 
(1º Período)]&lt;&gt;"",IF(ISERROR(VLOOKUP(tblHorasAgo[Evento 
(1º Período)],tblEvento[],Tabelas!$E$1,FALSE)),FALSE,VLOOKUP(tblHorasAgo[Evento 
(1º Período)],tblEvento[],Tabelas!$E$1,FALSE)="Sim")),IF(VLOOKUP(TEXT(tblHorasAgo[Data],"dddd"),tblDiaUtil[],2,FALSE)="Não",TRUE,FALSE)),
                   tblHorasAgo[Saída - 1 (Almoço)]-tblHorasAgo[Entrada - 1],
                   IF(OR(HOUR(tblHorasAgo[Saída - 1 (Almoço)]-tblHorasAgo[Entrada - 1])&gt;0,ROUND(tblHorasAgo[Saída - 1 (Almoço)]-tblHorasAgo[Entrada - 1],6)&gt;ROUND(CARENCIA,6)),
                          tblHorasAgo[Saída - 1 (Almoço)]-tblHorasAgo[Entrada - 1],
                          0)),
                    0)),0)</f>
        <v>0</v>
      </c>
      <c r="K26" s="4">
        <f>IF($B$6&lt;&gt;"",
IF(AND(tblHorasAgo[Evento 
(2º Período)]&lt;&gt;"",IF(ISERROR(VLOOKUP(tblHorasAgo[Evento 
(2º Período)],tblEvento[],Tabelas!$D$1,FALSE)),FALSE,VLOOKUP(tblHorasAgo[Evento 
(2º Período)],tblEvento[],Tabelas!$D$1,FALSE)="Sim")),
        IF(JORNADA_PERIODO_2&lt;&gt;"",
IF(VLOOKUP(tblHorasAgo[Dia],tblDiaUtil[[Abreviatura]:[2º Período]],4,FALSE)&gt;0,VLOOKUP(tblHorasAgo[Dia],tblDiaUtil[[Abreviatura]:[2º Período]],4,FALSE),JORNADA_PERIODO_2),
IF(VLOOKUP(tblHorasAgo[Dia],tblDiaUtil[[Abreviatura]:[2º Período]],4,FALSE)&gt;0,VLOOKUP(tblHorasAgo[Dia],tblDiaUtil[[Abreviatura]:[2º Período]],4,FALSE),JORNADA/2)),
        IF(AND(ISNUMBER(tblHorasAgo[Saída - 2]),ISNUMBER(tblHorasAgo[Entrada - 2 (Almoço)])),
              IF(OR(AND(tblHorasAgo[Evento 
(2º Período)]&lt;&gt;"",IF(ISERROR(VLOOKUP(tblHorasAgo[Evento 
(2º Período)],tblEvento[],Tabelas!$E$1,FALSE)),FALSE,VLOOKUP(tblHorasAgo[Evento 
(2º Período)],tblEvento[],Tabelas!$E$1,FALSE)="Sim")),IF(VLOOKUP(TEXT(tblHorasAgo[Data],"dddd"),tblDiaUtil[],2,FALSE)="Não",TRUE,FALSE)),
                   tblHorasAgo[Saída - 2]-tblHorasAgo[Entrada - 2 (Almoço)],
                   IF(OR(HOUR(tblHorasAgo[Saída - 2]-tblHorasAgo[Entrada - 2 (Almoço)])&gt;0,MINUTE(tblHorasAgo[Saída - 2]-tblHorasAgo[Entrada - 2 (Almoço)])&gt;CARENCIA),
                         tblHorasAgo[Saída - 2]-tblHorasAgo[Entrada - 2 (Almoço)],
                         0)),
       0)),0)</f>
        <v>0</v>
      </c>
      <c r="L26" s="4">
        <f>tblHorasAgo[Horas Trabalhadas (1º Período)]+tblHorasAgo[Horas Trabalhadas (2º Período)]</f>
        <v>0</v>
      </c>
      <c r="M26" s="4" t="str">
        <f>IF(tblHorasAgo[Data]&lt;&gt;"",
        IF(
AND(VLOOKUP(TEXT(tblHorasAgo[Data],"dddd"),tblDiaUtil[],3,FALSE)="Sim",IF(tblHorasAgo[Evento 
(1º Período)]&lt;&gt;"",IF(VLOOKUP(tblHorasAgo[Evento 
(1º Período)],tblEvento[],Tabelas!$E$1,FALSE)="Sim",FALSE,TRUE),TRUE),IF(tblHorasAgo[Evento 
(2º Período)]&lt;&gt;"",IF(VLOOKUP(tblHorasAgo[Evento 
(2º Período)],tblEvento[],Tabelas!$E$1,FALSE)="Sim",FALSE,TRUE),TRUE)),
              IF(VLOOKUP(tblHorasAgo[Dia],tblDiaUtil[[Abreviatura]:[1º Período]],3,FALSE)&gt;0,VLOOKUP(tblHorasAgo[Dia],tblDiaUtil[[Abreviatura]:[1º Período]],3,FALSE),JORNADA),
              ""),
         "")</f>
        <v/>
      </c>
      <c r="N26" s="14">
        <f>IF(OR(tblHorasAgo[Horas Trabalhadas (1º Período)]&lt;&gt;0,tblHorasAgo[Horas Trabalhadas (2º Período)]&lt;&gt;0),
        IF(ISNUMBER(tblHorasAgo[Jornada Diária]),
              IF(tblHorasAgo[Jornada Diária]&gt;(tblHorasAgo[Horas Trabalhadas (2º Período)]+tblHorasAgo[Horas Trabalhadas (1º Período)]),
                     IF(ROUND((tblHorasAgo[Jornada Diária]-(tblHorasAgo[Horas Trabalhadas (2º Período)]+tblHorasAgo[Horas Trabalhadas (1º Período)])),6)&gt;ROUND(CARENCIA,6),
                           -tblHorasAgo[Jornada Diária]+(tblHorasAgo[Horas Trabalhadas (2º Período)]+tblHorasAgo[Horas Trabalhadas (1º Período)]),
                           0),
                      IF(ROUND((tblHorasAgo[Jornada Diária]-(tblHorasAgo[Horas Trabalhadas (2º Período)]+tblHorasAgo[Horas Trabalhadas (1º Período)])),6)&lt;ROUND(-CARENCIA,6),
                           -tblHorasAgo[Jornada Diária]+(tblHorasAgo[Horas Trabalhadas (2º Período)]+tblHorasAgo[Horas Trabalhadas (1º Período)]),
                           0)),
              tblHorasAgo[Horas Trabalhadas (2º Período)]+tblHorasAgo[Horas Trabalhadas (1º Período)]),
         IF(AND(IF(ISERROR(VLOOKUP(tblHorasAgo[Evento 
(1º Período)],tblEvento[[Evento]:[Libera o Período]],4,FALSE)),FALSE,IF(VLOOKUP(tblHorasAgo[Evento 
(1º Período)],tblEvento[[Evento]:[Libera o Período]],4,FALSE)="Não",TRUE,FALSE)),IF(ISERROR(VLOOKUP(tblHorasAgo[Evento 
(2º Período)],tblEvento[[Evento]:[Libera o Período]],4,FALSE)),FALSE,IF(VLOOKUP(tblHorasAgo[Evento 
(2º Período)],tblEvento[[Evento]:[Libera o Período]],4,FALSE)="Não",TRUE,FALSE))),
-IF(VLOOKUP(tblHorasAgo[Dia],tblDiaUtil[[Abreviatura]:[Total Jornada]],5,FALSE)&lt;&gt;"",VLOOKUP(tblHorasAgo[Dia],tblDiaUtil[[Abreviatura]:[Total Jornada]],5,FALSE),JORNADA),
IF(IF(ISERROR(VLOOKUP(tblHorasAgo[Evento 
(1º Período)],tblEvento[[Evento]:[Libera o Período]],4,FALSE)),FALSE,
IF(VLOOKUP(tblHorasAgo[Evento 
(1º Período)],tblEvento[[Evento]:[Libera o Período]],4,FALSE)="Não",TRUE,FALSE)
),
-IF(VLOOKUP(tblHorasAgo[Dia],tblDiaUtil[[Abreviatura]:[1º Período]],3,FALSE)&lt;&gt;"",VLOOKUP(tblHorasAgo[Dia],tblDiaUtil[[Abreviatura]:[1º Período]],3,FALSE),JORNADA_PERIODO_1),
IF(IF(ISERROR(VLOOKUP(tblHorasAgo[Evento 
(2º Período)],tblEvento[[Evento]:[Libera o Período]],4,FALSE)),FALSE,IF(VLOOKUP(tblHorasAgo[Evento 
(2º Período)],tblEvento[[Evento]:[Libera o Período]],4,FALSE)="Não",TRUE,FALSE)),
-IF(VLOOKUP(tblHorasAgo[Dia],tblDiaUtil[[Abreviatura]:[2º Período]],4,FALSE)&lt;&gt;"",VLOOKUP(tblHorasAgo[Dia],tblDiaUtil[[Abreviatura]:[2º Período]],4,FALSE),JORNADA_PERIODO_2),0))))</f>
        <v>0</v>
      </c>
      <c r="O26" s="14">
        <f>IF(tblHorasAgo[Horas Trabalhadas Além Jornada]&gt;0,
        IF(ISNUMBER(tblHorasAgo[Jornada Diária]),
              IF(HOUR(tblHorasAgo[Horas Trabalhadas Além Jornada])&gt;=VLOOKUP(LIMITE,tblLimiteHora[],Tabelas!$I$1,FALSE),
                    VLOOKUP(LIMITE,tblLimiteHora[],Tabelas!$J$1,FALSE),
                    tblHorasAgo[Horas Trabalhadas Além Jornada]),
              tblHorasAgo[Horas Trabalhadas Além Jornada]),
        tblHorasAgo[Horas Trabalhadas Além Jornada])+O25</f>
        <v>0</v>
      </c>
      <c r="P26" s="14" t="str">
        <f>IF(tblHorasAgo[Horas Trabalhadas Além Jornada]&lt;0,IF(OR(tblHorasAgo[Evento 
(1º Período)]="",tblHorasAgo[Evento 
(2º Período)]=""),tblHorasAgo[Horas Trabalhadas Além Jornada],""),"")</f>
        <v/>
      </c>
      <c r="Q26" s="14" t="str">
        <f>IF(tblHorasAgo[Jornada Diária]&lt;&gt;"",IF((N(tblHorasAgo[Jornada Diária])-ABS(N(tblHorasAgo[Horas Trabalhadas Além Jornada])))=0,1,""),"")</f>
        <v/>
      </c>
      <c r="R26" s="14" t="str">
        <f>IF(tblHorasAgo[Horas Trabalhadas Além Jornada]&gt;0,
IF(AND(VLOOKUP(TEXT(tblHorasAgo[Data],"dddd"),tblDiaUtil[],3,FALSE)="Sim",IF(tblHorasAgo[Evento 
(1º Período)]&lt;&gt;"",IF(VLOOKUP(tblHorasAgo[Evento 
(1º Período)],tblEvento[],Tabelas!$E$1,FALSE)="Sim",FALSE,TRUE),TRUE),IF(tblHorasAgo[Evento 
(2º Período)]&lt;&gt;"",IF(VLOOKUP(tblHorasAgo[Evento 
(2º Período)],tblEvento[],Tabelas!$E$1,FALSE)="Sim",FALSE,TRUE),TRUE)),
tblHorasAgo[Horas Trabalhadas Além Jornada],""),"")</f>
        <v/>
      </c>
      <c r="S26" s="14" t="str">
        <f>IF(tblHorasAgo[Horas Trabalhadas Além Jornada]&gt;0,
IF(OR(VLOOKUP(TEXT(tblHorasAgo[Data],"dddd"),tblDiaUtil[],3,FALSE)="Não",IF(tblHorasAgo[Evento 
(1º Período)]&lt;&gt;"",IF(VLOOKUP(tblHorasAgo[Evento 
(1º Período)],tblEvento[],Tabelas!$E$1,FALSE)="Sim",TRUE,FALSE),FALSE),IF(tblHorasAgo[Evento 
(2º Período)]&lt;&gt;"",IF(VLOOKUP(tblHorasAgo[Evento 
(2º Período)],tblEvento[],Tabelas!$E$1,FALSE)="Sim",TRUE,FALSE),FALSE)),
tblHorasAgo[Horas Trabalhadas Além Jornada],""),"")</f>
        <v/>
      </c>
      <c r="T26" s="15" t="str">
        <f>IF(tblHorasAgo[Evento 
(1º Período)]&lt;&gt;""," - " &amp;VLOOKUP(tblHorasAgo[Evento 
(1º Período)],tblEvento[],Tabelas!$F$1,FALSE),"")&amp;IF(AND(tblHorasAgo[Evento 
(2º Período)]&lt;&gt;"",tblHorasAgo[Evento 
(2º Período)]&lt;&gt;tblHorasAgo[Evento 
(1º Período)])," - " &amp; VLOOKUP(tblHorasAgo[Evento 
(2º Período)],tblEvento[],Tabelas!$F$1,FALSE),"")</f>
        <v/>
      </c>
    </row>
    <row r="27" spans="2:20" x14ac:dyDescent="0.25">
      <c r="B27" s="11" t="str">
        <f t="shared" si="0"/>
        <v/>
      </c>
      <c r="C27" s="12" t="str">
        <f>TEXT(tblHorasAgo[Data],"ddd")</f>
        <v/>
      </c>
      <c r="D27" s="25"/>
      <c r="E27" s="1"/>
      <c r="F27" s="1"/>
      <c r="G27" s="1"/>
      <c r="H27" s="1"/>
      <c r="I27" s="53"/>
      <c r="J27" s="4">
        <f>IF($B$6&lt;&gt;"",
IF(AND(tblHorasAgo[Evento 
(1º Período)]&lt;&gt;"",IF(ISERROR(VLOOKUP(tblHorasAgo[Evento 
(1º Período)],tblEvento[],Tabelas!$D$1,FALSE)),FALSE,VLOOKUP(tblHorasAgo[Evento 
(1º Período)],tblEvento[],Tabelas!$D$1,FALSE)="Sim")),
        IF(JORNADA_PERIODO_1&lt;&gt;"",
IF(VLOOKUP(tblHorasAgo[Dia],tblDiaUtil[[Abreviatura]:[1º Período]],3,FALSE)&gt;0,VLOOKUP(tblHorasAgo[Dia],tblDiaUtil[[Abreviatura]:[1º Período]],3,FALSE),JORNADA_PERIODO_1),
IF(VLOOKUP(tblHorasAgo[Dia],tblDiaUtil[[Abreviatura]:[1º Período]],3,FALSE)&gt;0,VLOOKUP(tblHorasAgo[Dia],tblDiaUtil[[Abreviatura]:[1º Período]],3,FALSE),JORNADA/2)),
        IF(AND(ISNUMBER(tblHorasAgo[Saída - 1 (Almoço)]),ISNUMBER(tblHorasAgo[Entrada - 1])),
              IF(OR(AND(tblHorasAgo[Evento 
(1º Período)]&lt;&gt;"",IF(ISERROR(VLOOKUP(tblHorasAgo[Evento 
(1º Período)],tblEvento[],Tabelas!$E$1,FALSE)),FALSE,VLOOKUP(tblHorasAgo[Evento 
(1º Período)],tblEvento[],Tabelas!$E$1,FALSE)="Sim")),IF(VLOOKUP(TEXT(tblHorasAgo[Data],"dddd"),tblDiaUtil[],2,FALSE)="Não",TRUE,FALSE)),
                   tblHorasAgo[Saída - 1 (Almoço)]-tblHorasAgo[Entrada - 1],
                   IF(OR(HOUR(tblHorasAgo[Saída - 1 (Almoço)]-tblHorasAgo[Entrada - 1])&gt;0,ROUND(tblHorasAgo[Saída - 1 (Almoço)]-tblHorasAgo[Entrada - 1],6)&gt;ROUND(CARENCIA,6)),
                          tblHorasAgo[Saída - 1 (Almoço)]-tblHorasAgo[Entrada - 1],
                          0)),
                    0)),0)</f>
        <v>0</v>
      </c>
      <c r="K27" s="4">
        <f>IF($B$6&lt;&gt;"",
IF(AND(tblHorasAgo[Evento 
(2º Período)]&lt;&gt;"",IF(ISERROR(VLOOKUP(tblHorasAgo[Evento 
(2º Período)],tblEvento[],Tabelas!$D$1,FALSE)),FALSE,VLOOKUP(tblHorasAgo[Evento 
(2º Período)],tblEvento[],Tabelas!$D$1,FALSE)="Sim")),
        IF(JORNADA_PERIODO_2&lt;&gt;"",
IF(VLOOKUP(tblHorasAgo[Dia],tblDiaUtil[[Abreviatura]:[2º Período]],4,FALSE)&gt;0,VLOOKUP(tblHorasAgo[Dia],tblDiaUtil[[Abreviatura]:[2º Período]],4,FALSE),JORNADA_PERIODO_2),
IF(VLOOKUP(tblHorasAgo[Dia],tblDiaUtil[[Abreviatura]:[2º Período]],4,FALSE)&gt;0,VLOOKUP(tblHorasAgo[Dia],tblDiaUtil[[Abreviatura]:[2º Período]],4,FALSE),JORNADA/2)),
        IF(AND(ISNUMBER(tblHorasAgo[Saída - 2]),ISNUMBER(tblHorasAgo[Entrada - 2 (Almoço)])),
              IF(OR(AND(tblHorasAgo[Evento 
(2º Período)]&lt;&gt;"",IF(ISERROR(VLOOKUP(tblHorasAgo[Evento 
(2º Período)],tblEvento[],Tabelas!$E$1,FALSE)),FALSE,VLOOKUP(tblHorasAgo[Evento 
(2º Período)],tblEvento[],Tabelas!$E$1,FALSE)="Sim")),IF(VLOOKUP(TEXT(tblHorasAgo[Data],"dddd"),tblDiaUtil[],2,FALSE)="Não",TRUE,FALSE)),
                   tblHorasAgo[Saída - 2]-tblHorasAgo[Entrada - 2 (Almoço)],
                   IF(OR(HOUR(tblHorasAgo[Saída - 2]-tblHorasAgo[Entrada - 2 (Almoço)])&gt;0,MINUTE(tblHorasAgo[Saída - 2]-tblHorasAgo[Entrada - 2 (Almoço)])&gt;CARENCIA),
                         tblHorasAgo[Saída - 2]-tblHorasAgo[Entrada - 2 (Almoço)],
                         0)),
       0)),0)</f>
        <v>0</v>
      </c>
      <c r="L27" s="4">
        <f>tblHorasAgo[Horas Trabalhadas (1º Período)]+tblHorasAgo[Horas Trabalhadas (2º Período)]</f>
        <v>0</v>
      </c>
      <c r="M27" s="4" t="str">
        <f>IF(tblHorasAgo[Data]&lt;&gt;"",
        IF(
AND(VLOOKUP(TEXT(tblHorasAgo[Data],"dddd"),tblDiaUtil[],3,FALSE)="Sim",IF(tblHorasAgo[Evento 
(1º Período)]&lt;&gt;"",IF(VLOOKUP(tblHorasAgo[Evento 
(1º Período)],tblEvento[],Tabelas!$E$1,FALSE)="Sim",FALSE,TRUE),TRUE),IF(tblHorasAgo[Evento 
(2º Período)]&lt;&gt;"",IF(VLOOKUP(tblHorasAgo[Evento 
(2º Período)],tblEvento[],Tabelas!$E$1,FALSE)="Sim",FALSE,TRUE),TRUE)),
              IF(VLOOKUP(tblHorasAgo[Dia],tblDiaUtil[[Abreviatura]:[1º Período]],3,FALSE)&gt;0,VLOOKUP(tblHorasAgo[Dia],tblDiaUtil[[Abreviatura]:[1º Período]],3,FALSE),JORNADA),
              ""),
         "")</f>
        <v/>
      </c>
      <c r="N27" s="14">
        <f>IF(OR(tblHorasAgo[Horas Trabalhadas (1º Período)]&lt;&gt;0,tblHorasAgo[Horas Trabalhadas (2º Período)]&lt;&gt;0),
        IF(ISNUMBER(tblHorasAgo[Jornada Diária]),
              IF(tblHorasAgo[Jornada Diária]&gt;(tblHorasAgo[Horas Trabalhadas (2º Período)]+tblHorasAgo[Horas Trabalhadas (1º Período)]),
                     IF(ROUND((tblHorasAgo[Jornada Diária]-(tblHorasAgo[Horas Trabalhadas (2º Período)]+tblHorasAgo[Horas Trabalhadas (1º Período)])),6)&gt;ROUND(CARENCIA,6),
                           -tblHorasAgo[Jornada Diária]+(tblHorasAgo[Horas Trabalhadas (2º Período)]+tblHorasAgo[Horas Trabalhadas (1º Período)]),
                           0),
                      IF(ROUND((tblHorasAgo[Jornada Diária]-(tblHorasAgo[Horas Trabalhadas (2º Período)]+tblHorasAgo[Horas Trabalhadas (1º Período)])),6)&lt;ROUND(-CARENCIA,6),
                           -tblHorasAgo[Jornada Diária]+(tblHorasAgo[Horas Trabalhadas (2º Período)]+tblHorasAgo[Horas Trabalhadas (1º Período)]),
                           0)),
              tblHorasAgo[Horas Trabalhadas (2º Período)]+tblHorasAgo[Horas Trabalhadas (1º Período)]),
         IF(AND(IF(ISERROR(VLOOKUP(tblHorasAgo[Evento 
(1º Período)],tblEvento[[Evento]:[Libera o Período]],4,FALSE)),FALSE,IF(VLOOKUP(tblHorasAgo[Evento 
(1º Período)],tblEvento[[Evento]:[Libera o Período]],4,FALSE)="Não",TRUE,FALSE)),IF(ISERROR(VLOOKUP(tblHorasAgo[Evento 
(2º Período)],tblEvento[[Evento]:[Libera o Período]],4,FALSE)),FALSE,IF(VLOOKUP(tblHorasAgo[Evento 
(2º Período)],tblEvento[[Evento]:[Libera o Período]],4,FALSE)="Não",TRUE,FALSE))),
-IF(VLOOKUP(tblHorasAgo[Dia],tblDiaUtil[[Abreviatura]:[Total Jornada]],5,FALSE)&lt;&gt;"",VLOOKUP(tblHorasAgo[Dia],tblDiaUtil[[Abreviatura]:[Total Jornada]],5,FALSE),JORNADA),
IF(IF(ISERROR(VLOOKUP(tblHorasAgo[Evento 
(1º Período)],tblEvento[[Evento]:[Libera o Período]],4,FALSE)),FALSE,
IF(VLOOKUP(tblHorasAgo[Evento 
(1º Período)],tblEvento[[Evento]:[Libera o Período]],4,FALSE)="Não",TRUE,FALSE)
),
-IF(VLOOKUP(tblHorasAgo[Dia],tblDiaUtil[[Abreviatura]:[1º Período]],3,FALSE)&lt;&gt;"",VLOOKUP(tblHorasAgo[Dia],tblDiaUtil[[Abreviatura]:[1º Período]],3,FALSE),JORNADA_PERIODO_1),
IF(IF(ISERROR(VLOOKUP(tblHorasAgo[Evento 
(2º Período)],tblEvento[[Evento]:[Libera o Período]],4,FALSE)),FALSE,IF(VLOOKUP(tblHorasAgo[Evento 
(2º Período)],tblEvento[[Evento]:[Libera o Período]],4,FALSE)="Não",TRUE,FALSE)),
-IF(VLOOKUP(tblHorasAgo[Dia],tblDiaUtil[[Abreviatura]:[2º Período]],4,FALSE)&lt;&gt;"",VLOOKUP(tblHorasAgo[Dia],tblDiaUtil[[Abreviatura]:[2º Período]],4,FALSE),JORNADA_PERIODO_2),0))))</f>
        <v>0</v>
      </c>
      <c r="O27" s="14">
        <f>IF(tblHorasAgo[Horas Trabalhadas Além Jornada]&gt;0,
        IF(ISNUMBER(tblHorasAgo[Jornada Diária]),
              IF(HOUR(tblHorasAgo[Horas Trabalhadas Além Jornada])&gt;=VLOOKUP(LIMITE,tblLimiteHora[],Tabelas!$I$1,FALSE),
                    VLOOKUP(LIMITE,tblLimiteHora[],Tabelas!$J$1,FALSE),
                    tblHorasAgo[Horas Trabalhadas Além Jornada]),
              tblHorasAgo[Horas Trabalhadas Além Jornada]),
        tblHorasAgo[Horas Trabalhadas Além Jornada])+O26</f>
        <v>0</v>
      </c>
      <c r="P27" s="14" t="str">
        <f>IF(tblHorasAgo[Horas Trabalhadas Além Jornada]&lt;0,IF(OR(tblHorasAgo[Evento 
(1º Período)]="",tblHorasAgo[Evento 
(2º Período)]=""),tblHorasAgo[Horas Trabalhadas Além Jornada],""),"")</f>
        <v/>
      </c>
      <c r="Q27" s="14" t="str">
        <f>IF(tblHorasAgo[Jornada Diária]&lt;&gt;"",IF((N(tblHorasAgo[Jornada Diária])-ABS(N(tblHorasAgo[Horas Trabalhadas Além Jornada])))=0,1,""),"")</f>
        <v/>
      </c>
      <c r="R27" s="14" t="str">
        <f>IF(tblHorasAgo[Horas Trabalhadas Além Jornada]&gt;0,
IF(AND(VLOOKUP(TEXT(tblHorasAgo[Data],"dddd"),tblDiaUtil[],3,FALSE)="Sim",IF(tblHorasAgo[Evento 
(1º Período)]&lt;&gt;"",IF(VLOOKUP(tblHorasAgo[Evento 
(1º Período)],tblEvento[],Tabelas!$E$1,FALSE)="Sim",FALSE,TRUE),TRUE),IF(tblHorasAgo[Evento 
(2º Período)]&lt;&gt;"",IF(VLOOKUP(tblHorasAgo[Evento 
(2º Período)],tblEvento[],Tabelas!$E$1,FALSE)="Sim",FALSE,TRUE),TRUE)),
tblHorasAgo[Horas Trabalhadas Além Jornada],""),"")</f>
        <v/>
      </c>
      <c r="S27" s="14" t="str">
        <f>IF(tblHorasAgo[Horas Trabalhadas Além Jornada]&gt;0,
IF(OR(VLOOKUP(TEXT(tblHorasAgo[Data],"dddd"),tblDiaUtil[],3,FALSE)="Não",IF(tblHorasAgo[Evento 
(1º Período)]&lt;&gt;"",IF(VLOOKUP(tblHorasAgo[Evento 
(1º Período)],tblEvento[],Tabelas!$E$1,FALSE)="Sim",TRUE,FALSE),FALSE),IF(tblHorasAgo[Evento 
(2º Período)]&lt;&gt;"",IF(VLOOKUP(tblHorasAgo[Evento 
(2º Período)],tblEvento[],Tabelas!$E$1,FALSE)="Sim",TRUE,FALSE),FALSE)),
tblHorasAgo[Horas Trabalhadas Além Jornada],""),"")</f>
        <v/>
      </c>
      <c r="T27" s="15" t="str">
        <f>IF(tblHorasAgo[Evento 
(1º Período)]&lt;&gt;""," - " &amp;VLOOKUP(tblHorasAgo[Evento 
(1º Período)],tblEvento[],Tabelas!$F$1,FALSE),"")&amp;IF(AND(tblHorasAgo[Evento 
(2º Período)]&lt;&gt;"",tblHorasAgo[Evento 
(2º Período)]&lt;&gt;tblHorasAgo[Evento 
(1º Período)])," - " &amp; VLOOKUP(tblHorasAgo[Evento 
(2º Período)],tblEvento[],Tabelas!$F$1,FALSE),"")</f>
        <v/>
      </c>
    </row>
    <row r="28" spans="2:20" x14ac:dyDescent="0.25">
      <c r="B28" s="11" t="str">
        <f t="shared" si="0"/>
        <v/>
      </c>
      <c r="C28" s="12" t="str">
        <f>TEXT(tblHorasAgo[Data],"ddd")</f>
        <v/>
      </c>
      <c r="D28" s="25"/>
      <c r="E28" s="1"/>
      <c r="F28" s="1"/>
      <c r="G28" s="1"/>
      <c r="H28" s="1"/>
      <c r="I28" s="53"/>
      <c r="J28" s="4">
        <f>IF($B$6&lt;&gt;"",
IF(AND(tblHorasAgo[Evento 
(1º Período)]&lt;&gt;"",IF(ISERROR(VLOOKUP(tblHorasAgo[Evento 
(1º Período)],tblEvento[],Tabelas!$D$1,FALSE)),FALSE,VLOOKUP(tblHorasAgo[Evento 
(1º Período)],tblEvento[],Tabelas!$D$1,FALSE)="Sim")),
        IF(JORNADA_PERIODO_1&lt;&gt;"",
IF(VLOOKUP(tblHorasAgo[Dia],tblDiaUtil[[Abreviatura]:[1º Período]],3,FALSE)&gt;0,VLOOKUP(tblHorasAgo[Dia],tblDiaUtil[[Abreviatura]:[1º Período]],3,FALSE),JORNADA_PERIODO_1),
IF(VLOOKUP(tblHorasAgo[Dia],tblDiaUtil[[Abreviatura]:[1º Período]],3,FALSE)&gt;0,VLOOKUP(tblHorasAgo[Dia],tblDiaUtil[[Abreviatura]:[1º Período]],3,FALSE),JORNADA/2)),
        IF(AND(ISNUMBER(tblHorasAgo[Saída - 1 (Almoço)]),ISNUMBER(tblHorasAgo[Entrada - 1])),
              IF(OR(AND(tblHorasAgo[Evento 
(1º Período)]&lt;&gt;"",IF(ISERROR(VLOOKUP(tblHorasAgo[Evento 
(1º Período)],tblEvento[],Tabelas!$E$1,FALSE)),FALSE,VLOOKUP(tblHorasAgo[Evento 
(1º Período)],tblEvento[],Tabelas!$E$1,FALSE)="Sim")),IF(VLOOKUP(TEXT(tblHorasAgo[Data],"dddd"),tblDiaUtil[],2,FALSE)="Não",TRUE,FALSE)),
                   tblHorasAgo[Saída - 1 (Almoço)]-tblHorasAgo[Entrada - 1],
                   IF(OR(HOUR(tblHorasAgo[Saída - 1 (Almoço)]-tblHorasAgo[Entrada - 1])&gt;0,ROUND(tblHorasAgo[Saída - 1 (Almoço)]-tblHorasAgo[Entrada - 1],6)&gt;ROUND(CARENCIA,6)),
                          tblHorasAgo[Saída - 1 (Almoço)]-tblHorasAgo[Entrada - 1],
                          0)),
                    0)),0)</f>
        <v>0</v>
      </c>
      <c r="K28" s="4">
        <f>IF($B$6&lt;&gt;"",
IF(AND(tblHorasAgo[Evento 
(2º Período)]&lt;&gt;"",IF(ISERROR(VLOOKUP(tblHorasAgo[Evento 
(2º Período)],tblEvento[],Tabelas!$D$1,FALSE)),FALSE,VLOOKUP(tblHorasAgo[Evento 
(2º Período)],tblEvento[],Tabelas!$D$1,FALSE)="Sim")),
        IF(JORNADA_PERIODO_2&lt;&gt;"",
IF(VLOOKUP(tblHorasAgo[Dia],tblDiaUtil[[Abreviatura]:[2º Período]],4,FALSE)&gt;0,VLOOKUP(tblHorasAgo[Dia],tblDiaUtil[[Abreviatura]:[2º Período]],4,FALSE),JORNADA_PERIODO_2),
IF(VLOOKUP(tblHorasAgo[Dia],tblDiaUtil[[Abreviatura]:[2º Período]],4,FALSE)&gt;0,VLOOKUP(tblHorasAgo[Dia],tblDiaUtil[[Abreviatura]:[2º Período]],4,FALSE),JORNADA/2)),
        IF(AND(ISNUMBER(tblHorasAgo[Saída - 2]),ISNUMBER(tblHorasAgo[Entrada - 2 (Almoço)])),
              IF(OR(AND(tblHorasAgo[Evento 
(2º Período)]&lt;&gt;"",IF(ISERROR(VLOOKUP(tblHorasAgo[Evento 
(2º Período)],tblEvento[],Tabelas!$E$1,FALSE)),FALSE,VLOOKUP(tblHorasAgo[Evento 
(2º Período)],tblEvento[],Tabelas!$E$1,FALSE)="Sim")),IF(VLOOKUP(TEXT(tblHorasAgo[Data],"dddd"),tblDiaUtil[],2,FALSE)="Não",TRUE,FALSE)),
                   tblHorasAgo[Saída - 2]-tblHorasAgo[Entrada - 2 (Almoço)],
                   IF(OR(HOUR(tblHorasAgo[Saída - 2]-tblHorasAgo[Entrada - 2 (Almoço)])&gt;0,MINUTE(tblHorasAgo[Saída - 2]-tblHorasAgo[Entrada - 2 (Almoço)])&gt;CARENCIA),
                         tblHorasAgo[Saída - 2]-tblHorasAgo[Entrada - 2 (Almoço)],
                         0)),
       0)),0)</f>
        <v>0</v>
      </c>
      <c r="L28" s="4">
        <f>tblHorasAgo[Horas Trabalhadas (1º Período)]+tblHorasAgo[Horas Trabalhadas (2º Período)]</f>
        <v>0</v>
      </c>
      <c r="M28" s="4" t="str">
        <f>IF(tblHorasAgo[Data]&lt;&gt;"",
        IF(
AND(VLOOKUP(TEXT(tblHorasAgo[Data],"dddd"),tblDiaUtil[],3,FALSE)="Sim",IF(tblHorasAgo[Evento 
(1º Período)]&lt;&gt;"",IF(VLOOKUP(tblHorasAgo[Evento 
(1º Período)],tblEvento[],Tabelas!$E$1,FALSE)="Sim",FALSE,TRUE),TRUE),IF(tblHorasAgo[Evento 
(2º Período)]&lt;&gt;"",IF(VLOOKUP(tblHorasAgo[Evento 
(2º Período)],tblEvento[],Tabelas!$E$1,FALSE)="Sim",FALSE,TRUE),TRUE)),
              IF(VLOOKUP(tblHorasAgo[Dia],tblDiaUtil[[Abreviatura]:[1º Período]],3,FALSE)&gt;0,VLOOKUP(tblHorasAgo[Dia],tblDiaUtil[[Abreviatura]:[1º Período]],3,FALSE),JORNADA),
              ""),
         "")</f>
        <v/>
      </c>
      <c r="N28" s="14">
        <f>IF(OR(tblHorasAgo[Horas Trabalhadas (1º Período)]&lt;&gt;0,tblHorasAgo[Horas Trabalhadas (2º Período)]&lt;&gt;0),
        IF(ISNUMBER(tblHorasAgo[Jornada Diária]),
              IF(tblHorasAgo[Jornada Diária]&gt;(tblHorasAgo[Horas Trabalhadas (2º Período)]+tblHorasAgo[Horas Trabalhadas (1º Período)]),
                     IF(ROUND((tblHorasAgo[Jornada Diária]-(tblHorasAgo[Horas Trabalhadas (2º Período)]+tblHorasAgo[Horas Trabalhadas (1º Período)])),6)&gt;ROUND(CARENCIA,6),
                           -tblHorasAgo[Jornada Diária]+(tblHorasAgo[Horas Trabalhadas (2º Período)]+tblHorasAgo[Horas Trabalhadas (1º Período)]),
                           0),
                      IF(ROUND((tblHorasAgo[Jornada Diária]-(tblHorasAgo[Horas Trabalhadas (2º Período)]+tblHorasAgo[Horas Trabalhadas (1º Período)])),6)&lt;ROUND(-CARENCIA,6),
                           -tblHorasAgo[Jornada Diária]+(tblHorasAgo[Horas Trabalhadas (2º Período)]+tblHorasAgo[Horas Trabalhadas (1º Período)]),
                           0)),
              tblHorasAgo[Horas Trabalhadas (2º Período)]+tblHorasAgo[Horas Trabalhadas (1º Período)]),
         IF(AND(IF(ISERROR(VLOOKUP(tblHorasAgo[Evento 
(1º Período)],tblEvento[[Evento]:[Libera o Período]],4,FALSE)),FALSE,IF(VLOOKUP(tblHorasAgo[Evento 
(1º Período)],tblEvento[[Evento]:[Libera o Período]],4,FALSE)="Não",TRUE,FALSE)),IF(ISERROR(VLOOKUP(tblHorasAgo[Evento 
(2º Período)],tblEvento[[Evento]:[Libera o Período]],4,FALSE)),FALSE,IF(VLOOKUP(tblHorasAgo[Evento 
(2º Período)],tblEvento[[Evento]:[Libera o Período]],4,FALSE)="Não",TRUE,FALSE))),
-IF(VLOOKUP(tblHorasAgo[Dia],tblDiaUtil[[Abreviatura]:[Total Jornada]],5,FALSE)&lt;&gt;"",VLOOKUP(tblHorasAgo[Dia],tblDiaUtil[[Abreviatura]:[Total Jornada]],5,FALSE),JORNADA),
IF(IF(ISERROR(VLOOKUP(tblHorasAgo[Evento 
(1º Período)],tblEvento[[Evento]:[Libera o Período]],4,FALSE)),FALSE,
IF(VLOOKUP(tblHorasAgo[Evento 
(1º Período)],tblEvento[[Evento]:[Libera o Período]],4,FALSE)="Não",TRUE,FALSE)
),
-IF(VLOOKUP(tblHorasAgo[Dia],tblDiaUtil[[Abreviatura]:[1º Período]],3,FALSE)&lt;&gt;"",VLOOKUP(tblHorasAgo[Dia],tblDiaUtil[[Abreviatura]:[1º Período]],3,FALSE),JORNADA_PERIODO_1),
IF(IF(ISERROR(VLOOKUP(tblHorasAgo[Evento 
(2º Período)],tblEvento[[Evento]:[Libera o Período]],4,FALSE)),FALSE,IF(VLOOKUP(tblHorasAgo[Evento 
(2º Período)],tblEvento[[Evento]:[Libera o Período]],4,FALSE)="Não",TRUE,FALSE)),
-IF(VLOOKUP(tblHorasAgo[Dia],tblDiaUtil[[Abreviatura]:[2º Período]],4,FALSE)&lt;&gt;"",VLOOKUP(tblHorasAgo[Dia],tblDiaUtil[[Abreviatura]:[2º Período]],4,FALSE),JORNADA_PERIODO_2),0))))</f>
        <v>0</v>
      </c>
      <c r="O28" s="14">
        <f>IF(tblHorasAgo[Horas Trabalhadas Além Jornada]&gt;0,
        IF(ISNUMBER(tblHorasAgo[Jornada Diária]),
              IF(HOUR(tblHorasAgo[Horas Trabalhadas Além Jornada])&gt;=VLOOKUP(LIMITE,tblLimiteHora[],Tabelas!$I$1,FALSE),
                    VLOOKUP(LIMITE,tblLimiteHora[],Tabelas!$J$1,FALSE),
                    tblHorasAgo[Horas Trabalhadas Além Jornada]),
              tblHorasAgo[Horas Trabalhadas Além Jornada]),
        tblHorasAgo[Horas Trabalhadas Além Jornada])+O27</f>
        <v>0</v>
      </c>
      <c r="P28" s="14" t="str">
        <f>IF(tblHorasAgo[Horas Trabalhadas Além Jornada]&lt;0,IF(OR(tblHorasAgo[Evento 
(1º Período)]="",tblHorasAgo[Evento 
(2º Período)]=""),tblHorasAgo[Horas Trabalhadas Além Jornada],""),"")</f>
        <v/>
      </c>
      <c r="Q28" s="14" t="str">
        <f>IF(tblHorasAgo[Jornada Diária]&lt;&gt;"",IF((N(tblHorasAgo[Jornada Diária])-ABS(N(tblHorasAgo[Horas Trabalhadas Além Jornada])))=0,1,""),"")</f>
        <v/>
      </c>
      <c r="R28" s="14" t="str">
        <f>IF(tblHorasAgo[Horas Trabalhadas Além Jornada]&gt;0,
IF(AND(VLOOKUP(TEXT(tblHorasAgo[Data],"dddd"),tblDiaUtil[],3,FALSE)="Sim",IF(tblHorasAgo[Evento 
(1º Período)]&lt;&gt;"",IF(VLOOKUP(tblHorasAgo[Evento 
(1º Período)],tblEvento[],Tabelas!$E$1,FALSE)="Sim",FALSE,TRUE),TRUE),IF(tblHorasAgo[Evento 
(2º Período)]&lt;&gt;"",IF(VLOOKUP(tblHorasAgo[Evento 
(2º Período)],tblEvento[],Tabelas!$E$1,FALSE)="Sim",FALSE,TRUE),TRUE)),
tblHorasAgo[Horas Trabalhadas Além Jornada],""),"")</f>
        <v/>
      </c>
      <c r="S28" s="14" t="str">
        <f>IF(tblHorasAgo[Horas Trabalhadas Além Jornada]&gt;0,
IF(OR(VLOOKUP(TEXT(tblHorasAgo[Data],"dddd"),tblDiaUtil[],3,FALSE)="Não",IF(tblHorasAgo[Evento 
(1º Período)]&lt;&gt;"",IF(VLOOKUP(tblHorasAgo[Evento 
(1º Período)],tblEvento[],Tabelas!$E$1,FALSE)="Sim",TRUE,FALSE),FALSE),IF(tblHorasAgo[Evento 
(2º Período)]&lt;&gt;"",IF(VLOOKUP(tblHorasAgo[Evento 
(2º Período)],tblEvento[],Tabelas!$E$1,FALSE)="Sim",TRUE,FALSE),FALSE)),
tblHorasAgo[Horas Trabalhadas Além Jornada],""),"")</f>
        <v/>
      </c>
      <c r="T28" s="15" t="str">
        <f>IF(tblHorasAgo[Evento 
(1º Período)]&lt;&gt;""," - " &amp;VLOOKUP(tblHorasAgo[Evento 
(1º Período)],tblEvento[],Tabelas!$F$1,FALSE),"")&amp;IF(AND(tblHorasAgo[Evento 
(2º Período)]&lt;&gt;"",tblHorasAgo[Evento 
(2º Período)]&lt;&gt;tblHorasAgo[Evento 
(1º Período)])," - " &amp; VLOOKUP(tblHorasAgo[Evento 
(2º Período)],tblEvento[],Tabelas!$F$1,FALSE),"")</f>
        <v/>
      </c>
    </row>
    <row r="29" spans="2:20" x14ac:dyDescent="0.25">
      <c r="B29" s="11" t="str">
        <f t="shared" si="0"/>
        <v/>
      </c>
      <c r="C29" s="12" t="str">
        <f>TEXT(tblHorasAgo[Data],"ddd")</f>
        <v/>
      </c>
      <c r="D29" s="25"/>
      <c r="E29" s="1"/>
      <c r="F29" s="1"/>
      <c r="G29" s="1"/>
      <c r="H29" s="1"/>
      <c r="I29" s="53"/>
      <c r="J29" s="4">
        <f>IF($B$6&lt;&gt;"",
IF(AND(tblHorasAgo[Evento 
(1º Período)]&lt;&gt;"",IF(ISERROR(VLOOKUP(tblHorasAgo[Evento 
(1º Período)],tblEvento[],Tabelas!$D$1,FALSE)),FALSE,VLOOKUP(tblHorasAgo[Evento 
(1º Período)],tblEvento[],Tabelas!$D$1,FALSE)="Sim")),
        IF(JORNADA_PERIODO_1&lt;&gt;"",
IF(VLOOKUP(tblHorasAgo[Dia],tblDiaUtil[[Abreviatura]:[1º Período]],3,FALSE)&gt;0,VLOOKUP(tblHorasAgo[Dia],tblDiaUtil[[Abreviatura]:[1º Período]],3,FALSE),JORNADA_PERIODO_1),
IF(VLOOKUP(tblHorasAgo[Dia],tblDiaUtil[[Abreviatura]:[1º Período]],3,FALSE)&gt;0,VLOOKUP(tblHorasAgo[Dia],tblDiaUtil[[Abreviatura]:[1º Período]],3,FALSE),JORNADA/2)),
        IF(AND(ISNUMBER(tblHorasAgo[Saída - 1 (Almoço)]),ISNUMBER(tblHorasAgo[Entrada - 1])),
              IF(OR(AND(tblHorasAgo[Evento 
(1º Período)]&lt;&gt;"",IF(ISERROR(VLOOKUP(tblHorasAgo[Evento 
(1º Período)],tblEvento[],Tabelas!$E$1,FALSE)),FALSE,VLOOKUP(tblHorasAgo[Evento 
(1º Período)],tblEvento[],Tabelas!$E$1,FALSE)="Sim")),IF(VLOOKUP(TEXT(tblHorasAgo[Data],"dddd"),tblDiaUtil[],2,FALSE)="Não",TRUE,FALSE)),
                   tblHorasAgo[Saída - 1 (Almoço)]-tblHorasAgo[Entrada - 1],
                   IF(OR(HOUR(tblHorasAgo[Saída - 1 (Almoço)]-tblHorasAgo[Entrada - 1])&gt;0,ROUND(tblHorasAgo[Saída - 1 (Almoço)]-tblHorasAgo[Entrada - 1],6)&gt;ROUND(CARENCIA,6)),
                          tblHorasAgo[Saída - 1 (Almoço)]-tblHorasAgo[Entrada - 1],
                          0)),
                    0)),0)</f>
        <v>0</v>
      </c>
      <c r="K29" s="4">
        <f>IF($B$6&lt;&gt;"",
IF(AND(tblHorasAgo[Evento 
(2º Período)]&lt;&gt;"",IF(ISERROR(VLOOKUP(tblHorasAgo[Evento 
(2º Período)],tblEvento[],Tabelas!$D$1,FALSE)),FALSE,VLOOKUP(tblHorasAgo[Evento 
(2º Período)],tblEvento[],Tabelas!$D$1,FALSE)="Sim")),
        IF(JORNADA_PERIODO_2&lt;&gt;"",
IF(VLOOKUP(tblHorasAgo[Dia],tblDiaUtil[[Abreviatura]:[2º Período]],4,FALSE)&gt;0,VLOOKUP(tblHorasAgo[Dia],tblDiaUtil[[Abreviatura]:[2º Período]],4,FALSE),JORNADA_PERIODO_2),
IF(VLOOKUP(tblHorasAgo[Dia],tblDiaUtil[[Abreviatura]:[2º Período]],4,FALSE)&gt;0,VLOOKUP(tblHorasAgo[Dia],tblDiaUtil[[Abreviatura]:[2º Período]],4,FALSE),JORNADA/2)),
        IF(AND(ISNUMBER(tblHorasAgo[Saída - 2]),ISNUMBER(tblHorasAgo[Entrada - 2 (Almoço)])),
              IF(OR(AND(tblHorasAgo[Evento 
(2º Período)]&lt;&gt;"",IF(ISERROR(VLOOKUP(tblHorasAgo[Evento 
(2º Período)],tblEvento[],Tabelas!$E$1,FALSE)),FALSE,VLOOKUP(tblHorasAgo[Evento 
(2º Período)],tblEvento[],Tabelas!$E$1,FALSE)="Sim")),IF(VLOOKUP(TEXT(tblHorasAgo[Data],"dddd"),tblDiaUtil[],2,FALSE)="Não",TRUE,FALSE)),
                   tblHorasAgo[Saída - 2]-tblHorasAgo[Entrada - 2 (Almoço)],
                   IF(OR(HOUR(tblHorasAgo[Saída - 2]-tblHorasAgo[Entrada - 2 (Almoço)])&gt;0,MINUTE(tblHorasAgo[Saída - 2]-tblHorasAgo[Entrada - 2 (Almoço)])&gt;CARENCIA),
                         tblHorasAgo[Saída - 2]-tblHorasAgo[Entrada - 2 (Almoço)],
                         0)),
       0)),0)</f>
        <v>0</v>
      </c>
      <c r="L29" s="4">
        <f>tblHorasAgo[Horas Trabalhadas (1º Período)]+tblHorasAgo[Horas Trabalhadas (2º Período)]</f>
        <v>0</v>
      </c>
      <c r="M29" s="4" t="str">
        <f>IF(tblHorasAgo[Data]&lt;&gt;"",
        IF(
AND(VLOOKUP(TEXT(tblHorasAgo[Data],"dddd"),tblDiaUtil[],3,FALSE)="Sim",IF(tblHorasAgo[Evento 
(1º Período)]&lt;&gt;"",IF(VLOOKUP(tblHorasAgo[Evento 
(1º Período)],tblEvento[],Tabelas!$E$1,FALSE)="Sim",FALSE,TRUE),TRUE),IF(tblHorasAgo[Evento 
(2º Período)]&lt;&gt;"",IF(VLOOKUP(tblHorasAgo[Evento 
(2º Período)],tblEvento[],Tabelas!$E$1,FALSE)="Sim",FALSE,TRUE),TRUE)),
              IF(VLOOKUP(tblHorasAgo[Dia],tblDiaUtil[[Abreviatura]:[1º Período]],3,FALSE)&gt;0,VLOOKUP(tblHorasAgo[Dia],tblDiaUtil[[Abreviatura]:[1º Período]],3,FALSE),JORNADA),
              ""),
         "")</f>
        <v/>
      </c>
      <c r="N29" s="14">
        <f>IF(OR(tblHorasAgo[Horas Trabalhadas (1º Período)]&lt;&gt;0,tblHorasAgo[Horas Trabalhadas (2º Período)]&lt;&gt;0),
        IF(ISNUMBER(tblHorasAgo[Jornada Diária]),
              IF(tblHorasAgo[Jornada Diária]&gt;(tblHorasAgo[Horas Trabalhadas (2º Período)]+tblHorasAgo[Horas Trabalhadas (1º Período)]),
                     IF(ROUND((tblHorasAgo[Jornada Diária]-(tblHorasAgo[Horas Trabalhadas (2º Período)]+tblHorasAgo[Horas Trabalhadas (1º Período)])),6)&gt;ROUND(CARENCIA,6),
                           -tblHorasAgo[Jornada Diária]+(tblHorasAgo[Horas Trabalhadas (2º Período)]+tblHorasAgo[Horas Trabalhadas (1º Período)]),
                           0),
                      IF(ROUND((tblHorasAgo[Jornada Diária]-(tblHorasAgo[Horas Trabalhadas (2º Período)]+tblHorasAgo[Horas Trabalhadas (1º Período)])),6)&lt;ROUND(-CARENCIA,6),
                           -tblHorasAgo[Jornada Diária]+(tblHorasAgo[Horas Trabalhadas (2º Período)]+tblHorasAgo[Horas Trabalhadas (1º Período)]),
                           0)),
              tblHorasAgo[Horas Trabalhadas (2º Período)]+tblHorasAgo[Horas Trabalhadas (1º Período)]),
         IF(AND(IF(ISERROR(VLOOKUP(tblHorasAgo[Evento 
(1º Período)],tblEvento[[Evento]:[Libera o Período]],4,FALSE)),FALSE,IF(VLOOKUP(tblHorasAgo[Evento 
(1º Período)],tblEvento[[Evento]:[Libera o Período]],4,FALSE)="Não",TRUE,FALSE)),IF(ISERROR(VLOOKUP(tblHorasAgo[Evento 
(2º Período)],tblEvento[[Evento]:[Libera o Período]],4,FALSE)),FALSE,IF(VLOOKUP(tblHorasAgo[Evento 
(2º Período)],tblEvento[[Evento]:[Libera o Período]],4,FALSE)="Não",TRUE,FALSE))),
-IF(VLOOKUP(tblHorasAgo[Dia],tblDiaUtil[[Abreviatura]:[Total Jornada]],5,FALSE)&lt;&gt;"",VLOOKUP(tblHorasAgo[Dia],tblDiaUtil[[Abreviatura]:[Total Jornada]],5,FALSE),JORNADA),
IF(IF(ISERROR(VLOOKUP(tblHorasAgo[Evento 
(1º Período)],tblEvento[[Evento]:[Libera o Período]],4,FALSE)),FALSE,
IF(VLOOKUP(tblHorasAgo[Evento 
(1º Período)],tblEvento[[Evento]:[Libera o Período]],4,FALSE)="Não",TRUE,FALSE)
),
-IF(VLOOKUP(tblHorasAgo[Dia],tblDiaUtil[[Abreviatura]:[1º Período]],3,FALSE)&lt;&gt;"",VLOOKUP(tblHorasAgo[Dia],tblDiaUtil[[Abreviatura]:[1º Período]],3,FALSE),JORNADA_PERIODO_1),
IF(IF(ISERROR(VLOOKUP(tblHorasAgo[Evento 
(2º Período)],tblEvento[[Evento]:[Libera o Período]],4,FALSE)),FALSE,IF(VLOOKUP(tblHorasAgo[Evento 
(2º Período)],tblEvento[[Evento]:[Libera o Período]],4,FALSE)="Não",TRUE,FALSE)),
-IF(VLOOKUP(tblHorasAgo[Dia],tblDiaUtil[[Abreviatura]:[2º Período]],4,FALSE)&lt;&gt;"",VLOOKUP(tblHorasAgo[Dia],tblDiaUtil[[Abreviatura]:[2º Período]],4,FALSE),JORNADA_PERIODO_2),0))))</f>
        <v>0</v>
      </c>
      <c r="O29" s="14">
        <f>IF(tblHorasAgo[Horas Trabalhadas Além Jornada]&gt;0,
        IF(ISNUMBER(tblHorasAgo[Jornada Diária]),
              IF(HOUR(tblHorasAgo[Horas Trabalhadas Além Jornada])&gt;=VLOOKUP(LIMITE,tblLimiteHora[],Tabelas!$I$1,FALSE),
                    VLOOKUP(LIMITE,tblLimiteHora[],Tabelas!$J$1,FALSE),
                    tblHorasAgo[Horas Trabalhadas Além Jornada]),
              tblHorasAgo[Horas Trabalhadas Além Jornada]),
        tblHorasAgo[Horas Trabalhadas Além Jornada])+O28</f>
        <v>0</v>
      </c>
      <c r="P29" s="14" t="str">
        <f>IF(tblHorasAgo[Horas Trabalhadas Além Jornada]&lt;0,IF(OR(tblHorasAgo[Evento 
(1º Período)]="",tblHorasAgo[Evento 
(2º Período)]=""),tblHorasAgo[Horas Trabalhadas Além Jornada],""),"")</f>
        <v/>
      </c>
      <c r="Q29" s="14" t="str">
        <f>IF(tblHorasAgo[Jornada Diária]&lt;&gt;"",IF((N(tblHorasAgo[Jornada Diária])-ABS(N(tblHorasAgo[Horas Trabalhadas Além Jornada])))=0,1,""),"")</f>
        <v/>
      </c>
      <c r="R29" s="14" t="str">
        <f>IF(tblHorasAgo[Horas Trabalhadas Além Jornada]&gt;0,
IF(AND(VLOOKUP(TEXT(tblHorasAgo[Data],"dddd"),tblDiaUtil[],3,FALSE)="Sim",IF(tblHorasAgo[Evento 
(1º Período)]&lt;&gt;"",IF(VLOOKUP(tblHorasAgo[Evento 
(1º Período)],tblEvento[],Tabelas!$E$1,FALSE)="Sim",FALSE,TRUE),TRUE),IF(tblHorasAgo[Evento 
(2º Período)]&lt;&gt;"",IF(VLOOKUP(tblHorasAgo[Evento 
(2º Período)],tblEvento[],Tabelas!$E$1,FALSE)="Sim",FALSE,TRUE),TRUE)),
tblHorasAgo[Horas Trabalhadas Além Jornada],""),"")</f>
        <v/>
      </c>
      <c r="S29" s="14" t="str">
        <f>IF(tblHorasAgo[Horas Trabalhadas Além Jornada]&gt;0,
IF(OR(VLOOKUP(TEXT(tblHorasAgo[Data],"dddd"),tblDiaUtil[],3,FALSE)="Não",IF(tblHorasAgo[Evento 
(1º Período)]&lt;&gt;"",IF(VLOOKUP(tblHorasAgo[Evento 
(1º Período)],tblEvento[],Tabelas!$E$1,FALSE)="Sim",TRUE,FALSE),FALSE),IF(tblHorasAgo[Evento 
(2º Período)]&lt;&gt;"",IF(VLOOKUP(tblHorasAgo[Evento 
(2º Período)],tblEvento[],Tabelas!$E$1,FALSE)="Sim",TRUE,FALSE),FALSE)),
tblHorasAgo[Horas Trabalhadas Além Jornada],""),"")</f>
        <v/>
      </c>
      <c r="T29" s="15" t="str">
        <f>IF(tblHorasAgo[Evento 
(1º Período)]&lt;&gt;""," - " &amp;VLOOKUP(tblHorasAgo[Evento 
(1º Período)],tblEvento[],Tabelas!$F$1,FALSE),"")&amp;IF(AND(tblHorasAgo[Evento 
(2º Período)]&lt;&gt;"",tblHorasAgo[Evento 
(2º Período)]&lt;&gt;tblHorasAgo[Evento 
(1º Período)])," - " &amp; VLOOKUP(tblHorasAgo[Evento 
(2º Período)],tblEvento[],Tabelas!$F$1,FALSE),"")</f>
        <v/>
      </c>
    </row>
    <row r="30" spans="2:20" x14ac:dyDescent="0.25">
      <c r="B30" s="11" t="str">
        <f t="shared" si="0"/>
        <v/>
      </c>
      <c r="C30" s="12" t="str">
        <f>TEXT(tblHorasAgo[Data],"ddd")</f>
        <v/>
      </c>
      <c r="D30" s="25"/>
      <c r="E30" s="1"/>
      <c r="F30" s="1"/>
      <c r="G30" s="1"/>
      <c r="H30" s="1"/>
      <c r="I30" s="53"/>
      <c r="J30" s="4">
        <f>IF($B$6&lt;&gt;"",
IF(AND(tblHorasAgo[Evento 
(1º Período)]&lt;&gt;"",IF(ISERROR(VLOOKUP(tblHorasAgo[Evento 
(1º Período)],tblEvento[],Tabelas!$D$1,FALSE)),FALSE,VLOOKUP(tblHorasAgo[Evento 
(1º Período)],tblEvento[],Tabelas!$D$1,FALSE)="Sim")),
        IF(JORNADA_PERIODO_1&lt;&gt;"",
IF(VLOOKUP(tblHorasAgo[Dia],tblDiaUtil[[Abreviatura]:[1º Período]],3,FALSE)&gt;0,VLOOKUP(tblHorasAgo[Dia],tblDiaUtil[[Abreviatura]:[1º Período]],3,FALSE),JORNADA_PERIODO_1),
IF(VLOOKUP(tblHorasAgo[Dia],tblDiaUtil[[Abreviatura]:[1º Período]],3,FALSE)&gt;0,VLOOKUP(tblHorasAgo[Dia],tblDiaUtil[[Abreviatura]:[1º Período]],3,FALSE),JORNADA/2)),
        IF(AND(ISNUMBER(tblHorasAgo[Saída - 1 (Almoço)]),ISNUMBER(tblHorasAgo[Entrada - 1])),
              IF(OR(AND(tblHorasAgo[Evento 
(1º Período)]&lt;&gt;"",IF(ISERROR(VLOOKUP(tblHorasAgo[Evento 
(1º Período)],tblEvento[],Tabelas!$E$1,FALSE)),FALSE,VLOOKUP(tblHorasAgo[Evento 
(1º Período)],tblEvento[],Tabelas!$E$1,FALSE)="Sim")),IF(VLOOKUP(TEXT(tblHorasAgo[Data],"dddd"),tblDiaUtil[],2,FALSE)="Não",TRUE,FALSE)),
                   tblHorasAgo[Saída - 1 (Almoço)]-tblHorasAgo[Entrada - 1],
                   IF(OR(HOUR(tblHorasAgo[Saída - 1 (Almoço)]-tblHorasAgo[Entrada - 1])&gt;0,ROUND(tblHorasAgo[Saída - 1 (Almoço)]-tblHorasAgo[Entrada - 1],6)&gt;ROUND(CARENCIA,6)),
                          tblHorasAgo[Saída - 1 (Almoço)]-tblHorasAgo[Entrada - 1],
                          0)),
                    0)),0)</f>
        <v>0</v>
      </c>
      <c r="K30" s="4">
        <f>IF($B$6&lt;&gt;"",
IF(AND(tblHorasAgo[Evento 
(2º Período)]&lt;&gt;"",IF(ISERROR(VLOOKUP(tblHorasAgo[Evento 
(2º Período)],tblEvento[],Tabelas!$D$1,FALSE)),FALSE,VLOOKUP(tblHorasAgo[Evento 
(2º Período)],tblEvento[],Tabelas!$D$1,FALSE)="Sim")),
        IF(JORNADA_PERIODO_2&lt;&gt;"",
IF(VLOOKUP(tblHorasAgo[Dia],tblDiaUtil[[Abreviatura]:[2º Período]],4,FALSE)&gt;0,VLOOKUP(tblHorasAgo[Dia],tblDiaUtil[[Abreviatura]:[2º Período]],4,FALSE),JORNADA_PERIODO_2),
IF(VLOOKUP(tblHorasAgo[Dia],tblDiaUtil[[Abreviatura]:[2º Período]],4,FALSE)&gt;0,VLOOKUP(tblHorasAgo[Dia],tblDiaUtil[[Abreviatura]:[2º Período]],4,FALSE),JORNADA/2)),
        IF(AND(ISNUMBER(tblHorasAgo[Saída - 2]),ISNUMBER(tblHorasAgo[Entrada - 2 (Almoço)])),
              IF(OR(AND(tblHorasAgo[Evento 
(2º Período)]&lt;&gt;"",IF(ISERROR(VLOOKUP(tblHorasAgo[Evento 
(2º Período)],tblEvento[],Tabelas!$E$1,FALSE)),FALSE,VLOOKUP(tblHorasAgo[Evento 
(2º Período)],tblEvento[],Tabelas!$E$1,FALSE)="Sim")),IF(VLOOKUP(TEXT(tblHorasAgo[Data],"dddd"),tblDiaUtil[],2,FALSE)="Não",TRUE,FALSE)),
                   tblHorasAgo[Saída - 2]-tblHorasAgo[Entrada - 2 (Almoço)],
                   IF(OR(HOUR(tblHorasAgo[Saída - 2]-tblHorasAgo[Entrada - 2 (Almoço)])&gt;0,MINUTE(tblHorasAgo[Saída - 2]-tblHorasAgo[Entrada - 2 (Almoço)])&gt;CARENCIA),
                         tblHorasAgo[Saída - 2]-tblHorasAgo[Entrada - 2 (Almoço)],
                         0)),
       0)),0)</f>
        <v>0</v>
      </c>
      <c r="L30" s="4">
        <f>tblHorasAgo[Horas Trabalhadas (1º Período)]+tblHorasAgo[Horas Trabalhadas (2º Período)]</f>
        <v>0</v>
      </c>
      <c r="M30" s="4" t="str">
        <f>IF(tblHorasAgo[Data]&lt;&gt;"",
        IF(
AND(VLOOKUP(TEXT(tblHorasAgo[Data],"dddd"),tblDiaUtil[],3,FALSE)="Sim",IF(tblHorasAgo[Evento 
(1º Período)]&lt;&gt;"",IF(VLOOKUP(tblHorasAgo[Evento 
(1º Período)],tblEvento[],Tabelas!$E$1,FALSE)="Sim",FALSE,TRUE),TRUE),IF(tblHorasAgo[Evento 
(2º Período)]&lt;&gt;"",IF(VLOOKUP(tblHorasAgo[Evento 
(2º Período)],tblEvento[],Tabelas!$E$1,FALSE)="Sim",FALSE,TRUE),TRUE)),
              IF(VLOOKUP(tblHorasAgo[Dia],tblDiaUtil[[Abreviatura]:[1º Período]],3,FALSE)&gt;0,VLOOKUP(tblHorasAgo[Dia],tblDiaUtil[[Abreviatura]:[1º Período]],3,FALSE),JORNADA),
              ""),
         "")</f>
        <v/>
      </c>
      <c r="N30" s="14">
        <f>IF(OR(tblHorasAgo[Horas Trabalhadas (1º Período)]&lt;&gt;0,tblHorasAgo[Horas Trabalhadas (2º Período)]&lt;&gt;0),
        IF(ISNUMBER(tblHorasAgo[Jornada Diária]),
              IF(tblHorasAgo[Jornada Diária]&gt;(tblHorasAgo[Horas Trabalhadas (2º Período)]+tblHorasAgo[Horas Trabalhadas (1º Período)]),
                     IF(ROUND((tblHorasAgo[Jornada Diária]-(tblHorasAgo[Horas Trabalhadas (2º Período)]+tblHorasAgo[Horas Trabalhadas (1º Período)])),6)&gt;ROUND(CARENCIA,6),
                           -tblHorasAgo[Jornada Diária]+(tblHorasAgo[Horas Trabalhadas (2º Período)]+tblHorasAgo[Horas Trabalhadas (1º Período)]),
                           0),
                      IF(ROUND((tblHorasAgo[Jornada Diária]-(tblHorasAgo[Horas Trabalhadas (2º Período)]+tblHorasAgo[Horas Trabalhadas (1º Período)])),6)&lt;ROUND(-CARENCIA,6),
                           -tblHorasAgo[Jornada Diária]+(tblHorasAgo[Horas Trabalhadas (2º Período)]+tblHorasAgo[Horas Trabalhadas (1º Período)]),
                           0)),
              tblHorasAgo[Horas Trabalhadas (2º Período)]+tblHorasAgo[Horas Trabalhadas (1º Período)]),
         IF(AND(IF(ISERROR(VLOOKUP(tblHorasAgo[Evento 
(1º Período)],tblEvento[[Evento]:[Libera o Período]],4,FALSE)),FALSE,IF(VLOOKUP(tblHorasAgo[Evento 
(1º Período)],tblEvento[[Evento]:[Libera o Período]],4,FALSE)="Não",TRUE,FALSE)),IF(ISERROR(VLOOKUP(tblHorasAgo[Evento 
(2º Período)],tblEvento[[Evento]:[Libera o Período]],4,FALSE)),FALSE,IF(VLOOKUP(tblHorasAgo[Evento 
(2º Período)],tblEvento[[Evento]:[Libera o Período]],4,FALSE)="Não",TRUE,FALSE))),
-IF(VLOOKUP(tblHorasAgo[Dia],tblDiaUtil[[Abreviatura]:[Total Jornada]],5,FALSE)&lt;&gt;"",VLOOKUP(tblHorasAgo[Dia],tblDiaUtil[[Abreviatura]:[Total Jornada]],5,FALSE),JORNADA),
IF(IF(ISERROR(VLOOKUP(tblHorasAgo[Evento 
(1º Período)],tblEvento[[Evento]:[Libera o Período]],4,FALSE)),FALSE,
IF(VLOOKUP(tblHorasAgo[Evento 
(1º Período)],tblEvento[[Evento]:[Libera o Período]],4,FALSE)="Não",TRUE,FALSE)
),
-IF(VLOOKUP(tblHorasAgo[Dia],tblDiaUtil[[Abreviatura]:[1º Período]],3,FALSE)&lt;&gt;"",VLOOKUP(tblHorasAgo[Dia],tblDiaUtil[[Abreviatura]:[1º Período]],3,FALSE),JORNADA_PERIODO_1),
IF(IF(ISERROR(VLOOKUP(tblHorasAgo[Evento 
(2º Período)],tblEvento[[Evento]:[Libera o Período]],4,FALSE)),FALSE,IF(VLOOKUP(tblHorasAgo[Evento 
(2º Período)],tblEvento[[Evento]:[Libera o Período]],4,FALSE)="Não",TRUE,FALSE)),
-IF(VLOOKUP(tblHorasAgo[Dia],tblDiaUtil[[Abreviatura]:[2º Período]],4,FALSE)&lt;&gt;"",VLOOKUP(tblHorasAgo[Dia],tblDiaUtil[[Abreviatura]:[2º Período]],4,FALSE),JORNADA_PERIODO_2),0))))</f>
        <v>0</v>
      </c>
      <c r="O30" s="14">
        <f>IF(tblHorasAgo[Horas Trabalhadas Além Jornada]&gt;0,
        IF(ISNUMBER(tblHorasAgo[Jornada Diária]),
              IF(HOUR(tblHorasAgo[Horas Trabalhadas Além Jornada])&gt;=VLOOKUP(LIMITE,tblLimiteHora[],Tabelas!$I$1,FALSE),
                    VLOOKUP(LIMITE,tblLimiteHora[],Tabelas!$J$1,FALSE),
                    tblHorasAgo[Horas Trabalhadas Além Jornada]),
              tblHorasAgo[Horas Trabalhadas Além Jornada]),
        tblHorasAgo[Horas Trabalhadas Além Jornada])+O29</f>
        <v>0</v>
      </c>
      <c r="P30" s="14" t="str">
        <f>IF(tblHorasAgo[Horas Trabalhadas Além Jornada]&lt;0,IF(OR(tblHorasAgo[Evento 
(1º Período)]="",tblHorasAgo[Evento 
(2º Período)]=""),tblHorasAgo[Horas Trabalhadas Além Jornada],""),"")</f>
        <v/>
      </c>
      <c r="Q30" s="14" t="str">
        <f>IF(tblHorasAgo[Jornada Diária]&lt;&gt;"",IF((N(tblHorasAgo[Jornada Diária])-ABS(N(tblHorasAgo[Horas Trabalhadas Além Jornada])))=0,1,""),"")</f>
        <v/>
      </c>
      <c r="R30" s="14" t="str">
        <f>IF(tblHorasAgo[Horas Trabalhadas Além Jornada]&gt;0,
IF(AND(VLOOKUP(TEXT(tblHorasAgo[Data],"dddd"),tblDiaUtil[],3,FALSE)="Sim",IF(tblHorasAgo[Evento 
(1º Período)]&lt;&gt;"",IF(VLOOKUP(tblHorasAgo[Evento 
(1º Período)],tblEvento[],Tabelas!$E$1,FALSE)="Sim",FALSE,TRUE),TRUE),IF(tblHorasAgo[Evento 
(2º Período)]&lt;&gt;"",IF(VLOOKUP(tblHorasAgo[Evento 
(2º Período)],tblEvento[],Tabelas!$E$1,FALSE)="Sim",FALSE,TRUE),TRUE)),
tblHorasAgo[Horas Trabalhadas Além Jornada],""),"")</f>
        <v/>
      </c>
      <c r="S30" s="14" t="str">
        <f>IF(tblHorasAgo[Horas Trabalhadas Além Jornada]&gt;0,
IF(OR(VLOOKUP(TEXT(tblHorasAgo[Data],"dddd"),tblDiaUtil[],3,FALSE)="Não",IF(tblHorasAgo[Evento 
(1º Período)]&lt;&gt;"",IF(VLOOKUP(tblHorasAgo[Evento 
(1º Período)],tblEvento[],Tabelas!$E$1,FALSE)="Sim",TRUE,FALSE),FALSE),IF(tblHorasAgo[Evento 
(2º Período)]&lt;&gt;"",IF(VLOOKUP(tblHorasAgo[Evento 
(2º Período)],tblEvento[],Tabelas!$E$1,FALSE)="Sim",TRUE,FALSE),FALSE)),
tblHorasAgo[Horas Trabalhadas Além Jornada],""),"")</f>
        <v/>
      </c>
      <c r="T30" s="15" t="str">
        <f>IF(tblHorasAgo[Evento 
(1º Período)]&lt;&gt;""," - " &amp;VLOOKUP(tblHorasAgo[Evento 
(1º Período)],tblEvento[],Tabelas!$F$1,FALSE),"")&amp;IF(AND(tblHorasAgo[Evento 
(2º Período)]&lt;&gt;"",tblHorasAgo[Evento 
(2º Período)]&lt;&gt;tblHorasAgo[Evento 
(1º Período)])," - " &amp; VLOOKUP(tblHorasAgo[Evento 
(2º Período)],tblEvento[],Tabelas!$F$1,FALSE),"")</f>
        <v/>
      </c>
    </row>
    <row r="31" spans="2:20" x14ac:dyDescent="0.25">
      <c r="B31" s="11" t="str">
        <f t="shared" si="0"/>
        <v/>
      </c>
      <c r="C31" s="12" t="str">
        <f>TEXT(tblHorasAgo[Data],"ddd")</f>
        <v/>
      </c>
      <c r="D31" s="25"/>
      <c r="E31" s="1"/>
      <c r="F31" s="1"/>
      <c r="G31" s="1"/>
      <c r="H31" s="1"/>
      <c r="I31" s="53"/>
      <c r="J31" s="4">
        <f>IF($B$6&lt;&gt;"",
IF(AND(tblHorasAgo[Evento 
(1º Período)]&lt;&gt;"",IF(ISERROR(VLOOKUP(tblHorasAgo[Evento 
(1º Período)],tblEvento[],Tabelas!$D$1,FALSE)),FALSE,VLOOKUP(tblHorasAgo[Evento 
(1º Período)],tblEvento[],Tabelas!$D$1,FALSE)="Sim")),
        IF(JORNADA_PERIODO_1&lt;&gt;"",
IF(VLOOKUP(tblHorasAgo[Dia],tblDiaUtil[[Abreviatura]:[1º Período]],3,FALSE)&gt;0,VLOOKUP(tblHorasAgo[Dia],tblDiaUtil[[Abreviatura]:[1º Período]],3,FALSE),JORNADA_PERIODO_1),
IF(VLOOKUP(tblHorasAgo[Dia],tblDiaUtil[[Abreviatura]:[1º Período]],3,FALSE)&gt;0,VLOOKUP(tblHorasAgo[Dia],tblDiaUtil[[Abreviatura]:[1º Período]],3,FALSE),JORNADA/2)),
        IF(AND(ISNUMBER(tblHorasAgo[Saída - 1 (Almoço)]),ISNUMBER(tblHorasAgo[Entrada - 1])),
              IF(OR(AND(tblHorasAgo[Evento 
(1º Período)]&lt;&gt;"",IF(ISERROR(VLOOKUP(tblHorasAgo[Evento 
(1º Período)],tblEvento[],Tabelas!$E$1,FALSE)),FALSE,VLOOKUP(tblHorasAgo[Evento 
(1º Período)],tblEvento[],Tabelas!$E$1,FALSE)="Sim")),IF(VLOOKUP(TEXT(tblHorasAgo[Data],"dddd"),tblDiaUtil[],2,FALSE)="Não",TRUE,FALSE)),
                   tblHorasAgo[Saída - 1 (Almoço)]-tblHorasAgo[Entrada - 1],
                   IF(OR(HOUR(tblHorasAgo[Saída - 1 (Almoço)]-tblHorasAgo[Entrada - 1])&gt;0,ROUND(tblHorasAgo[Saída - 1 (Almoço)]-tblHorasAgo[Entrada - 1],6)&gt;ROUND(CARENCIA,6)),
                          tblHorasAgo[Saída - 1 (Almoço)]-tblHorasAgo[Entrada - 1],
                          0)),
                    0)),0)</f>
        <v>0</v>
      </c>
      <c r="K31" s="4">
        <f>IF($B$6&lt;&gt;"",
IF(AND(tblHorasAgo[Evento 
(2º Período)]&lt;&gt;"",IF(ISERROR(VLOOKUP(tblHorasAgo[Evento 
(2º Período)],tblEvento[],Tabelas!$D$1,FALSE)),FALSE,VLOOKUP(tblHorasAgo[Evento 
(2º Período)],tblEvento[],Tabelas!$D$1,FALSE)="Sim")),
        IF(JORNADA_PERIODO_2&lt;&gt;"",
IF(VLOOKUP(tblHorasAgo[Dia],tblDiaUtil[[Abreviatura]:[2º Período]],4,FALSE)&gt;0,VLOOKUP(tblHorasAgo[Dia],tblDiaUtil[[Abreviatura]:[2º Período]],4,FALSE),JORNADA_PERIODO_2),
IF(VLOOKUP(tblHorasAgo[Dia],tblDiaUtil[[Abreviatura]:[2º Período]],4,FALSE)&gt;0,VLOOKUP(tblHorasAgo[Dia],tblDiaUtil[[Abreviatura]:[2º Período]],4,FALSE),JORNADA/2)),
        IF(AND(ISNUMBER(tblHorasAgo[Saída - 2]),ISNUMBER(tblHorasAgo[Entrada - 2 (Almoço)])),
              IF(OR(AND(tblHorasAgo[Evento 
(2º Período)]&lt;&gt;"",IF(ISERROR(VLOOKUP(tblHorasAgo[Evento 
(2º Período)],tblEvento[],Tabelas!$E$1,FALSE)),FALSE,VLOOKUP(tblHorasAgo[Evento 
(2º Período)],tblEvento[],Tabelas!$E$1,FALSE)="Sim")),IF(VLOOKUP(TEXT(tblHorasAgo[Data],"dddd"),tblDiaUtil[],2,FALSE)="Não",TRUE,FALSE)),
                   tblHorasAgo[Saída - 2]-tblHorasAgo[Entrada - 2 (Almoço)],
                   IF(OR(HOUR(tblHorasAgo[Saída - 2]-tblHorasAgo[Entrada - 2 (Almoço)])&gt;0,MINUTE(tblHorasAgo[Saída - 2]-tblHorasAgo[Entrada - 2 (Almoço)])&gt;CARENCIA),
                         tblHorasAgo[Saída - 2]-tblHorasAgo[Entrada - 2 (Almoço)],
                         0)),
       0)),0)</f>
        <v>0</v>
      </c>
      <c r="L31" s="4">
        <f>tblHorasAgo[Horas Trabalhadas (1º Período)]+tblHorasAgo[Horas Trabalhadas (2º Período)]</f>
        <v>0</v>
      </c>
      <c r="M31" s="4" t="str">
        <f>IF(tblHorasAgo[Data]&lt;&gt;"",
        IF(
AND(VLOOKUP(TEXT(tblHorasAgo[Data],"dddd"),tblDiaUtil[],3,FALSE)="Sim",IF(tblHorasAgo[Evento 
(1º Período)]&lt;&gt;"",IF(VLOOKUP(tblHorasAgo[Evento 
(1º Período)],tblEvento[],Tabelas!$E$1,FALSE)="Sim",FALSE,TRUE),TRUE),IF(tblHorasAgo[Evento 
(2º Período)]&lt;&gt;"",IF(VLOOKUP(tblHorasAgo[Evento 
(2º Período)],tblEvento[],Tabelas!$E$1,FALSE)="Sim",FALSE,TRUE),TRUE)),
              IF(VLOOKUP(tblHorasAgo[Dia],tblDiaUtil[[Abreviatura]:[1º Período]],3,FALSE)&gt;0,VLOOKUP(tblHorasAgo[Dia],tblDiaUtil[[Abreviatura]:[1º Período]],3,FALSE),JORNADA),
              ""),
         "")</f>
        <v/>
      </c>
      <c r="N31" s="14">
        <f>IF(OR(tblHorasAgo[Horas Trabalhadas (1º Período)]&lt;&gt;0,tblHorasAgo[Horas Trabalhadas (2º Período)]&lt;&gt;0),
        IF(ISNUMBER(tblHorasAgo[Jornada Diária]),
              IF(tblHorasAgo[Jornada Diária]&gt;(tblHorasAgo[Horas Trabalhadas (2º Período)]+tblHorasAgo[Horas Trabalhadas (1º Período)]),
                     IF(ROUND((tblHorasAgo[Jornada Diária]-(tblHorasAgo[Horas Trabalhadas (2º Período)]+tblHorasAgo[Horas Trabalhadas (1º Período)])),6)&gt;ROUND(CARENCIA,6),
                           -tblHorasAgo[Jornada Diária]+(tblHorasAgo[Horas Trabalhadas (2º Período)]+tblHorasAgo[Horas Trabalhadas (1º Período)]),
                           0),
                      IF(ROUND((tblHorasAgo[Jornada Diária]-(tblHorasAgo[Horas Trabalhadas (2º Período)]+tblHorasAgo[Horas Trabalhadas (1º Período)])),6)&lt;ROUND(-CARENCIA,6),
                           -tblHorasAgo[Jornada Diária]+(tblHorasAgo[Horas Trabalhadas (2º Período)]+tblHorasAgo[Horas Trabalhadas (1º Período)]),
                           0)),
              tblHorasAgo[Horas Trabalhadas (2º Período)]+tblHorasAgo[Horas Trabalhadas (1º Período)]),
         IF(AND(IF(ISERROR(VLOOKUP(tblHorasAgo[Evento 
(1º Período)],tblEvento[[Evento]:[Libera o Período]],4,FALSE)),FALSE,IF(VLOOKUP(tblHorasAgo[Evento 
(1º Período)],tblEvento[[Evento]:[Libera o Período]],4,FALSE)="Não",TRUE,FALSE)),IF(ISERROR(VLOOKUP(tblHorasAgo[Evento 
(2º Período)],tblEvento[[Evento]:[Libera o Período]],4,FALSE)),FALSE,IF(VLOOKUP(tblHorasAgo[Evento 
(2º Período)],tblEvento[[Evento]:[Libera o Período]],4,FALSE)="Não",TRUE,FALSE))),
-IF(VLOOKUP(tblHorasAgo[Dia],tblDiaUtil[[Abreviatura]:[Total Jornada]],5,FALSE)&lt;&gt;"",VLOOKUP(tblHorasAgo[Dia],tblDiaUtil[[Abreviatura]:[Total Jornada]],5,FALSE),JORNADA),
IF(IF(ISERROR(VLOOKUP(tblHorasAgo[Evento 
(1º Período)],tblEvento[[Evento]:[Libera o Período]],4,FALSE)),FALSE,
IF(VLOOKUP(tblHorasAgo[Evento 
(1º Período)],tblEvento[[Evento]:[Libera o Período]],4,FALSE)="Não",TRUE,FALSE)
),
-IF(VLOOKUP(tblHorasAgo[Dia],tblDiaUtil[[Abreviatura]:[1º Período]],3,FALSE)&lt;&gt;"",VLOOKUP(tblHorasAgo[Dia],tblDiaUtil[[Abreviatura]:[1º Período]],3,FALSE),JORNADA_PERIODO_1),
IF(IF(ISERROR(VLOOKUP(tblHorasAgo[Evento 
(2º Período)],tblEvento[[Evento]:[Libera o Período]],4,FALSE)),FALSE,IF(VLOOKUP(tblHorasAgo[Evento 
(2º Período)],tblEvento[[Evento]:[Libera o Período]],4,FALSE)="Não",TRUE,FALSE)),
-IF(VLOOKUP(tblHorasAgo[Dia],tblDiaUtil[[Abreviatura]:[2º Período]],4,FALSE)&lt;&gt;"",VLOOKUP(tblHorasAgo[Dia],tblDiaUtil[[Abreviatura]:[2º Período]],4,FALSE),JORNADA_PERIODO_2),0))))</f>
        <v>0</v>
      </c>
      <c r="O31" s="14">
        <f>IF(tblHorasAgo[Horas Trabalhadas Além Jornada]&gt;0,
        IF(ISNUMBER(tblHorasAgo[Jornada Diária]),
              IF(HOUR(tblHorasAgo[Horas Trabalhadas Além Jornada])&gt;=VLOOKUP(LIMITE,tblLimiteHora[],Tabelas!$I$1,FALSE),
                    VLOOKUP(LIMITE,tblLimiteHora[],Tabelas!$J$1,FALSE),
                    tblHorasAgo[Horas Trabalhadas Além Jornada]),
              tblHorasAgo[Horas Trabalhadas Além Jornada]),
        tblHorasAgo[Horas Trabalhadas Além Jornada])+O30</f>
        <v>0</v>
      </c>
      <c r="P31" s="14" t="str">
        <f>IF(tblHorasAgo[Horas Trabalhadas Além Jornada]&lt;0,IF(OR(tblHorasAgo[Evento 
(1º Período)]="",tblHorasAgo[Evento 
(2º Período)]=""),tblHorasAgo[Horas Trabalhadas Além Jornada],""),"")</f>
        <v/>
      </c>
      <c r="Q31" s="14" t="str">
        <f>IF(tblHorasAgo[Jornada Diária]&lt;&gt;"",IF((N(tblHorasAgo[Jornada Diária])-ABS(N(tblHorasAgo[Horas Trabalhadas Além Jornada])))=0,1,""),"")</f>
        <v/>
      </c>
      <c r="R31" s="14" t="str">
        <f>IF(tblHorasAgo[Horas Trabalhadas Além Jornada]&gt;0,
IF(AND(VLOOKUP(TEXT(tblHorasAgo[Data],"dddd"),tblDiaUtil[],3,FALSE)="Sim",IF(tblHorasAgo[Evento 
(1º Período)]&lt;&gt;"",IF(VLOOKUP(tblHorasAgo[Evento 
(1º Período)],tblEvento[],Tabelas!$E$1,FALSE)="Sim",FALSE,TRUE),TRUE),IF(tblHorasAgo[Evento 
(2º Período)]&lt;&gt;"",IF(VLOOKUP(tblHorasAgo[Evento 
(2º Período)],tblEvento[],Tabelas!$E$1,FALSE)="Sim",FALSE,TRUE),TRUE)),
tblHorasAgo[Horas Trabalhadas Além Jornada],""),"")</f>
        <v/>
      </c>
      <c r="S31" s="14" t="str">
        <f>IF(tblHorasAgo[Horas Trabalhadas Além Jornada]&gt;0,
IF(OR(VLOOKUP(TEXT(tblHorasAgo[Data],"dddd"),tblDiaUtil[],3,FALSE)="Não",IF(tblHorasAgo[Evento 
(1º Período)]&lt;&gt;"",IF(VLOOKUP(tblHorasAgo[Evento 
(1º Período)],tblEvento[],Tabelas!$E$1,FALSE)="Sim",TRUE,FALSE),FALSE),IF(tblHorasAgo[Evento 
(2º Período)]&lt;&gt;"",IF(VLOOKUP(tblHorasAgo[Evento 
(2º Período)],tblEvento[],Tabelas!$E$1,FALSE)="Sim",TRUE,FALSE),FALSE)),
tblHorasAgo[Horas Trabalhadas Além Jornada],""),"")</f>
        <v/>
      </c>
      <c r="T31" s="15" t="str">
        <f>IF(tblHorasAgo[Evento 
(1º Período)]&lt;&gt;""," - " &amp;VLOOKUP(tblHorasAgo[Evento 
(1º Período)],tblEvento[],Tabelas!$F$1,FALSE),"")&amp;IF(AND(tblHorasAgo[Evento 
(2º Período)]&lt;&gt;"",tblHorasAgo[Evento 
(2º Período)]&lt;&gt;tblHorasAgo[Evento 
(1º Período)])," - " &amp; VLOOKUP(tblHorasAgo[Evento 
(2º Período)],tblEvento[],Tabelas!$F$1,FALSE),"")</f>
        <v/>
      </c>
    </row>
    <row r="32" spans="2:20" x14ac:dyDescent="0.25">
      <c r="B32" s="11" t="str">
        <f t="shared" si="0"/>
        <v/>
      </c>
      <c r="C32" s="12" t="str">
        <f>TEXT(tblHorasAgo[Data],"ddd")</f>
        <v/>
      </c>
      <c r="D32" s="25"/>
      <c r="E32" s="1"/>
      <c r="F32" s="1"/>
      <c r="G32" s="1"/>
      <c r="H32" s="1"/>
      <c r="I32" s="53"/>
      <c r="J32" s="4">
        <f>IF($B$6&lt;&gt;"",
IF(AND(tblHorasAgo[Evento 
(1º Período)]&lt;&gt;"",IF(ISERROR(VLOOKUP(tblHorasAgo[Evento 
(1º Período)],tblEvento[],Tabelas!$D$1,FALSE)),FALSE,VLOOKUP(tblHorasAgo[Evento 
(1º Período)],tblEvento[],Tabelas!$D$1,FALSE)="Sim")),
        IF(JORNADA_PERIODO_1&lt;&gt;"",
IF(VLOOKUP(tblHorasAgo[Dia],tblDiaUtil[[Abreviatura]:[1º Período]],3,FALSE)&gt;0,VLOOKUP(tblHorasAgo[Dia],tblDiaUtil[[Abreviatura]:[1º Período]],3,FALSE),JORNADA_PERIODO_1),
IF(VLOOKUP(tblHorasAgo[Dia],tblDiaUtil[[Abreviatura]:[1º Período]],3,FALSE)&gt;0,VLOOKUP(tblHorasAgo[Dia],tblDiaUtil[[Abreviatura]:[1º Período]],3,FALSE),JORNADA/2)),
        IF(AND(ISNUMBER(tblHorasAgo[Saída - 1 (Almoço)]),ISNUMBER(tblHorasAgo[Entrada - 1])),
              IF(OR(AND(tblHorasAgo[Evento 
(1º Período)]&lt;&gt;"",IF(ISERROR(VLOOKUP(tblHorasAgo[Evento 
(1º Período)],tblEvento[],Tabelas!$E$1,FALSE)),FALSE,VLOOKUP(tblHorasAgo[Evento 
(1º Período)],tblEvento[],Tabelas!$E$1,FALSE)="Sim")),IF(VLOOKUP(TEXT(tblHorasAgo[Data],"dddd"),tblDiaUtil[],2,FALSE)="Não",TRUE,FALSE)),
                   tblHorasAgo[Saída - 1 (Almoço)]-tblHorasAgo[Entrada - 1],
                   IF(OR(HOUR(tblHorasAgo[Saída - 1 (Almoço)]-tblHorasAgo[Entrada - 1])&gt;0,ROUND(tblHorasAgo[Saída - 1 (Almoço)]-tblHorasAgo[Entrada - 1],6)&gt;ROUND(CARENCIA,6)),
                          tblHorasAgo[Saída - 1 (Almoço)]-tblHorasAgo[Entrada - 1],
                          0)),
                    0)),0)</f>
        <v>0</v>
      </c>
      <c r="K32" s="4">
        <f>IF($B$6&lt;&gt;"",
IF(AND(tblHorasAgo[Evento 
(2º Período)]&lt;&gt;"",IF(ISERROR(VLOOKUP(tblHorasAgo[Evento 
(2º Período)],tblEvento[],Tabelas!$D$1,FALSE)),FALSE,VLOOKUP(tblHorasAgo[Evento 
(2º Período)],tblEvento[],Tabelas!$D$1,FALSE)="Sim")),
        IF(JORNADA_PERIODO_2&lt;&gt;"",
IF(VLOOKUP(tblHorasAgo[Dia],tblDiaUtil[[Abreviatura]:[2º Período]],4,FALSE)&gt;0,VLOOKUP(tblHorasAgo[Dia],tblDiaUtil[[Abreviatura]:[2º Período]],4,FALSE),JORNADA_PERIODO_2),
IF(VLOOKUP(tblHorasAgo[Dia],tblDiaUtil[[Abreviatura]:[2º Período]],4,FALSE)&gt;0,VLOOKUP(tblHorasAgo[Dia],tblDiaUtil[[Abreviatura]:[2º Período]],4,FALSE),JORNADA/2)),
        IF(AND(ISNUMBER(tblHorasAgo[Saída - 2]),ISNUMBER(tblHorasAgo[Entrada - 2 (Almoço)])),
              IF(OR(AND(tblHorasAgo[Evento 
(2º Período)]&lt;&gt;"",IF(ISERROR(VLOOKUP(tblHorasAgo[Evento 
(2º Período)],tblEvento[],Tabelas!$E$1,FALSE)),FALSE,VLOOKUP(tblHorasAgo[Evento 
(2º Período)],tblEvento[],Tabelas!$E$1,FALSE)="Sim")),IF(VLOOKUP(TEXT(tblHorasAgo[Data],"dddd"),tblDiaUtil[],2,FALSE)="Não",TRUE,FALSE)),
                   tblHorasAgo[Saída - 2]-tblHorasAgo[Entrada - 2 (Almoço)],
                   IF(OR(HOUR(tblHorasAgo[Saída - 2]-tblHorasAgo[Entrada - 2 (Almoço)])&gt;0,MINUTE(tblHorasAgo[Saída - 2]-tblHorasAgo[Entrada - 2 (Almoço)])&gt;CARENCIA),
                         tblHorasAgo[Saída - 2]-tblHorasAgo[Entrada - 2 (Almoço)],
                         0)),
       0)),0)</f>
        <v>0</v>
      </c>
      <c r="L32" s="4">
        <f>tblHorasAgo[Horas Trabalhadas (1º Período)]+tblHorasAgo[Horas Trabalhadas (2º Período)]</f>
        <v>0</v>
      </c>
      <c r="M32" s="4" t="str">
        <f>IF(tblHorasAgo[Data]&lt;&gt;"",
        IF(
AND(VLOOKUP(TEXT(tblHorasAgo[Data],"dddd"),tblDiaUtil[],3,FALSE)="Sim",IF(tblHorasAgo[Evento 
(1º Período)]&lt;&gt;"",IF(VLOOKUP(tblHorasAgo[Evento 
(1º Período)],tblEvento[],Tabelas!$E$1,FALSE)="Sim",FALSE,TRUE),TRUE),IF(tblHorasAgo[Evento 
(2º Período)]&lt;&gt;"",IF(VLOOKUP(tblHorasAgo[Evento 
(2º Período)],tblEvento[],Tabelas!$E$1,FALSE)="Sim",FALSE,TRUE),TRUE)),
              IF(VLOOKUP(tblHorasAgo[Dia],tblDiaUtil[[Abreviatura]:[1º Período]],3,FALSE)&gt;0,VLOOKUP(tblHorasAgo[Dia],tblDiaUtil[[Abreviatura]:[1º Período]],3,FALSE),JORNADA),
              ""),
         "")</f>
        <v/>
      </c>
      <c r="N32" s="14">
        <f>IF(OR(tblHorasAgo[Horas Trabalhadas (1º Período)]&lt;&gt;0,tblHorasAgo[Horas Trabalhadas (2º Período)]&lt;&gt;0),
        IF(ISNUMBER(tblHorasAgo[Jornada Diária]),
              IF(tblHorasAgo[Jornada Diária]&gt;(tblHorasAgo[Horas Trabalhadas (2º Período)]+tblHorasAgo[Horas Trabalhadas (1º Período)]),
                     IF(ROUND((tblHorasAgo[Jornada Diária]-(tblHorasAgo[Horas Trabalhadas (2º Período)]+tblHorasAgo[Horas Trabalhadas (1º Período)])),6)&gt;ROUND(CARENCIA,6),
                           -tblHorasAgo[Jornada Diária]+(tblHorasAgo[Horas Trabalhadas (2º Período)]+tblHorasAgo[Horas Trabalhadas (1º Período)]),
                           0),
                      IF(ROUND((tblHorasAgo[Jornada Diária]-(tblHorasAgo[Horas Trabalhadas (2º Período)]+tblHorasAgo[Horas Trabalhadas (1º Período)])),6)&lt;ROUND(-CARENCIA,6),
                           -tblHorasAgo[Jornada Diária]+(tblHorasAgo[Horas Trabalhadas (2º Período)]+tblHorasAgo[Horas Trabalhadas (1º Período)]),
                           0)),
              tblHorasAgo[Horas Trabalhadas (2º Período)]+tblHorasAgo[Horas Trabalhadas (1º Período)]),
         IF(AND(IF(ISERROR(VLOOKUP(tblHorasAgo[Evento 
(1º Período)],tblEvento[[Evento]:[Libera o Período]],4,FALSE)),FALSE,IF(VLOOKUP(tblHorasAgo[Evento 
(1º Período)],tblEvento[[Evento]:[Libera o Período]],4,FALSE)="Não",TRUE,FALSE)),IF(ISERROR(VLOOKUP(tblHorasAgo[Evento 
(2º Período)],tblEvento[[Evento]:[Libera o Período]],4,FALSE)),FALSE,IF(VLOOKUP(tblHorasAgo[Evento 
(2º Período)],tblEvento[[Evento]:[Libera o Período]],4,FALSE)="Não",TRUE,FALSE))),
-IF(VLOOKUP(tblHorasAgo[Dia],tblDiaUtil[[Abreviatura]:[Total Jornada]],5,FALSE)&lt;&gt;"",VLOOKUP(tblHorasAgo[Dia],tblDiaUtil[[Abreviatura]:[Total Jornada]],5,FALSE),JORNADA),
IF(IF(ISERROR(VLOOKUP(tblHorasAgo[Evento 
(1º Período)],tblEvento[[Evento]:[Libera o Período]],4,FALSE)),FALSE,
IF(VLOOKUP(tblHorasAgo[Evento 
(1º Período)],tblEvento[[Evento]:[Libera o Período]],4,FALSE)="Não",TRUE,FALSE)
),
-IF(VLOOKUP(tblHorasAgo[Dia],tblDiaUtil[[Abreviatura]:[1º Período]],3,FALSE)&lt;&gt;"",VLOOKUP(tblHorasAgo[Dia],tblDiaUtil[[Abreviatura]:[1º Período]],3,FALSE),JORNADA_PERIODO_1),
IF(IF(ISERROR(VLOOKUP(tblHorasAgo[Evento 
(2º Período)],tblEvento[[Evento]:[Libera o Período]],4,FALSE)),FALSE,IF(VLOOKUP(tblHorasAgo[Evento 
(2º Período)],tblEvento[[Evento]:[Libera o Período]],4,FALSE)="Não",TRUE,FALSE)),
-IF(VLOOKUP(tblHorasAgo[Dia],tblDiaUtil[[Abreviatura]:[2º Período]],4,FALSE)&lt;&gt;"",VLOOKUP(tblHorasAgo[Dia],tblDiaUtil[[Abreviatura]:[2º Período]],4,FALSE),JORNADA_PERIODO_2),0))))</f>
        <v>0</v>
      </c>
      <c r="O32" s="14">
        <f>IF(tblHorasAgo[Horas Trabalhadas Além Jornada]&gt;0,
        IF(ISNUMBER(tblHorasAgo[Jornada Diária]),
              IF(HOUR(tblHorasAgo[Horas Trabalhadas Além Jornada])&gt;=VLOOKUP(LIMITE,tblLimiteHora[],Tabelas!$I$1,FALSE),
                    VLOOKUP(LIMITE,tblLimiteHora[],Tabelas!$J$1,FALSE),
                    tblHorasAgo[Horas Trabalhadas Além Jornada]),
              tblHorasAgo[Horas Trabalhadas Além Jornada]),
        tblHorasAgo[Horas Trabalhadas Além Jornada])+O31</f>
        <v>0</v>
      </c>
      <c r="P32" s="14" t="str">
        <f>IF(tblHorasAgo[Horas Trabalhadas Além Jornada]&lt;0,IF(OR(tblHorasAgo[Evento 
(1º Período)]="",tblHorasAgo[Evento 
(2º Período)]=""),tblHorasAgo[Horas Trabalhadas Além Jornada],""),"")</f>
        <v/>
      </c>
      <c r="Q32" s="14" t="str">
        <f>IF(tblHorasAgo[Jornada Diária]&lt;&gt;"",IF((N(tblHorasAgo[Jornada Diária])-ABS(N(tblHorasAgo[Horas Trabalhadas Além Jornada])))=0,1,""),"")</f>
        <v/>
      </c>
      <c r="R32" s="14" t="str">
        <f>IF(tblHorasAgo[Horas Trabalhadas Além Jornada]&gt;0,
IF(AND(VLOOKUP(TEXT(tblHorasAgo[Data],"dddd"),tblDiaUtil[],3,FALSE)="Sim",IF(tblHorasAgo[Evento 
(1º Período)]&lt;&gt;"",IF(VLOOKUP(tblHorasAgo[Evento 
(1º Período)],tblEvento[],Tabelas!$E$1,FALSE)="Sim",FALSE,TRUE),TRUE),IF(tblHorasAgo[Evento 
(2º Período)]&lt;&gt;"",IF(VLOOKUP(tblHorasAgo[Evento 
(2º Período)],tblEvento[],Tabelas!$E$1,FALSE)="Sim",FALSE,TRUE),TRUE)),
tblHorasAgo[Horas Trabalhadas Além Jornada],""),"")</f>
        <v/>
      </c>
      <c r="S32" s="14" t="str">
        <f>IF(tblHorasAgo[Horas Trabalhadas Além Jornada]&gt;0,
IF(OR(VLOOKUP(TEXT(tblHorasAgo[Data],"dddd"),tblDiaUtil[],3,FALSE)="Não",IF(tblHorasAgo[Evento 
(1º Período)]&lt;&gt;"",IF(VLOOKUP(tblHorasAgo[Evento 
(1º Período)],tblEvento[],Tabelas!$E$1,FALSE)="Sim",TRUE,FALSE),FALSE),IF(tblHorasAgo[Evento 
(2º Período)]&lt;&gt;"",IF(VLOOKUP(tblHorasAgo[Evento 
(2º Período)],tblEvento[],Tabelas!$E$1,FALSE)="Sim",TRUE,FALSE),FALSE)),
tblHorasAgo[Horas Trabalhadas Além Jornada],""),"")</f>
        <v/>
      </c>
      <c r="T32" s="15" t="str">
        <f>IF(tblHorasAgo[Evento 
(1º Período)]&lt;&gt;""," - " &amp;VLOOKUP(tblHorasAgo[Evento 
(1º Período)],tblEvento[],Tabelas!$F$1,FALSE),"")&amp;IF(AND(tblHorasAgo[Evento 
(2º Período)]&lt;&gt;"",tblHorasAgo[Evento 
(2º Período)]&lt;&gt;tblHorasAgo[Evento 
(1º Período)])," - " &amp; VLOOKUP(tblHorasAgo[Evento 
(2º Período)],tblEvento[],Tabelas!$F$1,FALSE),"")</f>
        <v/>
      </c>
    </row>
    <row r="33" spans="2:21" x14ac:dyDescent="0.25">
      <c r="B33" s="11" t="str">
        <f t="shared" si="0"/>
        <v/>
      </c>
      <c r="C33" s="12" t="str">
        <f>TEXT(tblHorasAgo[Data],"ddd")</f>
        <v/>
      </c>
      <c r="D33" s="25"/>
      <c r="E33" s="1"/>
      <c r="F33" s="1"/>
      <c r="G33" s="1"/>
      <c r="H33" s="1"/>
      <c r="I33" s="53"/>
      <c r="J33" s="4">
        <f>IF($B$6&lt;&gt;"",
IF(AND(tblHorasAgo[Evento 
(1º Período)]&lt;&gt;"",IF(ISERROR(VLOOKUP(tblHorasAgo[Evento 
(1º Período)],tblEvento[],Tabelas!$D$1,FALSE)),FALSE,VLOOKUP(tblHorasAgo[Evento 
(1º Período)],tblEvento[],Tabelas!$D$1,FALSE)="Sim")),
        IF(JORNADA_PERIODO_1&lt;&gt;"",
IF(VLOOKUP(tblHorasAgo[Dia],tblDiaUtil[[Abreviatura]:[1º Período]],3,FALSE)&gt;0,VLOOKUP(tblHorasAgo[Dia],tblDiaUtil[[Abreviatura]:[1º Período]],3,FALSE),JORNADA_PERIODO_1),
IF(VLOOKUP(tblHorasAgo[Dia],tblDiaUtil[[Abreviatura]:[1º Período]],3,FALSE)&gt;0,VLOOKUP(tblHorasAgo[Dia],tblDiaUtil[[Abreviatura]:[1º Período]],3,FALSE),JORNADA/2)),
        IF(AND(ISNUMBER(tblHorasAgo[Saída - 1 (Almoço)]),ISNUMBER(tblHorasAgo[Entrada - 1])),
              IF(OR(AND(tblHorasAgo[Evento 
(1º Período)]&lt;&gt;"",IF(ISERROR(VLOOKUP(tblHorasAgo[Evento 
(1º Período)],tblEvento[],Tabelas!$E$1,FALSE)),FALSE,VLOOKUP(tblHorasAgo[Evento 
(1º Período)],tblEvento[],Tabelas!$E$1,FALSE)="Sim")),IF(VLOOKUP(TEXT(tblHorasAgo[Data],"dddd"),tblDiaUtil[],2,FALSE)="Não",TRUE,FALSE)),
                   tblHorasAgo[Saída - 1 (Almoço)]-tblHorasAgo[Entrada - 1],
                   IF(OR(HOUR(tblHorasAgo[Saída - 1 (Almoço)]-tblHorasAgo[Entrada - 1])&gt;0,ROUND(tblHorasAgo[Saída - 1 (Almoço)]-tblHorasAgo[Entrada - 1],6)&gt;ROUND(CARENCIA,6)),
                          tblHorasAgo[Saída - 1 (Almoço)]-tblHorasAgo[Entrada - 1],
                          0)),
                    0)),0)</f>
        <v>0</v>
      </c>
      <c r="K33" s="4">
        <f>IF($B$6&lt;&gt;"",
IF(AND(tblHorasAgo[Evento 
(2º Período)]&lt;&gt;"",IF(ISERROR(VLOOKUP(tblHorasAgo[Evento 
(2º Período)],tblEvento[],Tabelas!$D$1,FALSE)),FALSE,VLOOKUP(tblHorasAgo[Evento 
(2º Período)],tblEvento[],Tabelas!$D$1,FALSE)="Sim")),
        IF(JORNADA_PERIODO_2&lt;&gt;"",
IF(VLOOKUP(tblHorasAgo[Dia],tblDiaUtil[[Abreviatura]:[2º Período]],4,FALSE)&gt;0,VLOOKUP(tblHorasAgo[Dia],tblDiaUtil[[Abreviatura]:[2º Período]],4,FALSE),JORNADA_PERIODO_2),
IF(VLOOKUP(tblHorasAgo[Dia],tblDiaUtil[[Abreviatura]:[2º Período]],4,FALSE)&gt;0,VLOOKUP(tblHorasAgo[Dia],tblDiaUtil[[Abreviatura]:[2º Período]],4,FALSE),JORNADA/2)),
        IF(AND(ISNUMBER(tblHorasAgo[Saída - 2]),ISNUMBER(tblHorasAgo[Entrada - 2 (Almoço)])),
              IF(OR(AND(tblHorasAgo[Evento 
(2º Período)]&lt;&gt;"",IF(ISERROR(VLOOKUP(tblHorasAgo[Evento 
(2º Período)],tblEvento[],Tabelas!$E$1,FALSE)),FALSE,VLOOKUP(tblHorasAgo[Evento 
(2º Período)],tblEvento[],Tabelas!$E$1,FALSE)="Sim")),IF(VLOOKUP(TEXT(tblHorasAgo[Data],"dddd"),tblDiaUtil[],2,FALSE)="Não",TRUE,FALSE)),
                   tblHorasAgo[Saída - 2]-tblHorasAgo[Entrada - 2 (Almoço)],
                   IF(OR(HOUR(tblHorasAgo[Saída - 2]-tblHorasAgo[Entrada - 2 (Almoço)])&gt;0,MINUTE(tblHorasAgo[Saída - 2]-tblHorasAgo[Entrada - 2 (Almoço)])&gt;CARENCIA),
                         tblHorasAgo[Saída - 2]-tblHorasAgo[Entrada - 2 (Almoço)],
                         0)),
       0)),0)</f>
        <v>0</v>
      </c>
      <c r="L33" s="4">
        <f>tblHorasAgo[Horas Trabalhadas (1º Período)]+tblHorasAgo[Horas Trabalhadas (2º Período)]</f>
        <v>0</v>
      </c>
      <c r="M33" s="4" t="str">
        <f>IF(tblHorasAgo[Data]&lt;&gt;"",
        IF(
AND(VLOOKUP(TEXT(tblHorasAgo[Data],"dddd"),tblDiaUtil[],3,FALSE)="Sim",IF(tblHorasAgo[Evento 
(1º Período)]&lt;&gt;"",IF(VLOOKUP(tblHorasAgo[Evento 
(1º Período)],tblEvento[],Tabelas!$E$1,FALSE)="Sim",FALSE,TRUE),TRUE),IF(tblHorasAgo[Evento 
(2º Período)]&lt;&gt;"",IF(VLOOKUP(tblHorasAgo[Evento 
(2º Período)],tblEvento[],Tabelas!$E$1,FALSE)="Sim",FALSE,TRUE),TRUE)),
              IF(VLOOKUP(tblHorasAgo[Dia],tblDiaUtil[[Abreviatura]:[1º Período]],3,FALSE)&gt;0,VLOOKUP(tblHorasAgo[Dia],tblDiaUtil[[Abreviatura]:[1º Período]],3,FALSE),JORNADA),
              ""),
         "")</f>
        <v/>
      </c>
      <c r="N33" s="14">
        <f>IF(OR(tblHorasAgo[Horas Trabalhadas (1º Período)]&lt;&gt;0,tblHorasAgo[Horas Trabalhadas (2º Período)]&lt;&gt;0),
        IF(ISNUMBER(tblHorasAgo[Jornada Diária]),
              IF(tblHorasAgo[Jornada Diária]&gt;(tblHorasAgo[Horas Trabalhadas (2º Período)]+tblHorasAgo[Horas Trabalhadas (1º Período)]),
                     IF(ROUND((tblHorasAgo[Jornada Diária]-(tblHorasAgo[Horas Trabalhadas (2º Período)]+tblHorasAgo[Horas Trabalhadas (1º Período)])),6)&gt;ROUND(CARENCIA,6),
                           -tblHorasAgo[Jornada Diária]+(tblHorasAgo[Horas Trabalhadas (2º Período)]+tblHorasAgo[Horas Trabalhadas (1º Período)]),
                           0),
                      IF(ROUND((tblHorasAgo[Jornada Diária]-(tblHorasAgo[Horas Trabalhadas (2º Período)]+tblHorasAgo[Horas Trabalhadas (1º Período)])),6)&lt;ROUND(-CARENCIA,6),
                           -tblHorasAgo[Jornada Diária]+(tblHorasAgo[Horas Trabalhadas (2º Período)]+tblHorasAgo[Horas Trabalhadas (1º Período)]),
                           0)),
              tblHorasAgo[Horas Trabalhadas (2º Período)]+tblHorasAgo[Horas Trabalhadas (1º Período)]),
         IF(AND(IF(ISERROR(VLOOKUP(tblHorasAgo[Evento 
(1º Período)],tblEvento[[Evento]:[Libera o Período]],4,FALSE)),FALSE,IF(VLOOKUP(tblHorasAgo[Evento 
(1º Período)],tblEvento[[Evento]:[Libera o Período]],4,FALSE)="Não",TRUE,FALSE)),IF(ISERROR(VLOOKUP(tblHorasAgo[Evento 
(2º Período)],tblEvento[[Evento]:[Libera o Período]],4,FALSE)),FALSE,IF(VLOOKUP(tblHorasAgo[Evento 
(2º Período)],tblEvento[[Evento]:[Libera o Período]],4,FALSE)="Não",TRUE,FALSE))),
-IF(VLOOKUP(tblHorasAgo[Dia],tblDiaUtil[[Abreviatura]:[Total Jornada]],5,FALSE)&lt;&gt;"",VLOOKUP(tblHorasAgo[Dia],tblDiaUtil[[Abreviatura]:[Total Jornada]],5,FALSE),JORNADA),
IF(IF(ISERROR(VLOOKUP(tblHorasAgo[Evento 
(1º Período)],tblEvento[[Evento]:[Libera o Período]],4,FALSE)),FALSE,
IF(VLOOKUP(tblHorasAgo[Evento 
(1º Período)],tblEvento[[Evento]:[Libera o Período]],4,FALSE)="Não",TRUE,FALSE)
),
-IF(VLOOKUP(tblHorasAgo[Dia],tblDiaUtil[[Abreviatura]:[1º Período]],3,FALSE)&lt;&gt;"",VLOOKUP(tblHorasAgo[Dia],tblDiaUtil[[Abreviatura]:[1º Período]],3,FALSE),JORNADA_PERIODO_1),
IF(IF(ISERROR(VLOOKUP(tblHorasAgo[Evento 
(2º Período)],tblEvento[[Evento]:[Libera o Período]],4,FALSE)),FALSE,IF(VLOOKUP(tblHorasAgo[Evento 
(2º Período)],tblEvento[[Evento]:[Libera o Período]],4,FALSE)="Não",TRUE,FALSE)),
-IF(VLOOKUP(tblHorasAgo[Dia],tblDiaUtil[[Abreviatura]:[2º Período]],4,FALSE)&lt;&gt;"",VLOOKUP(tblHorasAgo[Dia],tblDiaUtil[[Abreviatura]:[2º Período]],4,FALSE),JORNADA_PERIODO_2),0))))</f>
        <v>0</v>
      </c>
      <c r="O33" s="14">
        <f>IF(tblHorasAgo[Horas Trabalhadas Além Jornada]&gt;0,
        IF(ISNUMBER(tblHorasAgo[Jornada Diária]),
              IF(HOUR(tblHorasAgo[Horas Trabalhadas Além Jornada])&gt;=VLOOKUP(LIMITE,tblLimiteHora[],Tabelas!$I$1,FALSE),
                    VLOOKUP(LIMITE,tblLimiteHora[],Tabelas!$J$1,FALSE),
                    tblHorasAgo[Horas Trabalhadas Além Jornada]),
              tblHorasAgo[Horas Trabalhadas Além Jornada]),
        tblHorasAgo[Horas Trabalhadas Além Jornada])+O32</f>
        <v>0</v>
      </c>
      <c r="P33" s="14" t="str">
        <f>IF(tblHorasAgo[Horas Trabalhadas Além Jornada]&lt;0,IF(OR(tblHorasAgo[Evento 
(1º Período)]="",tblHorasAgo[Evento 
(2º Período)]=""),tblHorasAgo[Horas Trabalhadas Além Jornada],""),"")</f>
        <v/>
      </c>
      <c r="Q33" s="14" t="str">
        <f>IF(tblHorasAgo[Jornada Diária]&lt;&gt;"",IF((N(tblHorasAgo[Jornada Diária])-ABS(N(tblHorasAgo[Horas Trabalhadas Além Jornada])))=0,1,""),"")</f>
        <v/>
      </c>
      <c r="R33" s="14" t="str">
        <f>IF(tblHorasAgo[Horas Trabalhadas Além Jornada]&gt;0,
IF(AND(VLOOKUP(TEXT(tblHorasAgo[Data],"dddd"),tblDiaUtil[],3,FALSE)="Sim",IF(tblHorasAgo[Evento 
(1º Período)]&lt;&gt;"",IF(VLOOKUP(tblHorasAgo[Evento 
(1º Período)],tblEvento[],Tabelas!$E$1,FALSE)="Sim",FALSE,TRUE),TRUE),IF(tblHorasAgo[Evento 
(2º Período)]&lt;&gt;"",IF(VLOOKUP(tblHorasAgo[Evento 
(2º Período)],tblEvento[],Tabelas!$E$1,FALSE)="Sim",FALSE,TRUE),TRUE)),
tblHorasAgo[Horas Trabalhadas Além Jornada],""),"")</f>
        <v/>
      </c>
      <c r="S33" s="14" t="str">
        <f>IF(tblHorasAgo[Horas Trabalhadas Além Jornada]&gt;0,
IF(OR(VLOOKUP(TEXT(tblHorasAgo[Data],"dddd"),tblDiaUtil[],3,FALSE)="Não",IF(tblHorasAgo[Evento 
(1º Período)]&lt;&gt;"",IF(VLOOKUP(tblHorasAgo[Evento 
(1º Período)],tblEvento[],Tabelas!$E$1,FALSE)="Sim",TRUE,FALSE),FALSE),IF(tblHorasAgo[Evento 
(2º Período)]&lt;&gt;"",IF(VLOOKUP(tblHorasAgo[Evento 
(2º Período)],tblEvento[],Tabelas!$E$1,FALSE)="Sim",TRUE,FALSE),FALSE)),
tblHorasAgo[Horas Trabalhadas Além Jornada],""),"")</f>
        <v/>
      </c>
      <c r="T33" s="15" t="str">
        <f>IF(tblHorasAgo[Evento 
(1º Período)]&lt;&gt;""," - " &amp;VLOOKUP(tblHorasAgo[Evento 
(1º Período)],tblEvento[],Tabelas!$F$1,FALSE),"")&amp;IF(AND(tblHorasAgo[Evento 
(2º Período)]&lt;&gt;"",tblHorasAgo[Evento 
(2º Período)]&lt;&gt;tblHorasAgo[Evento 
(1º Período)])," - " &amp; VLOOKUP(tblHorasAgo[Evento 
(2º Período)],tblEvento[],Tabelas!$F$1,FALSE),"")</f>
        <v/>
      </c>
    </row>
    <row r="34" spans="2:21" x14ac:dyDescent="0.25">
      <c r="B34" s="11" t="str">
        <f t="shared" si="0"/>
        <v/>
      </c>
      <c r="C34" s="12" t="str">
        <f>TEXT(tblHorasAgo[Data],"ddd")</f>
        <v/>
      </c>
      <c r="D34" s="25"/>
      <c r="E34" s="1"/>
      <c r="F34" s="1"/>
      <c r="G34" s="1"/>
      <c r="H34" s="1"/>
      <c r="I34" s="53"/>
      <c r="J34" s="4">
        <f>IF($B$6&lt;&gt;"",
IF(AND(tblHorasAgo[Evento 
(1º Período)]&lt;&gt;"",IF(ISERROR(VLOOKUP(tblHorasAgo[Evento 
(1º Período)],tblEvento[],Tabelas!$D$1,FALSE)),FALSE,VLOOKUP(tblHorasAgo[Evento 
(1º Período)],tblEvento[],Tabelas!$D$1,FALSE)="Sim")),
        IF(JORNADA_PERIODO_1&lt;&gt;"",
IF(VLOOKUP(tblHorasAgo[Dia],tblDiaUtil[[Abreviatura]:[1º Período]],3,FALSE)&gt;0,VLOOKUP(tblHorasAgo[Dia],tblDiaUtil[[Abreviatura]:[1º Período]],3,FALSE),JORNADA_PERIODO_1),
IF(VLOOKUP(tblHorasAgo[Dia],tblDiaUtil[[Abreviatura]:[1º Período]],3,FALSE)&gt;0,VLOOKUP(tblHorasAgo[Dia],tblDiaUtil[[Abreviatura]:[1º Período]],3,FALSE),JORNADA/2)),
        IF(AND(ISNUMBER(tblHorasAgo[Saída - 1 (Almoço)]),ISNUMBER(tblHorasAgo[Entrada - 1])),
              IF(OR(AND(tblHorasAgo[Evento 
(1º Período)]&lt;&gt;"",IF(ISERROR(VLOOKUP(tblHorasAgo[Evento 
(1º Período)],tblEvento[],Tabelas!$E$1,FALSE)),FALSE,VLOOKUP(tblHorasAgo[Evento 
(1º Período)],tblEvento[],Tabelas!$E$1,FALSE)="Sim")),IF(VLOOKUP(TEXT(tblHorasAgo[Data],"dddd"),tblDiaUtil[],2,FALSE)="Não",TRUE,FALSE)),
                   tblHorasAgo[Saída - 1 (Almoço)]-tblHorasAgo[Entrada - 1],
                   IF(OR(HOUR(tblHorasAgo[Saída - 1 (Almoço)]-tblHorasAgo[Entrada - 1])&gt;0,ROUND(tblHorasAgo[Saída - 1 (Almoço)]-tblHorasAgo[Entrada - 1],6)&gt;ROUND(CARENCIA,6)),
                          tblHorasAgo[Saída - 1 (Almoço)]-tblHorasAgo[Entrada - 1],
                          0)),
                    0)),0)</f>
        <v>0</v>
      </c>
      <c r="K34" s="4">
        <f>IF($B$6&lt;&gt;"",
IF(AND(tblHorasAgo[Evento 
(2º Período)]&lt;&gt;"",IF(ISERROR(VLOOKUP(tblHorasAgo[Evento 
(2º Período)],tblEvento[],Tabelas!$D$1,FALSE)),FALSE,VLOOKUP(tblHorasAgo[Evento 
(2º Período)],tblEvento[],Tabelas!$D$1,FALSE)="Sim")),
        IF(JORNADA_PERIODO_2&lt;&gt;"",
IF(VLOOKUP(tblHorasAgo[Dia],tblDiaUtil[[Abreviatura]:[2º Período]],4,FALSE)&gt;0,VLOOKUP(tblHorasAgo[Dia],tblDiaUtil[[Abreviatura]:[2º Período]],4,FALSE),JORNADA_PERIODO_2),
IF(VLOOKUP(tblHorasAgo[Dia],tblDiaUtil[[Abreviatura]:[2º Período]],4,FALSE)&gt;0,VLOOKUP(tblHorasAgo[Dia],tblDiaUtil[[Abreviatura]:[2º Período]],4,FALSE),JORNADA/2)),
        IF(AND(ISNUMBER(tblHorasAgo[Saída - 2]),ISNUMBER(tblHorasAgo[Entrada - 2 (Almoço)])),
              IF(OR(AND(tblHorasAgo[Evento 
(2º Período)]&lt;&gt;"",IF(ISERROR(VLOOKUP(tblHorasAgo[Evento 
(2º Período)],tblEvento[],Tabelas!$E$1,FALSE)),FALSE,VLOOKUP(tblHorasAgo[Evento 
(2º Período)],tblEvento[],Tabelas!$E$1,FALSE)="Sim")),IF(VLOOKUP(TEXT(tblHorasAgo[Data],"dddd"),tblDiaUtil[],2,FALSE)="Não",TRUE,FALSE)),
                   tblHorasAgo[Saída - 2]-tblHorasAgo[Entrada - 2 (Almoço)],
                   IF(OR(HOUR(tblHorasAgo[Saída - 2]-tblHorasAgo[Entrada - 2 (Almoço)])&gt;0,MINUTE(tblHorasAgo[Saída - 2]-tblHorasAgo[Entrada - 2 (Almoço)])&gt;CARENCIA),
                         tblHorasAgo[Saída - 2]-tblHorasAgo[Entrada - 2 (Almoço)],
                         0)),
       0)),0)</f>
        <v>0</v>
      </c>
      <c r="L34" s="4">
        <f>tblHorasAgo[Horas Trabalhadas (1º Período)]+tblHorasAgo[Horas Trabalhadas (2º Período)]</f>
        <v>0</v>
      </c>
      <c r="M34" s="4" t="str">
        <f>IF(tblHorasAgo[Data]&lt;&gt;"",
        IF(
AND(VLOOKUP(TEXT(tblHorasAgo[Data],"dddd"),tblDiaUtil[],3,FALSE)="Sim",IF(tblHorasAgo[Evento 
(1º Período)]&lt;&gt;"",IF(VLOOKUP(tblHorasAgo[Evento 
(1º Período)],tblEvento[],Tabelas!$E$1,FALSE)="Sim",FALSE,TRUE),TRUE),IF(tblHorasAgo[Evento 
(2º Período)]&lt;&gt;"",IF(VLOOKUP(tblHorasAgo[Evento 
(2º Período)],tblEvento[],Tabelas!$E$1,FALSE)="Sim",FALSE,TRUE),TRUE)),
              IF(VLOOKUP(tblHorasAgo[Dia],tblDiaUtil[[Abreviatura]:[1º Período]],3,FALSE)&gt;0,VLOOKUP(tblHorasAgo[Dia],tblDiaUtil[[Abreviatura]:[1º Período]],3,FALSE),JORNADA),
              ""),
         "")</f>
        <v/>
      </c>
      <c r="N34" s="14">
        <f>IF(OR(tblHorasAgo[Horas Trabalhadas (1º Período)]&lt;&gt;0,tblHorasAgo[Horas Trabalhadas (2º Período)]&lt;&gt;0),
        IF(ISNUMBER(tblHorasAgo[Jornada Diária]),
              IF(tblHorasAgo[Jornada Diária]&gt;(tblHorasAgo[Horas Trabalhadas (2º Período)]+tblHorasAgo[Horas Trabalhadas (1º Período)]),
                     IF(ROUND((tblHorasAgo[Jornada Diária]-(tblHorasAgo[Horas Trabalhadas (2º Período)]+tblHorasAgo[Horas Trabalhadas (1º Período)])),6)&gt;ROUND(CARENCIA,6),
                           -tblHorasAgo[Jornada Diária]+(tblHorasAgo[Horas Trabalhadas (2º Período)]+tblHorasAgo[Horas Trabalhadas (1º Período)]),
                           0),
                      IF(ROUND((tblHorasAgo[Jornada Diária]-(tblHorasAgo[Horas Trabalhadas (2º Período)]+tblHorasAgo[Horas Trabalhadas (1º Período)])),6)&lt;ROUND(-CARENCIA,6),
                           -tblHorasAgo[Jornada Diária]+(tblHorasAgo[Horas Trabalhadas (2º Período)]+tblHorasAgo[Horas Trabalhadas (1º Período)]),
                           0)),
              tblHorasAgo[Horas Trabalhadas (2º Período)]+tblHorasAgo[Horas Trabalhadas (1º Período)]),
         IF(AND(IF(ISERROR(VLOOKUP(tblHorasAgo[Evento 
(1º Período)],tblEvento[[Evento]:[Libera o Período]],4,FALSE)),FALSE,IF(VLOOKUP(tblHorasAgo[Evento 
(1º Período)],tblEvento[[Evento]:[Libera o Período]],4,FALSE)="Não",TRUE,FALSE)),IF(ISERROR(VLOOKUP(tblHorasAgo[Evento 
(2º Período)],tblEvento[[Evento]:[Libera o Período]],4,FALSE)),FALSE,IF(VLOOKUP(tblHorasAgo[Evento 
(2º Período)],tblEvento[[Evento]:[Libera o Período]],4,FALSE)="Não",TRUE,FALSE))),
-IF(VLOOKUP(tblHorasAgo[Dia],tblDiaUtil[[Abreviatura]:[Total Jornada]],5,FALSE)&lt;&gt;"",VLOOKUP(tblHorasAgo[Dia],tblDiaUtil[[Abreviatura]:[Total Jornada]],5,FALSE),JORNADA),
IF(IF(ISERROR(VLOOKUP(tblHorasAgo[Evento 
(1º Período)],tblEvento[[Evento]:[Libera o Período]],4,FALSE)),FALSE,
IF(VLOOKUP(tblHorasAgo[Evento 
(1º Período)],tblEvento[[Evento]:[Libera o Período]],4,FALSE)="Não",TRUE,FALSE)
),
-IF(VLOOKUP(tblHorasAgo[Dia],tblDiaUtil[[Abreviatura]:[1º Período]],3,FALSE)&lt;&gt;"",VLOOKUP(tblHorasAgo[Dia],tblDiaUtil[[Abreviatura]:[1º Período]],3,FALSE),JORNADA_PERIODO_1),
IF(IF(ISERROR(VLOOKUP(tblHorasAgo[Evento 
(2º Período)],tblEvento[[Evento]:[Libera o Período]],4,FALSE)),FALSE,IF(VLOOKUP(tblHorasAgo[Evento 
(2º Período)],tblEvento[[Evento]:[Libera o Período]],4,FALSE)="Não",TRUE,FALSE)),
-IF(VLOOKUP(tblHorasAgo[Dia],tblDiaUtil[[Abreviatura]:[2º Período]],4,FALSE)&lt;&gt;"",VLOOKUP(tblHorasAgo[Dia],tblDiaUtil[[Abreviatura]:[2º Período]],4,FALSE),JORNADA_PERIODO_2),0))))</f>
        <v>0</v>
      </c>
      <c r="O34" s="14">
        <f>IF(tblHorasAgo[Horas Trabalhadas Além Jornada]&gt;0,
        IF(ISNUMBER(tblHorasAgo[Jornada Diária]),
              IF(HOUR(tblHorasAgo[Horas Trabalhadas Além Jornada])&gt;=VLOOKUP(LIMITE,tblLimiteHora[],Tabelas!$I$1,FALSE),
                    VLOOKUP(LIMITE,tblLimiteHora[],Tabelas!$J$1,FALSE),
                    tblHorasAgo[Horas Trabalhadas Além Jornada]),
              tblHorasAgo[Horas Trabalhadas Além Jornada]),
        tblHorasAgo[Horas Trabalhadas Além Jornada])+O33</f>
        <v>0</v>
      </c>
      <c r="P34" s="14" t="str">
        <f>IF(tblHorasAgo[Horas Trabalhadas Além Jornada]&lt;0,IF(OR(tblHorasAgo[Evento 
(1º Período)]="",tblHorasAgo[Evento 
(2º Período)]=""),tblHorasAgo[Horas Trabalhadas Além Jornada],""),"")</f>
        <v/>
      </c>
      <c r="Q34" s="14" t="str">
        <f>IF(tblHorasAgo[Jornada Diária]&lt;&gt;"",IF((N(tblHorasAgo[Jornada Diária])-ABS(N(tblHorasAgo[Horas Trabalhadas Além Jornada])))=0,1,""),"")</f>
        <v/>
      </c>
      <c r="R34" s="14" t="str">
        <f>IF(tblHorasAgo[Horas Trabalhadas Além Jornada]&gt;0,
IF(AND(VLOOKUP(TEXT(tblHorasAgo[Data],"dddd"),tblDiaUtil[],3,FALSE)="Sim",IF(tblHorasAgo[Evento 
(1º Período)]&lt;&gt;"",IF(VLOOKUP(tblHorasAgo[Evento 
(1º Período)],tblEvento[],Tabelas!$E$1,FALSE)="Sim",FALSE,TRUE),TRUE),IF(tblHorasAgo[Evento 
(2º Período)]&lt;&gt;"",IF(VLOOKUP(tblHorasAgo[Evento 
(2º Período)],tblEvento[],Tabelas!$E$1,FALSE)="Sim",FALSE,TRUE),TRUE)),
tblHorasAgo[Horas Trabalhadas Além Jornada],""),"")</f>
        <v/>
      </c>
      <c r="S34" s="14" t="str">
        <f>IF(tblHorasAgo[Horas Trabalhadas Além Jornada]&gt;0,
IF(OR(VLOOKUP(TEXT(tblHorasAgo[Data],"dddd"),tblDiaUtil[],3,FALSE)="Não",IF(tblHorasAgo[Evento 
(1º Período)]&lt;&gt;"",IF(VLOOKUP(tblHorasAgo[Evento 
(1º Período)],tblEvento[],Tabelas!$E$1,FALSE)="Sim",TRUE,FALSE),FALSE),IF(tblHorasAgo[Evento 
(2º Período)]&lt;&gt;"",IF(VLOOKUP(tblHorasAgo[Evento 
(2º Período)],tblEvento[],Tabelas!$E$1,FALSE)="Sim",TRUE,FALSE),FALSE)),
tblHorasAgo[Horas Trabalhadas Além Jornada],""),"")</f>
        <v/>
      </c>
      <c r="T34" s="15" t="str">
        <f>IF(tblHorasAgo[Evento 
(1º Período)]&lt;&gt;""," - " &amp;VLOOKUP(tblHorasAgo[Evento 
(1º Período)],tblEvento[],Tabelas!$F$1,FALSE),"")&amp;IF(AND(tblHorasAgo[Evento 
(2º Período)]&lt;&gt;"",tblHorasAgo[Evento 
(2º Período)]&lt;&gt;tblHorasAgo[Evento 
(1º Período)])," - " &amp; VLOOKUP(tblHorasAgo[Evento 
(2º Período)],tblEvento[],Tabelas!$F$1,FALSE),"")</f>
        <v/>
      </c>
    </row>
    <row r="35" spans="2:21" x14ac:dyDescent="0.25">
      <c r="B35" s="11" t="str">
        <f t="shared" si="0"/>
        <v/>
      </c>
      <c r="C35" s="12" t="str">
        <f>TEXT(tblHorasAgo[Data],"ddd")</f>
        <v/>
      </c>
      <c r="D35" s="25"/>
      <c r="E35" s="1"/>
      <c r="F35" s="1"/>
      <c r="G35" s="1"/>
      <c r="H35" s="1"/>
      <c r="I35" s="53"/>
      <c r="J35" s="4">
        <f>IF($B$6&lt;&gt;"",
IF(AND(tblHorasAgo[Evento 
(1º Período)]&lt;&gt;"",IF(ISERROR(VLOOKUP(tblHorasAgo[Evento 
(1º Período)],tblEvento[],Tabelas!$D$1,FALSE)),FALSE,VLOOKUP(tblHorasAgo[Evento 
(1º Período)],tblEvento[],Tabelas!$D$1,FALSE)="Sim")),
        IF(JORNADA_PERIODO_1&lt;&gt;"",
IF(VLOOKUP(tblHorasAgo[Dia],tblDiaUtil[[Abreviatura]:[1º Período]],3,FALSE)&gt;0,VLOOKUP(tblHorasAgo[Dia],tblDiaUtil[[Abreviatura]:[1º Período]],3,FALSE),JORNADA_PERIODO_1),
IF(VLOOKUP(tblHorasAgo[Dia],tblDiaUtil[[Abreviatura]:[1º Período]],3,FALSE)&gt;0,VLOOKUP(tblHorasAgo[Dia],tblDiaUtil[[Abreviatura]:[1º Período]],3,FALSE),JORNADA/2)),
        IF(AND(ISNUMBER(tblHorasAgo[Saída - 1 (Almoço)]),ISNUMBER(tblHorasAgo[Entrada - 1])),
              IF(OR(AND(tblHorasAgo[Evento 
(1º Período)]&lt;&gt;"",IF(ISERROR(VLOOKUP(tblHorasAgo[Evento 
(1º Período)],tblEvento[],Tabelas!$E$1,FALSE)),FALSE,VLOOKUP(tblHorasAgo[Evento 
(1º Período)],tblEvento[],Tabelas!$E$1,FALSE)="Sim")),IF(VLOOKUP(TEXT(tblHorasAgo[Data],"dddd"),tblDiaUtil[],2,FALSE)="Não",TRUE,FALSE)),
                   tblHorasAgo[Saída - 1 (Almoço)]-tblHorasAgo[Entrada - 1],
                   IF(OR(HOUR(tblHorasAgo[Saída - 1 (Almoço)]-tblHorasAgo[Entrada - 1])&gt;0,ROUND(tblHorasAgo[Saída - 1 (Almoço)]-tblHorasAgo[Entrada - 1],6)&gt;ROUND(CARENCIA,6)),
                          tblHorasAgo[Saída - 1 (Almoço)]-tblHorasAgo[Entrada - 1],
                          0)),
                    0)),0)</f>
        <v>0</v>
      </c>
      <c r="K35" s="4">
        <f>IF($B$6&lt;&gt;"",
IF(AND(tblHorasAgo[Evento 
(2º Período)]&lt;&gt;"",IF(ISERROR(VLOOKUP(tblHorasAgo[Evento 
(2º Período)],tblEvento[],Tabelas!$D$1,FALSE)),FALSE,VLOOKUP(tblHorasAgo[Evento 
(2º Período)],tblEvento[],Tabelas!$D$1,FALSE)="Sim")),
        IF(JORNADA_PERIODO_2&lt;&gt;"",
IF(VLOOKUP(tblHorasAgo[Dia],tblDiaUtil[[Abreviatura]:[2º Período]],4,FALSE)&gt;0,VLOOKUP(tblHorasAgo[Dia],tblDiaUtil[[Abreviatura]:[2º Período]],4,FALSE),JORNADA_PERIODO_2),
IF(VLOOKUP(tblHorasAgo[Dia],tblDiaUtil[[Abreviatura]:[2º Período]],4,FALSE)&gt;0,VLOOKUP(tblHorasAgo[Dia],tblDiaUtil[[Abreviatura]:[2º Período]],4,FALSE),JORNADA/2)),
        IF(AND(ISNUMBER(tblHorasAgo[Saída - 2]),ISNUMBER(tblHorasAgo[Entrada - 2 (Almoço)])),
              IF(OR(AND(tblHorasAgo[Evento 
(2º Período)]&lt;&gt;"",IF(ISERROR(VLOOKUP(tblHorasAgo[Evento 
(2º Período)],tblEvento[],Tabelas!$E$1,FALSE)),FALSE,VLOOKUP(tblHorasAgo[Evento 
(2º Período)],tblEvento[],Tabelas!$E$1,FALSE)="Sim")),IF(VLOOKUP(TEXT(tblHorasAgo[Data],"dddd"),tblDiaUtil[],2,FALSE)="Não",TRUE,FALSE)),
                   tblHorasAgo[Saída - 2]-tblHorasAgo[Entrada - 2 (Almoço)],
                   IF(OR(HOUR(tblHorasAgo[Saída - 2]-tblHorasAgo[Entrada - 2 (Almoço)])&gt;0,MINUTE(tblHorasAgo[Saída - 2]-tblHorasAgo[Entrada - 2 (Almoço)])&gt;CARENCIA),
                         tblHorasAgo[Saída - 2]-tblHorasAgo[Entrada - 2 (Almoço)],
                         0)),
       0)),0)</f>
        <v>0</v>
      </c>
      <c r="L35" s="4">
        <f>tblHorasAgo[Horas Trabalhadas (1º Período)]+tblHorasAgo[Horas Trabalhadas (2º Período)]</f>
        <v>0</v>
      </c>
      <c r="M35" s="4" t="str">
        <f>IF(tblHorasAgo[Data]&lt;&gt;"",
        IF(
AND(VLOOKUP(TEXT(tblHorasAgo[Data],"dddd"),tblDiaUtil[],3,FALSE)="Sim",IF(tblHorasAgo[Evento 
(1º Período)]&lt;&gt;"",IF(VLOOKUP(tblHorasAgo[Evento 
(1º Período)],tblEvento[],Tabelas!$E$1,FALSE)="Sim",FALSE,TRUE),TRUE),IF(tblHorasAgo[Evento 
(2º Período)]&lt;&gt;"",IF(VLOOKUP(tblHorasAgo[Evento 
(2º Período)],tblEvento[],Tabelas!$E$1,FALSE)="Sim",FALSE,TRUE),TRUE)),
              IF(VLOOKUP(tblHorasAgo[Dia],tblDiaUtil[[Abreviatura]:[1º Período]],3,FALSE)&gt;0,VLOOKUP(tblHorasAgo[Dia],tblDiaUtil[[Abreviatura]:[1º Período]],3,FALSE),JORNADA),
              ""),
         "")</f>
        <v/>
      </c>
      <c r="N35" s="14">
        <f>IF(OR(tblHorasAgo[Horas Trabalhadas (1º Período)]&lt;&gt;0,tblHorasAgo[Horas Trabalhadas (2º Período)]&lt;&gt;0),
        IF(ISNUMBER(tblHorasAgo[Jornada Diária]),
              IF(tblHorasAgo[Jornada Diária]&gt;(tblHorasAgo[Horas Trabalhadas (2º Período)]+tblHorasAgo[Horas Trabalhadas (1º Período)]),
                     IF(ROUND((tblHorasAgo[Jornada Diária]-(tblHorasAgo[Horas Trabalhadas (2º Período)]+tblHorasAgo[Horas Trabalhadas (1º Período)])),6)&gt;ROUND(CARENCIA,6),
                           -tblHorasAgo[Jornada Diária]+(tblHorasAgo[Horas Trabalhadas (2º Período)]+tblHorasAgo[Horas Trabalhadas (1º Período)]),
                           0),
                      IF(ROUND((tblHorasAgo[Jornada Diária]-(tblHorasAgo[Horas Trabalhadas (2º Período)]+tblHorasAgo[Horas Trabalhadas (1º Período)])),6)&lt;ROUND(-CARENCIA,6),
                           -tblHorasAgo[Jornada Diária]+(tblHorasAgo[Horas Trabalhadas (2º Período)]+tblHorasAgo[Horas Trabalhadas (1º Período)]),
                           0)),
              tblHorasAgo[Horas Trabalhadas (2º Período)]+tblHorasAgo[Horas Trabalhadas (1º Período)]),
         IF(AND(IF(ISERROR(VLOOKUP(tblHorasAgo[Evento 
(1º Período)],tblEvento[[Evento]:[Libera o Período]],4,FALSE)),FALSE,IF(VLOOKUP(tblHorasAgo[Evento 
(1º Período)],tblEvento[[Evento]:[Libera o Período]],4,FALSE)="Não",TRUE,FALSE)),IF(ISERROR(VLOOKUP(tblHorasAgo[Evento 
(2º Período)],tblEvento[[Evento]:[Libera o Período]],4,FALSE)),FALSE,IF(VLOOKUP(tblHorasAgo[Evento 
(2º Período)],tblEvento[[Evento]:[Libera o Período]],4,FALSE)="Não",TRUE,FALSE))),
-IF(VLOOKUP(tblHorasAgo[Dia],tblDiaUtil[[Abreviatura]:[Total Jornada]],5,FALSE)&lt;&gt;"",VLOOKUP(tblHorasAgo[Dia],tblDiaUtil[[Abreviatura]:[Total Jornada]],5,FALSE),JORNADA),
IF(IF(ISERROR(VLOOKUP(tblHorasAgo[Evento 
(1º Período)],tblEvento[[Evento]:[Libera o Período]],4,FALSE)),FALSE,
IF(VLOOKUP(tblHorasAgo[Evento 
(1º Período)],tblEvento[[Evento]:[Libera o Período]],4,FALSE)="Não",TRUE,FALSE)
),
-IF(VLOOKUP(tblHorasAgo[Dia],tblDiaUtil[[Abreviatura]:[1º Período]],3,FALSE)&lt;&gt;"",VLOOKUP(tblHorasAgo[Dia],tblDiaUtil[[Abreviatura]:[1º Período]],3,FALSE),JORNADA_PERIODO_1),
IF(IF(ISERROR(VLOOKUP(tblHorasAgo[Evento 
(2º Período)],tblEvento[[Evento]:[Libera o Período]],4,FALSE)),FALSE,IF(VLOOKUP(tblHorasAgo[Evento 
(2º Período)],tblEvento[[Evento]:[Libera o Período]],4,FALSE)="Não",TRUE,FALSE)),
-IF(VLOOKUP(tblHorasAgo[Dia],tblDiaUtil[[Abreviatura]:[2º Período]],4,FALSE)&lt;&gt;"",VLOOKUP(tblHorasAgo[Dia],tblDiaUtil[[Abreviatura]:[2º Período]],4,FALSE),JORNADA_PERIODO_2),0))))</f>
        <v>0</v>
      </c>
      <c r="O35" s="14">
        <f>IF(tblHorasAgo[Horas Trabalhadas Além Jornada]&gt;0,
        IF(ISNUMBER(tblHorasAgo[Jornada Diária]),
              IF(HOUR(tblHorasAgo[Horas Trabalhadas Além Jornada])&gt;=VLOOKUP(LIMITE,tblLimiteHora[],Tabelas!$I$1,FALSE),
                    VLOOKUP(LIMITE,tblLimiteHora[],Tabelas!$J$1,FALSE),
                    tblHorasAgo[Horas Trabalhadas Além Jornada]),
              tblHorasAgo[Horas Trabalhadas Além Jornada]),
        tblHorasAgo[Horas Trabalhadas Além Jornada])+O34</f>
        <v>0</v>
      </c>
      <c r="P35" s="14" t="str">
        <f>IF(tblHorasAgo[Horas Trabalhadas Além Jornada]&lt;0,IF(OR(tblHorasAgo[Evento 
(1º Período)]="",tblHorasAgo[Evento 
(2º Período)]=""),tblHorasAgo[Horas Trabalhadas Além Jornada],""),"")</f>
        <v/>
      </c>
      <c r="Q35" s="14" t="str">
        <f>IF(tblHorasAgo[Jornada Diária]&lt;&gt;"",IF((N(tblHorasAgo[Jornada Diária])-ABS(N(tblHorasAgo[Horas Trabalhadas Além Jornada])))=0,1,""),"")</f>
        <v/>
      </c>
      <c r="R35" s="14" t="str">
        <f>IF(tblHorasAgo[Horas Trabalhadas Além Jornada]&gt;0,
IF(AND(VLOOKUP(TEXT(tblHorasAgo[Data],"dddd"),tblDiaUtil[],3,FALSE)="Sim",IF(tblHorasAgo[Evento 
(1º Período)]&lt;&gt;"",IF(VLOOKUP(tblHorasAgo[Evento 
(1º Período)],tblEvento[],Tabelas!$E$1,FALSE)="Sim",FALSE,TRUE),TRUE),IF(tblHorasAgo[Evento 
(2º Período)]&lt;&gt;"",IF(VLOOKUP(tblHorasAgo[Evento 
(2º Período)],tblEvento[],Tabelas!$E$1,FALSE)="Sim",FALSE,TRUE),TRUE)),
tblHorasAgo[Horas Trabalhadas Além Jornada],""),"")</f>
        <v/>
      </c>
      <c r="S35" s="14" t="str">
        <f>IF(tblHorasAgo[Horas Trabalhadas Além Jornada]&gt;0,
IF(OR(VLOOKUP(TEXT(tblHorasAgo[Data],"dddd"),tblDiaUtil[],3,FALSE)="Não",IF(tblHorasAgo[Evento 
(1º Período)]&lt;&gt;"",IF(VLOOKUP(tblHorasAgo[Evento 
(1º Período)],tblEvento[],Tabelas!$E$1,FALSE)="Sim",TRUE,FALSE),FALSE),IF(tblHorasAgo[Evento 
(2º Período)]&lt;&gt;"",IF(VLOOKUP(tblHorasAgo[Evento 
(2º Período)],tblEvento[],Tabelas!$E$1,FALSE)="Sim",TRUE,FALSE),FALSE)),
tblHorasAgo[Horas Trabalhadas Além Jornada],""),"")</f>
        <v/>
      </c>
      <c r="T35" s="15" t="str">
        <f>IF(tblHorasAgo[Evento 
(1º Período)]&lt;&gt;""," - " &amp;VLOOKUP(tblHorasAgo[Evento 
(1º Período)],tblEvento[],Tabelas!$F$1,FALSE),"")&amp;IF(AND(tblHorasAgo[Evento 
(2º Período)]&lt;&gt;"",tblHorasAgo[Evento 
(2º Período)]&lt;&gt;tblHorasAgo[Evento 
(1º Período)])," - " &amp; VLOOKUP(tblHorasAgo[Evento 
(2º Período)],tblEvento[],Tabelas!$F$1,FALSE),"")</f>
        <v/>
      </c>
    </row>
    <row r="36" spans="2:21" x14ac:dyDescent="0.25">
      <c r="B36" s="11" t="str">
        <f t="shared" si="0"/>
        <v/>
      </c>
      <c r="C36" s="12" t="str">
        <f>TEXT(tblHorasAgo[Data],"ddd")</f>
        <v/>
      </c>
      <c r="D36" s="25"/>
      <c r="E36" s="1"/>
      <c r="F36" s="1"/>
      <c r="G36" s="1"/>
      <c r="H36" s="1"/>
      <c r="I36" s="53"/>
      <c r="J36" s="4">
        <f>IF($B$6&lt;&gt;"",
IF(AND(tblHorasAgo[Evento 
(1º Período)]&lt;&gt;"",IF(ISERROR(VLOOKUP(tblHorasAgo[Evento 
(1º Período)],tblEvento[],Tabelas!$D$1,FALSE)),FALSE,VLOOKUP(tblHorasAgo[Evento 
(1º Período)],tblEvento[],Tabelas!$D$1,FALSE)="Sim")),
        IF(JORNADA_PERIODO_1&lt;&gt;"",
IF(VLOOKUP(tblHorasAgo[Dia],tblDiaUtil[[Abreviatura]:[1º Período]],3,FALSE)&gt;0,VLOOKUP(tblHorasAgo[Dia],tblDiaUtil[[Abreviatura]:[1º Período]],3,FALSE),JORNADA_PERIODO_1),
IF(VLOOKUP(tblHorasAgo[Dia],tblDiaUtil[[Abreviatura]:[1º Período]],3,FALSE)&gt;0,VLOOKUP(tblHorasAgo[Dia],tblDiaUtil[[Abreviatura]:[1º Período]],3,FALSE),JORNADA/2)),
        IF(AND(ISNUMBER(tblHorasAgo[Saída - 1 (Almoço)]),ISNUMBER(tblHorasAgo[Entrada - 1])),
              IF(OR(AND(tblHorasAgo[Evento 
(1º Período)]&lt;&gt;"",IF(ISERROR(VLOOKUP(tblHorasAgo[Evento 
(1º Período)],tblEvento[],Tabelas!$E$1,FALSE)),FALSE,VLOOKUP(tblHorasAgo[Evento 
(1º Período)],tblEvento[],Tabelas!$E$1,FALSE)="Sim")),IF(VLOOKUP(TEXT(tblHorasAgo[Data],"dddd"),tblDiaUtil[],2,FALSE)="Não",TRUE,FALSE)),
                   tblHorasAgo[Saída - 1 (Almoço)]-tblHorasAgo[Entrada - 1],
                   IF(OR(HOUR(tblHorasAgo[Saída - 1 (Almoço)]-tblHorasAgo[Entrada - 1])&gt;0,ROUND(tblHorasAgo[Saída - 1 (Almoço)]-tblHorasAgo[Entrada - 1],6)&gt;ROUND(CARENCIA,6)),
                          tblHorasAgo[Saída - 1 (Almoço)]-tblHorasAgo[Entrada - 1],
                          0)),
                    0)),0)</f>
        <v>0</v>
      </c>
      <c r="K36" s="4">
        <f>IF($B$6&lt;&gt;"",
IF(AND(tblHorasAgo[Evento 
(2º Período)]&lt;&gt;"",IF(ISERROR(VLOOKUP(tblHorasAgo[Evento 
(2º Período)],tblEvento[],Tabelas!$D$1,FALSE)),FALSE,VLOOKUP(tblHorasAgo[Evento 
(2º Período)],tblEvento[],Tabelas!$D$1,FALSE)="Sim")),
        IF(JORNADA_PERIODO_2&lt;&gt;"",
IF(VLOOKUP(tblHorasAgo[Dia],tblDiaUtil[[Abreviatura]:[2º Período]],4,FALSE)&gt;0,VLOOKUP(tblHorasAgo[Dia],tblDiaUtil[[Abreviatura]:[2º Período]],4,FALSE),JORNADA_PERIODO_2),
IF(VLOOKUP(tblHorasAgo[Dia],tblDiaUtil[[Abreviatura]:[2º Período]],4,FALSE)&gt;0,VLOOKUP(tblHorasAgo[Dia],tblDiaUtil[[Abreviatura]:[2º Período]],4,FALSE),JORNADA/2)),
        IF(AND(ISNUMBER(tblHorasAgo[Saída - 2]),ISNUMBER(tblHorasAgo[Entrada - 2 (Almoço)])),
              IF(OR(AND(tblHorasAgo[Evento 
(2º Período)]&lt;&gt;"",IF(ISERROR(VLOOKUP(tblHorasAgo[Evento 
(2º Período)],tblEvento[],Tabelas!$E$1,FALSE)),FALSE,VLOOKUP(tblHorasAgo[Evento 
(2º Período)],tblEvento[],Tabelas!$E$1,FALSE)="Sim")),IF(VLOOKUP(TEXT(tblHorasAgo[Data],"dddd"),tblDiaUtil[],2,FALSE)="Não",TRUE,FALSE)),
                   tblHorasAgo[Saída - 2]-tblHorasAgo[Entrada - 2 (Almoço)],
                   IF(OR(HOUR(tblHorasAgo[Saída - 2]-tblHorasAgo[Entrada - 2 (Almoço)])&gt;0,MINUTE(tblHorasAgo[Saída - 2]-tblHorasAgo[Entrada - 2 (Almoço)])&gt;CARENCIA),
                         tblHorasAgo[Saída - 2]-tblHorasAgo[Entrada - 2 (Almoço)],
                         0)),
       0)),0)</f>
        <v>0</v>
      </c>
      <c r="L36" s="4">
        <f>tblHorasAgo[Horas Trabalhadas (1º Período)]+tblHorasAgo[Horas Trabalhadas (2º Período)]</f>
        <v>0</v>
      </c>
      <c r="M36" s="4" t="str">
        <f>IF(tblHorasAgo[Data]&lt;&gt;"",
        IF(
AND(VLOOKUP(TEXT(tblHorasAgo[Data],"dddd"),tblDiaUtil[],3,FALSE)="Sim",IF(tblHorasAgo[Evento 
(1º Período)]&lt;&gt;"",IF(VLOOKUP(tblHorasAgo[Evento 
(1º Período)],tblEvento[],Tabelas!$E$1,FALSE)="Sim",FALSE,TRUE),TRUE),IF(tblHorasAgo[Evento 
(2º Período)]&lt;&gt;"",IF(VLOOKUP(tblHorasAgo[Evento 
(2º Período)],tblEvento[],Tabelas!$E$1,FALSE)="Sim",FALSE,TRUE),TRUE)),
              IF(VLOOKUP(tblHorasAgo[Dia],tblDiaUtil[[Abreviatura]:[1º Período]],3,FALSE)&gt;0,VLOOKUP(tblHorasAgo[Dia],tblDiaUtil[[Abreviatura]:[1º Período]],3,FALSE),JORNADA),
              ""),
         "")</f>
        <v/>
      </c>
      <c r="N36" s="14">
        <f>IF(OR(tblHorasAgo[Horas Trabalhadas (1º Período)]&lt;&gt;0,tblHorasAgo[Horas Trabalhadas (2º Período)]&lt;&gt;0),
        IF(ISNUMBER(tblHorasAgo[Jornada Diária]),
              IF(tblHorasAgo[Jornada Diária]&gt;(tblHorasAgo[Horas Trabalhadas (2º Período)]+tblHorasAgo[Horas Trabalhadas (1º Período)]),
                     IF(ROUND((tblHorasAgo[Jornada Diária]-(tblHorasAgo[Horas Trabalhadas (2º Período)]+tblHorasAgo[Horas Trabalhadas (1º Período)])),6)&gt;ROUND(CARENCIA,6),
                           -tblHorasAgo[Jornada Diária]+(tblHorasAgo[Horas Trabalhadas (2º Período)]+tblHorasAgo[Horas Trabalhadas (1º Período)]),
                           0),
                      IF(ROUND((tblHorasAgo[Jornada Diária]-(tblHorasAgo[Horas Trabalhadas (2º Período)]+tblHorasAgo[Horas Trabalhadas (1º Período)])),6)&lt;ROUND(-CARENCIA,6),
                           -tblHorasAgo[Jornada Diária]+(tblHorasAgo[Horas Trabalhadas (2º Período)]+tblHorasAgo[Horas Trabalhadas (1º Período)]),
                           0)),
              tblHorasAgo[Horas Trabalhadas (2º Período)]+tblHorasAgo[Horas Trabalhadas (1º Período)]),
         IF(AND(IF(ISERROR(VLOOKUP(tblHorasAgo[Evento 
(1º Período)],tblEvento[[Evento]:[Libera o Período]],4,FALSE)),FALSE,IF(VLOOKUP(tblHorasAgo[Evento 
(1º Período)],tblEvento[[Evento]:[Libera o Período]],4,FALSE)="Não",TRUE,FALSE)),IF(ISERROR(VLOOKUP(tblHorasAgo[Evento 
(2º Período)],tblEvento[[Evento]:[Libera o Período]],4,FALSE)),FALSE,IF(VLOOKUP(tblHorasAgo[Evento 
(2º Período)],tblEvento[[Evento]:[Libera o Período]],4,FALSE)="Não",TRUE,FALSE))),
-IF(VLOOKUP(tblHorasAgo[Dia],tblDiaUtil[[Abreviatura]:[Total Jornada]],5,FALSE)&lt;&gt;"",VLOOKUP(tblHorasAgo[Dia],tblDiaUtil[[Abreviatura]:[Total Jornada]],5,FALSE),JORNADA),
IF(IF(ISERROR(VLOOKUP(tblHorasAgo[Evento 
(1º Período)],tblEvento[[Evento]:[Libera o Período]],4,FALSE)),FALSE,
IF(VLOOKUP(tblHorasAgo[Evento 
(1º Período)],tblEvento[[Evento]:[Libera o Período]],4,FALSE)="Não",TRUE,FALSE)
),
-IF(VLOOKUP(tblHorasAgo[Dia],tblDiaUtil[[Abreviatura]:[1º Período]],3,FALSE)&lt;&gt;"",VLOOKUP(tblHorasAgo[Dia],tblDiaUtil[[Abreviatura]:[1º Período]],3,FALSE),JORNADA_PERIODO_1),
IF(IF(ISERROR(VLOOKUP(tblHorasAgo[Evento 
(2º Período)],tblEvento[[Evento]:[Libera o Período]],4,FALSE)),FALSE,IF(VLOOKUP(tblHorasAgo[Evento 
(2º Período)],tblEvento[[Evento]:[Libera o Período]],4,FALSE)="Não",TRUE,FALSE)),
-IF(VLOOKUP(tblHorasAgo[Dia],tblDiaUtil[[Abreviatura]:[2º Período]],4,FALSE)&lt;&gt;"",VLOOKUP(tblHorasAgo[Dia],tblDiaUtil[[Abreviatura]:[2º Período]],4,FALSE),JORNADA_PERIODO_2),0))))</f>
        <v>0</v>
      </c>
      <c r="O36" s="14">
        <f>IF(tblHorasAgo[Horas Trabalhadas Além Jornada]&gt;0,
        IF(ISNUMBER(tblHorasAgo[Jornada Diária]),
              IF(HOUR(tblHorasAgo[Horas Trabalhadas Além Jornada])&gt;=VLOOKUP(LIMITE,tblLimiteHora[],Tabelas!$I$1,FALSE),
                    VLOOKUP(LIMITE,tblLimiteHora[],Tabelas!$J$1,FALSE),
                    tblHorasAgo[Horas Trabalhadas Além Jornada]),
              tblHorasAgo[Horas Trabalhadas Além Jornada]),
        tblHorasAgo[Horas Trabalhadas Além Jornada])+O35</f>
        <v>0</v>
      </c>
      <c r="P36" s="14" t="str">
        <f>IF(tblHorasAgo[Horas Trabalhadas Além Jornada]&lt;0,IF(OR(tblHorasAgo[Evento 
(1º Período)]="",tblHorasAgo[Evento 
(2º Período)]=""),tblHorasAgo[Horas Trabalhadas Além Jornada],""),"")</f>
        <v/>
      </c>
      <c r="Q36" s="14" t="str">
        <f>IF(tblHorasAgo[Jornada Diária]&lt;&gt;"",IF((N(tblHorasAgo[Jornada Diária])-ABS(N(tblHorasAgo[Horas Trabalhadas Além Jornada])))=0,1,""),"")</f>
        <v/>
      </c>
      <c r="R36" s="14" t="str">
        <f>IF(tblHorasAgo[Horas Trabalhadas Além Jornada]&gt;0,
IF(AND(VLOOKUP(TEXT(tblHorasAgo[Data],"dddd"),tblDiaUtil[],3,FALSE)="Sim",IF(tblHorasAgo[Evento 
(1º Período)]&lt;&gt;"",IF(VLOOKUP(tblHorasAgo[Evento 
(1º Período)],tblEvento[],Tabelas!$E$1,FALSE)="Sim",FALSE,TRUE),TRUE),IF(tblHorasAgo[Evento 
(2º Período)]&lt;&gt;"",IF(VLOOKUP(tblHorasAgo[Evento 
(2º Período)],tblEvento[],Tabelas!$E$1,FALSE)="Sim",FALSE,TRUE),TRUE)),
tblHorasAgo[Horas Trabalhadas Além Jornada],""),"")</f>
        <v/>
      </c>
      <c r="S36" s="14" t="str">
        <f>IF(tblHorasAgo[Horas Trabalhadas Além Jornada]&gt;0,
IF(OR(VLOOKUP(TEXT(tblHorasAgo[Data],"dddd"),tblDiaUtil[],3,FALSE)="Não",IF(tblHorasAgo[Evento 
(1º Período)]&lt;&gt;"",IF(VLOOKUP(tblHorasAgo[Evento 
(1º Período)],tblEvento[],Tabelas!$E$1,FALSE)="Sim",TRUE,FALSE),FALSE),IF(tblHorasAgo[Evento 
(2º Período)]&lt;&gt;"",IF(VLOOKUP(tblHorasAgo[Evento 
(2º Período)],tblEvento[],Tabelas!$E$1,FALSE)="Sim",TRUE,FALSE),FALSE)),
tblHorasAgo[Horas Trabalhadas Além Jornada],""),"")</f>
        <v/>
      </c>
      <c r="T36" s="15" t="str">
        <f>IF(tblHorasAgo[Evento 
(1º Período)]&lt;&gt;""," - " &amp;VLOOKUP(tblHorasAgo[Evento 
(1º Período)],tblEvento[],Tabelas!$F$1,FALSE),"")&amp;IF(AND(tblHorasAgo[Evento 
(2º Período)]&lt;&gt;"",tblHorasAgo[Evento 
(2º Período)]&lt;&gt;tblHorasAgo[Evento 
(1º Período)])," - " &amp; VLOOKUP(tblHorasAgo[Evento 
(2º Período)],tblEvento[],Tabelas!$F$1,FALSE),"")</f>
        <v/>
      </c>
    </row>
    <row r="37" spans="2:21" x14ac:dyDescent="0.25">
      <c r="B37" s="11" t="str">
        <f t="shared" si="0"/>
        <v/>
      </c>
      <c r="C37" s="12" t="str">
        <f>TEXT(tblHorasAgo[Data],"ddd")</f>
        <v/>
      </c>
      <c r="D37" s="25"/>
      <c r="E37" s="1"/>
      <c r="F37" s="1"/>
      <c r="G37" s="1"/>
      <c r="H37" s="1"/>
      <c r="I37" s="53"/>
      <c r="J37" s="4">
        <f>IF($B$6&lt;&gt;"",
IF(AND(tblHorasAgo[Evento 
(1º Período)]&lt;&gt;"",IF(ISERROR(VLOOKUP(tblHorasAgo[Evento 
(1º Período)],tblEvento[],Tabelas!$D$1,FALSE)),FALSE,VLOOKUP(tblHorasAgo[Evento 
(1º Período)],tblEvento[],Tabelas!$D$1,FALSE)="Sim")),
        IF(JORNADA_PERIODO_1&lt;&gt;"",
IF(VLOOKUP(tblHorasAgo[Dia],tblDiaUtil[[Abreviatura]:[1º Período]],3,FALSE)&gt;0,VLOOKUP(tblHorasAgo[Dia],tblDiaUtil[[Abreviatura]:[1º Período]],3,FALSE),JORNADA_PERIODO_1),
IF(VLOOKUP(tblHorasAgo[Dia],tblDiaUtil[[Abreviatura]:[1º Período]],3,FALSE)&gt;0,VLOOKUP(tblHorasAgo[Dia],tblDiaUtil[[Abreviatura]:[1º Período]],3,FALSE),JORNADA/2)),
        IF(AND(ISNUMBER(tblHorasAgo[Saída - 1 (Almoço)]),ISNUMBER(tblHorasAgo[Entrada - 1])),
              IF(OR(AND(tblHorasAgo[Evento 
(1º Período)]&lt;&gt;"",IF(ISERROR(VLOOKUP(tblHorasAgo[Evento 
(1º Período)],tblEvento[],Tabelas!$E$1,FALSE)),FALSE,VLOOKUP(tblHorasAgo[Evento 
(1º Período)],tblEvento[],Tabelas!$E$1,FALSE)="Sim")),IF(VLOOKUP(TEXT(tblHorasAgo[Data],"dddd"),tblDiaUtil[],2,FALSE)="Não",TRUE,FALSE)),
                   tblHorasAgo[Saída - 1 (Almoço)]-tblHorasAgo[Entrada - 1],
                   IF(OR(HOUR(tblHorasAgo[Saída - 1 (Almoço)]-tblHorasAgo[Entrada - 1])&gt;0,ROUND(tblHorasAgo[Saída - 1 (Almoço)]-tblHorasAgo[Entrada - 1],6)&gt;ROUND(CARENCIA,6)),
                          tblHorasAgo[Saída - 1 (Almoço)]-tblHorasAgo[Entrada - 1],
                          0)),
                    0)),0)</f>
        <v>0</v>
      </c>
      <c r="K37" s="4">
        <f>IF($B$6&lt;&gt;"",
IF(AND(tblHorasAgo[Evento 
(2º Período)]&lt;&gt;"",IF(ISERROR(VLOOKUP(tblHorasAgo[Evento 
(2º Período)],tblEvento[],Tabelas!$D$1,FALSE)),FALSE,VLOOKUP(tblHorasAgo[Evento 
(2º Período)],tblEvento[],Tabelas!$D$1,FALSE)="Sim")),
        IF(JORNADA_PERIODO_2&lt;&gt;"",
IF(VLOOKUP(tblHorasAgo[Dia],tblDiaUtil[[Abreviatura]:[2º Período]],4,FALSE)&gt;0,VLOOKUP(tblHorasAgo[Dia],tblDiaUtil[[Abreviatura]:[2º Período]],4,FALSE),JORNADA_PERIODO_2),
IF(VLOOKUP(tblHorasAgo[Dia],tblDiaUtil[[Abreviatura]:[2º Período]],4,FALSE)&gt;0,VLOOKUP(tblHorasAgo[Dia],tblDiaUtil[[Abreviatura]:[2º Período]],4,FALSE),JORNADA/2)),
        IF(AND(ISNUMBER(tblHorasAgo[Saída - 2]),ISNUMBER(tblHorasAgo[Entrada - 2 (Almoço)])),
              IF(OR(AND(tblHorasAgo[Evento 
(2º Período)]&lt;&gt;"",IF(ISERROR(VLOOKUP(tblHorasAgo[Evento 
(2º Período)],tblEvento[],Tabelas!$E$1,FALSE)),FALSE,VLOOKUP(tblHorasAgo[Evento 
(2º Período)],tblEvento[],Tabelas!$E$1,FALSE)="Sim")),IF(VLOOKUP(TEXT(tblHorasAgo[Data],"dddd"),tblDiaUtil[],2,FALSE)="Não",TRUE,FALSE)),
                   tblHorasAgo[Saída - 2]-tblHorasAgo[Entrada - 2 (Almoço)],
                   IF(OR(HOUR(tblHorasAgo[Saída - 2]-tblHorasAgo[Entrada - 2 (Almoço)])&gt;0,MINUTE(tblHorasAgo[Saída - 2]-tblHorasAgo[Entrada - 2 (Almoço)])&gt;CARENCIA),
                         tblHorasAgo[Saída - 2]-tblHorasAgo[Entrada - 2 (Almoço)],
                         0)),
       0)),0)</f>
        <v>0</v>
      </c>
      <c r="L37" s="4">
        <f>tblHorasAgo[Horas Trabalhadas (1º Período)]+tblHorasAgo[Horas Trabalhadas (2º Período)]</f>
        <v>0</v>
      </c>
      <c r="M37" s="4" t="str">
        <f>IF(tblHorasAgo[Data]&lt;&gt;"",
        IF(
AND(VLOOKUP(TEXT(tblHorasAgo[Data],"dddd"),tblDiaUtil[],3,FALSE)="Sim",IF(tblHorasAgo[Evento 
(1º Período)]&lt;&gt;"",IF(VLOOKUP(tblHorasAgo[Evento 
(1º Período)],tblEvento[],Tabelas!$E$1,FALSE)="Sim",FALSE,TRUE),TRUE),IF(tblHorasAgo[Evento 
(2º Período)]&lt;&gt;"",IF(VLOOKUP(tblHorasAgo[Evento 
(2º Período)],tblEvento[],Tabelas!$E$1,FALSE)="Sim",FALSE,TRUE),TRUE)),
              IF(VLOOKUP(tblHorasAgo[Dia],tblDiaUtil[[Abreviatura]:[1º Período]],3,FALSE)&gt;0,VLOOKUP(tblHorasAgo[Dia],tblDiaUtil[[Abreviatura]:[1º Período]],3,FALSE),JORNADA),
              ""),
         "")</f>
        <v/>
      </c>
      <c r="N37" s="14">
        <f>IF(OR(tblHorasAgo[Horas Trabalhadas (1º Período)]&lt;&gt;0,tblHorasAgo[Horas Trabalhadas (2º Período)]&lt;&gt;0),
        IF(ISNUMBER(tblHorasAgo[Jornada Diária]),
              IF(tblHorasAgo[Jornada Diária]&gt;(tblHorasAgo[Horas Trabalhadas (2º Período)]+tblHorasAgo[Horas Trabalhadas (1º Período)]),
                     IF(ROUND((tblHorasAgo[Jornada Diária]-(tblHorasAgo[Horas Trabalhadas (2º Período)]+tblHorasAgo[Horas Trabalhadas (1º Período)])),6)&gt;ROUND(CARENCIA,6),
                           -tblHorasAgo[Jornada Diária]+(tblHorasAgo[Horas Trabalhadas (2º Período)]+tblHorasAgo[Horas Trabalhadas (1º Período)]),
                           0),
                      IF(ROUND((tblHorasAgo[Jornada Diária]-(tblHorasAgo[Horas Trabalhadas (2º Período)]+tblHorasAgo[Horas Trabalhadas (1º Período)])),6)&lt;ROUND(-CARENCIA,6),
                           -tblHorasAgo[Jornada Diária]+(tblHorasAgo[Horas Trabalhadas (2º Período)]+tblHorasAgo[Horas Trabalhadas (1º Período)]),
                           0)),
              tblHorasAgo[Horas Trabalhadas (2º Período)]+tblHorasAgo[Horas Trabalhadas (1º Período)]),
         IF(AND(IF(ISERROR(VLOOKUP(tblHorasAgo[Evento 
(1º Período)],tblEvento[[Evento]:[Libera o Período]],4,FALSE)),FALSE,IF(VLOOKUP(tblHorasAgo[Evento 
(1º Período)],tblEvento[[Evento]:[Libera o Período]],4,FALSE)="Não",TRUE,FALSE)),IF(ISERROR(VLOOKUP(tblHorasAgo[Evento 
(2º Período)],tblEvento[[Evento]:[Libera o Período]],4,FALSE)),FALSE,IF(VLOOKUP(tblHorasAgo[Evento 
(2º Período)],tblEvento[[Evento]:[Libera o Período]],4,FALSE)="Não",TRUE,FALSE))),
-IF(VLOOKUP(tblHorasAgo[Dia],tblDiaUtil[[Abreviatura]:[Total Jornada]],5,FALSE)&lt;&gt;"",VLOOKUP(tblHorasAgo[Dia],tblDiaUtil[[Abreviatura]:[Total Jornada]],5,FALSE),JORNADA),
IF(IF(ISERROR(VLOOKUP(tblHorasAgo[Evento 
(1º Período)],tblEvento[[Evento]:[Libera o Período]],4,FALSE)),FALSE,
IF(VLOOKUP(tblHorasAgo[Evento 
(1º Período)],tblEvento[[Evento]:[Libera o Período]],4,FALSE)="Não",TRUE,FALSE)
),
-IF(VLOOKUP(tblHorasAgo[Dia],tblDiaUtil[[Abreviatura]:[1º Período]],3,FALSE)&lt;&gt;"",VLOOKUP(tblHorasAgo[Dia],tblDiaUtil[[Abreviatura]:[1º Período]],3,FALSE),JORNADA_PERIODO_1),
IF(IF(ISERROR(VLOOKUP(tblHorasAgo[Evento 
(2º Período)],tblEvento[[Evento]:[Libera o Período]],4,FALSE)),FALSE,IF(VLOOKUP(tblHorasAgo[Evento 
(2º Período)],tblEvento[[Evento]:[Libera o Período]],4,FALSE)="Não",TRUE,FALSE)),
-IF(VLOOKUP(tblHorasAgo[Dia],tblDiaUtil[[Abreviatura]:[2º Período]],4,FALSE)&lt;&gt;"",VLOOKUP(tblHorasAgo[Dia],tblDiaUtil[[Abreviatura]:[2º Período]],4,FALSE),JORNADA_PERIODO_2),0))))</f>
        <v>0</v>
      </c>
      <c r="O37" s="14">
        <f>IF(tblHorasAgo[Horas Trabalhadas Além Jornada]&gt;0,
        IF(ISNUMBER(tblHorasAgo[Jornada Diária]),
              IF(HOUR(tblHorasAgo[Horas Trabalhadas Além Jornada])&gt;=VLOOKUP(LIMITE,tblLimiteHora[],Tabelas!$I$1,FALSE),
                    VLOOKUP(LIMITE,tblLimiteHora[],Tabelas!$J$1,FALSE),
                    tblHorasAgo[Horas Trabalhadas Além Jornada]),
              tblHorasAgo[Horas Trabalhadas Além Jornada]),
        tblHorasAgo[Horas Trabalhadas Além Jornada])+O36</f>
        <v>0</v>
      </c>
      <c r="P37" s="14" t="str">
        <f>IF(tblHorasAgo[Horas Trabalhadas Além Jornada]&lt;0,IF(OR(tblHorasAgo[Evento 
(1º Período)]="",tblHorasAgo[Evento 
(2º Período)]=""),tblHorasAgo[Horas Trabalhadas Além Jornada],""),"")</f>
        <v/>
      </c>
      <c r="Q37" s="14" t="str">
        <f>IF(tblHorasAgo[Jornada Diária]&lt;&gt;"",IF((N(tblHorasAgo[Jornada Diária])-ABS(N(tblHorasAgo[Horas Trabalhadas Além Jornada])))=0,1,""),"")</f>
        <v/>
      </c>
      <c r="R37" s="14" t="str">
        <f>IF(tblHorasAgo[Horas Trabalhadas Além Jornada]&gt;0,
IF(AND(VLOOKUP(TEXT(tblHorasAgo[Data],"dddd"),tblDiaUtil[],3,FALSE)="Sim",IF(tblHorasAgo[Evento 
(1º Período)]&lt;&gt;"",IF(VLOOKUP(tblHorasAgo[Evento 
(1º Período)],tblEvento[],Tabelas!$E$1,FALSE)="Sim",FALSE,TRUE),TRUE),IF(tblHorasAgo[Evento 
(2º Período)]&lt;&gt;"",IF(VLOOKUP(tblHorasAgo[Evento 
(2º Período)],tblEvento[],Tabelas!$E$1,FALSE)="Sim",FALSE,TRUE),TRUE)),
tblHorasAgo[Horas Trabalhadas Além Jornada],""),"")</f>
        <v/>
      </c>
      <c r="S37" s="14" t="str">
        <f>IF(tblHorasAgo[Horas Trabalhadas Além Jornada]&gt;0,
IF(OR(VLOOKUP(TEXT(tblHorasAgo[Data],"dddd"),tblDiaUtil[],3,FALSE)="Não",IF(tblHorasAgo[Evento 
(1º Período)]&lt;&gt;"",IF(VLOOKUP(tblHorasAgo[Evento 
(1º Período)],tblEvento[],Tabelas!$E$1,FALSE)="Sim",TRUE,FALSE),FALSE),IF(tblHorasAgo[Evento 
(2º Período)]&lt;&gt;"",IF(VLOOKUP(tblHorasAgo[Evento 
(2º Período)],tblEvento[],Tabelas!$E$1,FALSE)="Sim",TRUE,FALSE),FALSE)),
tblHorasAgo[Horas Trabalhadas Além Jornada],""),"")</f>
        <v/>
      </c>
      <c r="T37" s="15" t="str">
        <f>IF(tblHorasAgo[Evento 
(1º Período)]&lt;&gt;""," - " &amp;VLOOKUP(tblHorasAgo[Evento 
(1º Período)],tblEvento[],Tabelas!$F$1,FALSE),"")&amp;IF(AND(tblHorasAgo[Evento 
(2º Período)]&lt;&gt;"",tblHorasAgo[Evento 
(2º Período)]&lt;&gt;tblHorasAgo[Evento 
(1º Período)])," - " &amp; VLOOKUP(tblHorasAgo[Evento 
(2º Período)],tblEvento[],Tabelas!$F$1,FALSE),"")</f>
        <v/>
      </c>
    </row>
    <row r="38" spans="2:21" x14ac:dyDescent="0.25">
      <c r="B38" s="11" t="str">
        <f t="shared" si="0"/>
        <v/>
      </c>
      <c r="C38" s="12" t="str">
        <f>TEXT(tblHorasAgo[Data],"ddd")</f>
        <v/>
      </c>
      <c r="D38" s="25"/>
      <c r="E38" s="1"/>
      <c r="F38" s="1"/>
      <c r="G38" s="1"/>
      <c r="H38" s="1"/>
      <c r="I38" s="53"/>
      <c r="J38" s="4">
        <f>IF($B$6&lt;&gt;"",
IF(AND(tblHorasAgo[Evento 
(1º Período)]&lt;&gt;"",IF(ISERROR(VLOOKUP(tblHorasAgo[Evento 
(1º Período)],tblEvento[],Tabelas!$D$1,FALSE)),FALSE,VLOOKUP(tblHorasAgo[Evento 
(1º Período)],tblEvento[],Tabelas!$D$1,FALSE)="Sim")),
        IF(JORNADA_PERIODO_1&lt;&gt;"",
IF(VLOOKUP(tblHorasAgo[Dia],tblDiaUtil[[Abreviatura]:[1º Período]],3,FALSE)&gt;0,VLOOKUP(tblHorasAgo[Dia],tblDiaUtil[[Abreviatura]:[1º Período]],3,FALSE),JORNADA_PERIODO_1),
IF(VLOOKUP(tblHorasAgo[Dia],tblDiaUtil[[Abreviatura]:[1º Período]],3,FALSE)&gt;0,VLOOKUP(tblHorasAgo[Dia],tblDiaUtil[[Abreviatura]:[1º Período]],3,FALSE),JORNADA/2)),
        IF(AND(ISNUMBER(tblHorasAgo[Saída - 1 (Almoço)]),ISNUMBER(tblHorasAgo[Entrada - 1])),
              IF(OR(AND(tblHorasAgo[Evento 
(1º Período)]&lt;&gt;"",IF(ISERROR(VLOOKUP(tblHorasAgo[Evento 
(1º Período)],tblEvento[],Tabelas!$E$1,FALSE)),FALSE,VLOOKUP(tblHorasAgo[Evento 
(1º Período)],tblEvento[],Tabelas!$E$1,FALSE)="Sim")),IF(VLOOKUP(TEXT(tblHorasAgo[Data],"dddd"),tblDiaUtil[],2,FALSE)="Não",TRUE,FALSE)),
                   tblHorasAgo[Saída - 1 (Almoço)]-tblHorasAgo[Entrada - 1],
                   IF(OR(HOUR(tblHorasAgo[Saída - 1 (Almoço)]-tblHorasAgo[Entrada - 1])&gt;0,ROUND(tblHorasAgo[Saída - 1 (Almoço)]-tblHorasAgo[Entrada - 1],6)&gt;ROUND(CARENCIA,6)),
                          tblHorasAgo[Saída - 1 (Almoço)]-tblHorasAgo[Entrada - 1],
                          0)),
                    0)),0)</f>
        <v>0</v>
      </c>
      <c r="K38" s="4">
        <f>IF($B$6&lt;&gt;"",
IF(AND(tblHorasAgo[Evento 
(2º Período)]&lt;&gt;"",IF(ISERROR(VLOOKUP(tblHorasAgo[Evento 
(2º Período)],tblEvento[],Tabelas!$D$1,FALSE)),FALSE,VLOOKUP(tblHorasAgo[Evento 
(2º Período)],tblEvento[],Tabelas!$D$1,FALSE)="Sim")),
        IF(JORNADA_PERIODO_2&lt;&gt;"",
IF(VLOOKUP(tblHorasAgo[Dia],tblDiaUtil[[Abreviatura]:[2º Período]],4,FALSE)&gt;0,VLOOKUP(tblHorasAgo[Dia],tblDiaUtil[[Abreviatura]:[2º Período]],4,FALSE),JORNADA_PERIODO_2),
IF(VLOOKUP(tblHorasAgo[Dia],tblDiaUtil[[Abreviatura]:[2º Período]],4,FALSE)&gt;0,VLOOKUP(tblHorasAgo[Dia],tblDiaUtil[[Abreviatura]:[2º Período]],4,FALSE),JORNADA/2)),
        IF(AND(ISNUMBER(tblHorasAgo[Saída - 2]),ISNUMBER(tblHorasAgo[Entrada - 2 (Almoço)])),
              IF(OR(AND(tblHorasAgo[Evento 
(2º Período)]&lt;&gt;"",IF(ISERROR(VLOOKUP(tblHorasAgo[Evento 
(2º Período)],tblEvento[],Tabelas!$E$1,FALSE)),FALSE,VLOOKUP(tblHorasAgo[Evento 
(2º Período)],tblEvento[],Tabelas!$E$1,FALSE)="Sim")),IF(VLOOKUP(TEXT(tblHorasAgo[Data],"dddd"),tblDiaUtil[],2,FALSE)="Não",TRUE,FALSE)),
                   tblHorasAgo[Saída - 2]-tblHorasAgo[Entrada - 2 (Almoço)],
                   IF(OR(HOUR(tblHorasAgo[Saída - 2]-tblHorasAgo[Entrada - 2 (Almoço)])&gt;0,MINUTE(tblHorasAgo[Saída - 2]-tblHorasAgo[Entrada - 2 (Almoço)])&gt;CARENCIA),
                         tblHorasAgo[Saída - 2]-tblHorasAgo[Entrada - 2 (Almoço)],
                         0)),
       0)),0)</f>
        <v>0</v>
      </c>
      <c r="L38" s="4">
        <f>tblHorasAgo[Horas Trabalhadas (1º Período)]+tblHorasAgo[Horas Trabalhadas (2º Período)]</f>
        <v>0</v>
      </c>
      <c r="M38" s="4" t="str">
        <f>IF(tblHorasAgo[Data]&lt;&gt;"",
        IF(
AND(VLOOKUP(TEXT(tblHorasAgo[Data],"dddd"),tblDiaUtil[],3,FALSE)="Sim",IF(tblHorasAgo[Evento 
(1º Período)]&lt;&gt;"",IF(VLOOKUP(tblHorasAgo[Evento 
(1º Período)],tblEvento[],Tabelas!$E$1,FALSE)="Sim",FALSE,TRUE),TRUE),IF(tblHorasAgo[Evento 
(2º Período)]&lt;&gt;"",IF(VLOOKUP(tblHorasAgo[Evento 
(2º Período)],tblEvento[],Tabelas!$E$1,FALSE)="Sim",FALSE,TRUE),TRUE)),
              IF(VLOOKUP(tblHorasAgo[Dia],tblDiaUtil[[Abreviatura]:[1º Período]],3,FALSE)&gt;0,VLOOKUP(tblHorasAgo[Dia],tblDiaUtil[[Abreviatura]:[1º Período]],3,FALSE),JORNADA),
              ""),
         "")</f>
        <v/>
      </c>
      <c r="N38" s="14">
        <f>IF(OR(tblHorasAgo[Horas Trabalhadas (1º Período)]&lt;&gt;0,tblHorasAgo[Horas Trabalhadas (2º Período)]&lt;&gt;0),
        IF(ISNUMBER(tblHorasAgo[Jornada Diária]),
              IF(tblHorasAgo[Jornada Diária]&gt;(tblHorasAgo[Horas Trabalhadas (2º Período)]+tblHorasAgo[Horas Trabalhadas (1º Período)]),
                     IF(ROUND((tblHorasAgo[Jornada Diária]-(tblHorasAgo[Horas Trabalhadas (2º Período)]+tblHorasAgo[Horas Trabalhadas (1º Período)])),6)&gt;ROUND(CARENCIA,6),
                           -tblHorasAgo[Jornada Diária]+(tblHorasAgo[Horas Trabalhadas (2º Período)]+tblHorasAgo[Horas Trabalhadas (1º Período)]),
                           0),
                      IF(ROUND((tblHorasAgo[Jornada Diária]-(tblHorasAgo[Horas Trabalhadas (2º Período)]+tblHorasAgo[Horas Trabalhadas (1º Período)])),6)&lt;ROUND(-CARENCIA,6),
                           -tblHorasAgo[Jornada Diária]+(tblHorasAgo[Horas Trabalhadas (2º Período)]+tblHorasAgo[Horas Trabalhadas (1º Período)]),
                           0)),
              tblHorasAgo[Horas Trabalhadas (2º Período)]+tblHorasAgo[Horas Trabalhadas (1º Período)]),
         IF(AND(IF(ISERROR(VLOOKUP(tblHorasAgo[Evento 
(1º Período)],tblEvento[[Evento]:[Libera o Período]],4,FALSE)),FALSE,IF(VLOOKUP(tblHorasAgo[Evento 
(1º Período)],tblEvento[[Evento]:[Libera o Período]],4,FALSE)="Não",TRUE,FALSE)),IF(ISERROR(VLOOKUP(tblHorasAgo[Evento 
(2º Período)],tblEvento[[Evento]:[Libera o Período]],4,FALSE)),FALSE,IF(VLOOKUP(tblHorasAgo[Evento 
(2º Período)],tblEvento[[Evento]:[Libera o Período]],4,FALSE)="Não",TRUE,FALSE))),
-IF(VLOOKUP(tblHorasAgo[Dia],tblDiaUtil[[Abreviatura]:[Total Jornada]],5,FALSE)&lt;&gt;"",VLOOKUP(tblHorasAgo[Dia],tblDiaUtil[[Abreviatura]:[Total Jornada]],5,FALSE),JORNADA),
IF(IF(ISERROR(VLOOKUP(tblHorasAgo[Evento 
(1º Período)],tblEvento[[Evento]:[Libera o Período]],4,FALSE)),FALSE,
IF(VLOOKUP(tblHorasAgo[Evento 
(1º Período)],tblEvento[[Evento]:[Libera o Período]],4,FALSE)="Não",TRUE,FALSE)
),
-IF(VLOOKUP(tblHorasAgo[Dia],tblDiaUtil[[Abreviatura]:[1º Período]],3,FALSE)&lt;&gt;"",VLOOKUP(tblHorasAgo[Dia],tblDiaUtil[[Abreviatura]:[1º Período]],3,FALSE),JORNADA_PERIODO_1),
IF(IF(ISERROR(VLOOKUP(tblHorasAgo[Evento 
(2º Período)],tblEvento[[Evento]:[Libera o Período]],4,FALSE)),FALSE,IF(VLOOKUP(tblHorasAgo[Evento 
(2º Período)],tblEvento[[Evento]:[Libera o Período]],4,FALSE)="Não",TRUE,FALSE)),
-IF(VLOOKUP(tblHorasAgo[Dia],tblDiaUtil[[Abreviatura]:[2º Período]],4,FALSE)&lt;&gt;"",VLOOKUP(tblHorasAgo[Dia],tblDiaUtil[[Abreviatura]:[2º Período]],4,FALSE),JORNADA_PERIODO_2),0))))</f>
        <v>0</v>
      </c>
      <c r="O38" s="14">
        <f>IF(tblHorasAgo[Horas Trabalhadas Além Jornada]&gt;0,
        IF(ISNUMBER(tblHorasAgo[Jornada Diária]),
              IF(HOUR(tblHorasAgo[Horas Trabalhadas Além Jornada])&gt;=VLOOKUP(LIMITE,tblLimiteHora[],Tabelas!$I$1,FALSE),
                    VLOOKUP(LIMITE,tblLimiteHora[],Tabelas!$J$1,FALSE),
                    tblHorasAgo[Horas Trabalhadas Além Jornada]),
              tblHorasAgo[Horas Trabalhadas Além Jornada]),
        tblHorasAgo[Horas Trabalhadas Além Jornada])+O37</f>
        <v>0</v>
      </c>
      <c r="P38" s="14" t="str">
        <f>IF(tblHorasAgo[Horas Trabalhadas Além Jornada]&lt;0,IF(OR(tblHorasAgo[Evento 
(1º Período)]="",tblHorasAgo[Evento 
(2º Período)]=""),tblHorasAgo[Horas Trabalhadas Além Jornada],""),"")</f>
        <v/>
      </c>
      <c r="Q38" s="14" t="str">
        <f>IF(tblHorasAgo[Jornada Diária]&lt;&gt;"",IF((N(tblHorasAgo[Jornada Diária])-ABS(N(tblHorasAgo[Horas Trabalhadas Além Jornada])))=0,1,""),"")</f>
        <v/>
      </c>
      <c r="R38" s="14" t="str">
        <f>IF(tblHorasAgo[Horas Trabalhadas Além Jornada]&gt;0,
IF(AND(VLOOKUP(TEXT(tblHorasAgo[Data],"dddd"),tblDiaUtil[],3,FALSE)="Sim",IF(tblHorasAgo[Evento 
(1º Período)]&lt;&gt;"",IF(VLOOKUP(tblHorasAgo[Evento 
(1º Período)],tblEvento[],Tabelas!$E$1,FALSE)="Sim",FALSE,TRUE),TRUE),IF(tblHorasAgo[Evento 
(2º Período)]&lt;&gt;"",IF(VLOOKUP(tblHorasAgo[Evento 
(2º Período)],tblEvento[],Tabelas!$E$1,FALSE)="Sim",FALSE,TRUE),TRUE)),
tblHorasAgo[Horas Trabalhadas Além Jornada],""),"")</f>
        <v/>
      </c>
      <c r="S38" s="14" t="str">
        <f>IF(tblHorasAgo[Horas Trabalhadas Além Jornada]&gt;0,
IF(OR(VLOOKUP(TEXT(tblHorasAgo[Data],"dddd"),tblDiaUtil[],3,FALSE)="Não",IF(tblHorasAgo[Evento 
(1º Período)]&lt;&gt;"",IF(VLOOKUP(tblHorasAgo[Evento 
(1º Período)],tblEvento[],Tabelas!$E$1,FALSE)="Sim",TRUE,FALSE),FALSE),IF(tblHorasAgo[Evento 
(2º Período)]&lt;&gt;"",IF(VLOOKUP(tblHorasAgo[Evento 
(2º Período)],tblEvento[],Tabelas!$E$1,FALSE)="Sim",TRUE,FALSE),FALSE)),
tblHorasAgo[Horas Trabalhadas Além Jornada],""),"")</f>
        <v/>
      </c>
      <c r="T38" s="15" t="str">
        <f>IF(tblHorasAgo[Evento 
(1º Período)]&lt;&gt;""," - " &amp;VLOOKUP(tblHorasAgo[Evento 
(1º Período)],tblEvento[],Tabelas!$F$1,FALSE),"")&amp;IF(AND(tblHorasAgo[Evento 
(2º Período)]&lt;&gt;"",tblHorasAgo[Evento 
(2º Período)]&lt;&gt;tblHorasAgo[Evento 
(1º Período)])," - " &amp; VLOOKUP(tblHorasAgo[Evento 
(2º Período)],tblEvento[],Tabelas!$F$1,FALSE),"")</f>
        <v/>
      </c>
    </row>
    <row r="39" spans="2:21" x14ac:dyDescent="0.25">
      <c r="B39" s="11" t="str">
        <f t="shared" si="0"/>
        <v/>
      </c>
      <c r="C39" s="12" t="str">
        <f>TEXT(tblHorasAgo[Data],"ddd")</f>
        <v/>
      </c>
      <c r="D39" s="25"/>
      <c r="E39" s="1"/>
      <c r="F39" s="1"/>
      <c r="G39" s="1"/>
      <c r="H39" s="1"/>
      <c r="I39" s="53"/>
      <c r="J39" s="4">
        <f>IF($B$6&lt;&gt;"",
IF(AND(tblHorasAgo[Evento 
(1º Período)]&lt;&gt;"",IF(ISERROR(VLOOKUP(tblHorasAgo[Evento 
(1º Período)],tblEvento[],Tabelas!$D$1,FALSE)),FALSE,VLOOKUP(tblHorasAgo[Evento 
(1º Período)],tblEvento[],Tabelas!$D$1,FALSE)="Sim")),
        IF(JORNADA_PERIODO_1&lt;&gt;"",
IF(VLOOKUP(tblHorasAgo[Dia],tblDiaUtil[[Abreviatura]:[1º Período]],3,FALSE)&gt;0,VLOOKUP(tblHorasAgo[Dia],tblDiaUtil[[Abreviatura]:[1º Período]],3,FALSE),JORNADA_PERIODO_1),
IF(VLOOKUP(tblHorasAgo[Dia],tblDiaUtil[[Abreviatura]:[1º Período]],3,FALSE)&gt;0,VLOOKUP(tblHorasAgo[Dia],tblDiaUtil[[Abreviatura]:[1º Período]],3,FALSE),JORNADA/2)),
        IF(AND(ISNUMBER(tblHorasAgo[Saída - 1 (Almoço)]),ISNUMBER(tblHorasAgo[Entrada - 1])),
              IF(OR(AND(tblHorasAgo[Evento 
(1º Período)]&lt;&gt;"",IF(ISERROR(VLOOKUP(tblHorasAgo[Evento 
(1º Período)],tblEvento[],Tabelas!$E$1,FALSE)),FALSE,VLOOKUP(tblHorasAgo[Evento 
(1º Período)],tblEvento[],Tabelas!$E$1,FALSE)="Sim")),IF(VLOOKUP(TEXT(tblHorasAgo[Data],"dddd"),tblDiaUtil[],2,FALSE)="Não",TRUE,FALSE)),
                   tblHorasAgo[Saída - 1 (Almoço)]-tblHorasAgo[Entrada - 1],
                   IF(OR(HOUR(tblHorasAgo[Saída - 1 (Almoço)]-tblHorasAgo[Entrada - 1])&gt;0,ROUND(tblHorasAgo[Saída - 1 (Almoço)]-tblHorasAgo[Entrada - 1],6)&gt;ROUND(CARENCIA,6)),
                          tblHorasAgo[Saída - 1 (Almoço)]-tblHorasAgo[Entrada - 1],
                          0)),
                    0)),0)</f>
        <v>0</v>
      </c>
      <c r="K39" s="4">
        <f>IF($B$6&lt;&gt;"",
IF(AND(tblHorasAgo[Evento 
(2º Período)]&lt;&gt;"",IF(ISERROR(VLOOKUP(tblHorasAgo[Evento 
(2º Período)],tblEvento[],Tabelas!$D$1,FALSE)),FALSE,VLOOKUP(tblHorasAgo[Evento 
(2º Período)],tblEvento[],Tabelas!$D$1,FALSE)="Sim")),
        IF(JORNADA_PERIODO_2&lt;&gt;"",
IF(VLOOKUP(tblHorasAgo[Dia],tblDiaUtil[[Abreviatura]:[2º Período]],4,FALSE)&gt;0,VLOOKUP(tblHorasAgo[Dia],tblDiaUtil[[Abreviatura]:[2º Período]],4,FALSE),JORNADA_PERIODO_2),
IF(VLOOKUP(tblHorasAgo[Dia],tblDiaUtil[[Abreviatura]:[2º Período]],4,FALSE)&gt;0,VLOOKUP(tblHorasAgo[Dia],tblDiaUtil[[Abreviatura]:[2º Período]],4,FALSE),JORNADA/2)),
        IF(AND(ISNUMBER(tblHorasAgo[Saída - 2]),ISNUMBER(tblHorasAgo[Entrada - 2 (Almoço)])),
              IF(OR(AND(tblHorasAgo[Evento 
(2º Período)]&lt;&gt;"",IF(ISERROR(VLOOKUP(tblHorasAgo[Evento 
(2º Período)],tblEvento[],Tabelas!$E$1,FALSE)),FALSE,VLOOKUP(tblHorasAgo[Evento 
(2º Período)],tblEvento[],Tabelas!$E$1,FALSE)="Sim")),IF(VLOOKUP(TEXT(tblHorasAgo[Data],"dddd"),tblDiaUtil[],2,FALSE)="Não",TRUE,FALSE)),
                   tblHorasAgo[Saída - 2]-tblHorasAgo[Entrada - 2 (Almoço)],
                   IF(OR(HOUR(tblHorasAgo[Saída - 2]-tblHorasAgo[Entrada - 2 (Almoço)])&gt;0,MINUTE(tblHorasAgo[Saída - 2]-tblHorasAgo[Entrada - 2 (Almoço)])&gt;CARENCIA),
                         tblHorasAgo[Saída - 2]-tblHorasAgo[Entrada - 2 (Almoço)],
                         0)),
       0)),0)</f>
        <v>0</v>
      </c>
      <c r="L39" s="4">
        <f>tblHorasAgo[Horas Trabalhadas (1º Período)]+tblHorasAgo[Horas Trabalhadas (2º Período)]</f>
        <v>0</v>
      </c>
      <c r="M39" s="4" t="str">
        <f>IF(tblHorasAgo[Data]&lt;&gt;"",
        IF(
AND(VLOOKUP(TEXT(tblHorasAgo[Data],"dddd"),tblDiaUtil[],3,FALSE)="Sim",IF(tblHorasAgo[Evento 
(1º Período)]&lt;&gt;"",IF(VLOOKUP(tblHorasAgo[Evento 
(1º Período)],tblEvento[],Tabelas!$E$1,FALSE)="Sim",FALSE,TRUE),TRUE),IF(tblHorasAgo[Evento 
(2º Período)]&lt;&gt;"",IF(VLOOKUP(tblHorasAgo[Evento 
(2º Período)],tblEvento[],Tabelas!$E$1,FALSE)="Sim",FALSE,TRUE),TRUE)),
              IF(VLOOKUP(tblHorasAgo[Dia],tblDiaUtil[[Abreviatura]:[1º Período]],3,FALSE)&gt;0,VLOOKUP(tblHorasAgo[Dia],tblDiaUtil[[Abreviatura]:[1º Período]],3,FALSE),JORNADA),
              ""),
         "")</f>
        <v/>
      </c>
      <c r="N39" s="14">
        <f>IF(OR(tblHorasAgo[Horas Trabalhadas (1º Período)]&lt;&gt;0,tblHorasAgo[Horas Trabalhadas (2º Período)]&lt;&gt;0),
        IF(ISNUMBER(tblHorasAgo[Jornada Diária]),
              IF(tblHorasAgo[Jornada Diária]&gt;(tblHorasAgo[Horas Trabalhadas (2º Período)]+tblHorasAgo[Horas Trabalhadas (1º Período)]),
                     IF(ROUND((tblHorasAgo[Jornada Diária]-(tblHorasAgo[Horas Trabalhadas (2º Período)]+tblHorasAgo[Horas Trabalhadas (1º Período)])),6)&gt;ROUND(CARENCIA,6),
                           -tblHorasAgo[Jornada Diária]+(tblHorasAgo[Horas Trabalhadas (2º Período)]+tblHorasAgo[Horas Trabalhadas (1º Período)]),
                           0),
                      IF(ROUND((tblHorasAgo[Jornada Diária]-(tblHorasAgo[Horas Trabalhadas (2º Período)]+tblHorasAgo[Horas Trabalhadas (1º Período)])),6)&lt;ROUND(-CARENCIA,6),
                           -tblHorasAgo[Jornada Diária]+(tblHorasAgo[Horas Trabalhadas (2º Período)]+tblHorasAgo[Horas Trabalhadas (1º Período)]),
                           0)),
              tblHorasAgo[Horas Trabalhadas (2º Período)]+tblHorasAgo[Horas Trabalhadas (1º Período)]),
         IF(AND(IF(ISERROR(VLOOKUP(tblHorasAgo[Evento 
(1º Período)],tblEvento[[Evento]:[Libera o Período]],4,FALSE)),FALSE,IF(VLOOKUP(tblHorasAgo[Evento 
(1º Período)],tblEvento[[Evento]:[Libera o Período]],4,FALSE)="Não",TRUE,FALSE)),IF(ISERROR(VLOOKUP(tblHorasAgo[Evento 
(2º Período)],tblEvento[[Evento]:[Libera o Período]],4,FALSE)),FALSE,IF(VLOOKUP(tblHorasAgo[Evento 
(2º Período)],tblEvento[[Evento]:[Libera o Período]],4,FALSE)="Não",TRUE,FALSE))),
-IF(VLOOKUP(tblHorasAgo[Dia],tblDiaUtil[[Abreviatura]:[Total Jornada]],5,FALSE)&lt;&gt;"",VLOOKUP(tblHorasAgo[Dia],tblDiaUtil[[Abreviatura]:[Total Jornada]],5,FALSE),JORNADA),
IF(IF(ISERROR(VLOOKUP(tblHorasAgo[Evento 
(1º Período)],tblEvento[[Evento]:[Libera o Período]],4,FALSE)),FALSE,
IF(VLOOKUP(tblHorasAgo[Evento 
(1º Período)],tblEvento[[Evento]:[Libera o Período]],4,FALSE)="Não",TRUE,FALSE)
),
-IF(VLOOKUP(tblHorasAgo[Dia],tblDiaUtil[[Abreviatura]:[1º Período]],3,FALSE)&lt;&gt;"",VLOOKUP(tblHorasAgo[Dia],tblDiaUtil[[Abreviatura]:[1º Período]],3,FALSE),JORNADA_PERIODO_1),
IF(IF(ISERROR(VLOOKUP(tblHorasAgo[Evento 
(2º Período)],tblEvento[[Evento]:[Libera o Período]],4,FALSE)),FALSE,IF(VLOOKUP(tblHorasAgo[Evento 
(2º Período)],tblEvento[[Evento]:[Libera o Período]],4,FALSE)="Não",TRUE,FALSE)),
-IF(VLOOKUP(tblHorasAgo[Dia],tblDiaUtil[[Abreviatura]:[2º Período]],4,FALSE)&lt;&gt;"",VLOOKUP(tblHorasAgo[Dia],tblDiaUtil[[Abreviatura]:[2º Período]],4,FALSE),JORNADA_PERIODO_2),0))))</f>
        <v>0</v>
      </c>
      <c r="O39" s="14">
        <f>IF(tblHorasAgo[Horas Trabalhadas Além Jornada]&gt;0,
        IF(ISNUMBER(tblHorasAgo[Jornada Diária]),
              IF(HOUR(tblHorasAgo[Horas Trabalhadas Além Jornada])&gt;=VLOOKUP(LIMITE,tblLimiteHora[],Tabelas!$I$1,FALSE),
                    VLOOKUP(LIMITE,tblLimiteHora[],Tabelas!$J$1,FALSE),
                    tblHorasAgo[Horas Trabalhadas Além Jornada]),
              tblHorasAgo[Horas Trabalhadas Além Jornada]),
        tblHorasAgo[Horas Trabalhadas Além Jornada])+O38</f>
        <v>0</v>
      </c>
      <c r="P39" s="14" t="str">
        <f>IF(tblHorasAgo[Horas Trabalhadas Além Jornada]&lt;0,IF(OR(tblHorasAgo[Evento 
(1º Período)]="",tblHorasAgo[Evento 
(2º Período)]=""),tblHorasAgo[Horas Trabalhadas Além Jornada],""),"")</f>
        <v/>
      </c>
      <c r="Q39" s="14" t="str">
        <f>IF(tblHorasAgo[Jornada Diária]&lt;&gt;"",IF((N(tblHorasAgo[Jornada Diária])-ABS(N(tblHorasAgo[Horas Trabalhadas Além Jornada])))=0,1,""),"")</f>
        <v/>
      </c>
      <c r="R39" s="14" t="str">
        <f>IF(tblHorasAgo[Horas Trabalhadas Além Jornada]&gt;0,
IF(AND(VLOOKUP(TEXT(tblHorasAgo[Data],"dddd"),tblDiaUtil[],3,FALSE)="Sim",IF(tblHorasAgo[Evento 
(1º Período)]&lt;&gt;"",IF(VLOOKUP(tblHorasAgo[Evento 
(1º Período)],tblEvento[],Tabelas!$E$1,FALSE)="Sim",FALSE,TRUE),TRUE),IF(tblHorasAgo[Evento 
(2º Período)]&lt;&gt;"",IF(VLOOKUP(tblHorasAgo[Evento 
(2º Período)],tblEvento[],Tabelas!$E$1,FALSE)="Sim",FALSE,TRUE),TRUE)),
tblHorasAgo[Horas Trabalhadas Além Jornada],""),"")</f>
        <v/>
      </c>
      <c r="S39" s="14" t="str">
        <f>IF(tblHorasAgo[Horas Trabalhadas Além Jornada]&gt;0,
IF(OR(VLOOKUP(TEXT(tblHorasAgo[Data],"dddd"),tblDiaUtil[],3,FALSE)="Não",IF(tblHorasAgo[Evento 
(1º Período)]&lt;&gt;"",IF(VLOOKUP(tblHorasAgo[Evento 
(1º Período)],tblEvento[],Tabelas!$E$1,FALSE)="Sim",TRUE,FALSE),FALSE),IF(tblHorasAgo[Evento 
(2º Período)]&lt;&gt;"",IF(VLOOKUP(tblHorasAgo[Evento 
(2º Período)],tblEvento[],Tabelas!$E$1,FALSE)="Sim",TRUE,FALSE),FALSE)),
tblHorasAgo[Horas Trabalhadas Além Jornada],""),"")</f>
        <v/>
      </c>
      <c r="T39" s="15" t="str">
        <f>IF(tblHorasAgo[Evento 
(1º Período)]&lt;&gt;""," - " &amp;VLOOKUP(tblHorasAgo[Evento 
(1º Período)],tblEvento[],Tabelas!$F$1,FALSE),"")&amp;IF(AND(tblHorasAgo[Evento 
(2º Período)]&lt;&gt;"",tblHorasAgo[Evento 
(2º Período)]&lt;&gt;tblHorasAgo[Evento 
(1º Período)])," - " &amp; VLOOKUP(tblHorasAgo[Evento 
(2º Período)],tblEvento[],Tabelas!$F$1,FALSE),"")</f>
        <v/>
      </c>
    </row>
    <row r="40" spans="2:21" ht="5.0999999999999996" customHeight="1" x14ac:dyDescent="0.25">
      <c r="T40" s="24"/>
      <c r="U40" s="24"/>
    </row>
    <row r="41" spans="2:21" ht="9.9499999999999993" customHeight="1" x14ac:dyDescent="0.25">
      <c r="T41" s="35" t="s">
        <v>99</v>
      </c>
      <c r="U41" s="24"/>
    </row>
    <row r="42" spans="2:21" hidden="1" x14ac:dyDescent="0.25">
      <c r="T42" s="24"/>
      <c r="U42" s="24"/>
    </row>
    <row r="43" spans="2:21" hidden="1" x14ac:dyDescent="0.25">
      <c r="T43" s="24"/>
      <c r="U43" s="24"/>
    </row>
    <row r="44" spans="2:21" hidden="1" x14ac:dyDescent="0.25">
      <c r="T44" s="24"/>
      <c r="U44" s="24"/>
    </row>
    <row r="45" spans="2:21" hidden="1" x14ac:dyDescent="0.25"/>
    <row r="46" spans="2:21" x14ac:dyDescent="0.25"/>
    <row r="47" spans="2:21" x14ac:dyDescent="0.25"/>
  </sheetData>
  <sheetProtection algorithmName="SHA-512" hashValue="8X6birOxdtn5rE2XfwlIqcUF1W2ebP+WCMEKYwALziR0rCjUm85o+sAT605+FXMjzUgRtmFTBU7RhqSbR18ICg==" saltValue="3o2OhOvuzqldtnWdoTK8ig==" spinCount="100000" sheet="1" formatCells="0" formatColumns="0" formatRows="0" selectLockedCells="1" autoFilter="0" pivotTables="0"/>
  <dataConsolidate/>
  <mergeCells count="8">
    <mergeCell ref="O1:T4"/>
    <mergeCell ref="G2:I2"/>
    <mergeCell ref="H3:I3"/>
    <mergeCell ref="H4:I4"/>
    <mergeCell ref="B5:C5"/>
    <mergeCell ref="O5:O6"/>
    <mergeCell ref="B6:C6"/>
    <mergeCell ref="P6:S6"/>
  </mergeCells>
  <dataValidations count="5">
    <dataValidation type="whole" allowBlank="1" showInputMessage="1" showErrorMessage="1" errorTitle="Erro" error="Dia inexistente" promptTitle="Digite o primeiro dia do mês" prompt="Somente utilize esse campo caso o dia seja diferente de 1." sqref="E6">
      <formula1>1</formula1>
      <formula2>31</formula2>
    </dataValidation>
    <dataValidation type="list" allowBlank="1" showInputMessage="1" showErrorMessage="1" errorTitle="Aviso" error="Erro na inserção de dados:_x000a__x000a_'Evento Inválido'_x000a__x000a_Selecione um Evento válido na Lista" promptTitle="Evento" prompt="_x000a_Selecione um Evento na Lista" sqref="D9:D39 I9:I39">
      <formula1>lstEvento</formula1>
    </dataValidation>
    <dataValidation type="list" allowBlank="1" showErrorMessage="1" errorTitle="Mês Inválido" error="Selecione na lista um mês válido" sqref="B6:C6">
      <formula1>lst_Mes</formula1>
    </dataValidation>
    <dataValidation type="whole" errorStyle="warning" allowBlank="1" showInputMessage="1" showErrorMessage="1" errorTitle="Aviso" error="Ano fora do período estipulado" promptTitle="Digite o ano com 4 dígitos" prompt="_x000a_ex. 2016_x000a__x000a_Entre: 1904 a 9999" sqref="D6">
      <formula1>999</formula1>
      <formula2>9999</formula2>
    </dataValidation>
    <dataValidation type="time" allowBlank="1" showInputMessage="1" showErrorMessage="1" errorTitle="Aviso" error="Erro na inserção de dados:_x000a__x000a_'Hora Inválida'_x000a__x000a_Favor inserir uma hora válida no formato: hh:mm (ex. 12:00)" sqref="E9:H39">
      <formula1>0</formula1>
      <formula2>0.999305555555556</formula2>
    </dataValidation>
  </dataValidations>
  <printOptions verticalCentered="1"/>
  <pageMargins left="0.51181102362204722" right="0.51181102362204722" top="0.78740157480314965" bottom="0.78740157480314965" header="0.31496062992125984" footer="0.31496062992125984"/>
  <pageSetup paperSize="9" scale="82" orientation="landscape" r:id="rId1"/>
  <headerFooter>
    <oddHeader>&amp;R&amp;D</oddHeader>
    <oddFooter>&amp;L.e&amp;RPágina &amp;P de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7" id="{B4C249F7-4C6E-4601-ABCD-241A2F748D11}">
            <xm:f>IF(OR(IF(ISERROR(VLOOKUP($C9,Config!$C$1:$D$18,2,FALSE)),FALSE,IF(VLOOKUP($C9,Config!$C$1:$D$18,2,FALSE)="Não",TRUE,FALSE)),IF(ISERROR(VLOOKUP($D9,Tabelas!$A$3:$B$51,2,FALSE)),FALSE,IF(VLOOKUP($D9,Tabelas!$A$3:$B$51,2,FALSE)="Sim",TRUE,FALSE)),IF(ISERROR(VLOOKUP($I9,Tabelas!$A$3:$B$51,2,FALSE)),FALSE,IF(VLOOKUP($I9,Tabelas!$A$3:$B$51,2,FALSE)="Sim",TRUE,FALSE))),TRUE,FALSE)</xm:f>
            <x14:dxf>
              <fill>
                <patternFill>
                  <bgColor rgb="FFFFFFCC"/>
                </patternFill>
              </fill>
            </x14:dxf>
          </x14:cfRule>
          <xm:sqref>B9:T9</xm:sqref>
        </x14:conditionalFormatting>
        <x14:conditionalFormatting xmlns:xm="http://schemas.microsoft.com/office/excel/2006/main">
          <x14:cfRule type="expression" priority="6" id="{55C30E36-810D-4074-9145-B3380B5A43B3}">
            <xm:f>IF(IF(ISERROR(VLOOKUP($D9,Tabelas!$A$3:$C$51,3,FALSE)),FALSE,VLOOKUP($D9,Tabelas!$A$3:$C$51,3,FALSE)="Sim"),TRUE,FALSE)</xm:f>
            <x14:dxf>
              <fill>
                <patternFill>
                  <bgColor rgb="FFFFD1D2"/>
                </patternFill>
              </fill>
            </x14:dxf>
          </x14:cfRule>
          <xm:sqref>J9 D9:F9</xm:sqref>
        </x14:conditionalFormatting>
        <x14:conditionalFormatting xmlns:xm="http://schemas.microsoft.com/office/excel/2006/main">
          <x14:cfRule type="expression" priority="8" id="{4FC09BCD-5A94-4816-8691-876B119B94C7}">
            <xm:f>IF(IF(ISERROR(VLOOKUP($I9,Tabelas!$A$3:$C$51,3,FALSE)),FALSE,VLOOKUP($I9,Tabelas!$A$3:$C$51,3,FALSE)="Sim"),TRUE,FALSE)</xm:f>
            <x14:dxf>
              <fill>
                <patternFill>
                  <bgColor rgb="FFFFD5D6"/>
                </patternFill>
              </fill>
            </x14:dxf>
          </x14:cfRule>
          <xm:sqref>K9:M9 G9:I9</xm:sqref>
        </x14:conditionalFormatting>
        <x14:conditionalFormatting xmlns:xm="http://schemas.microsoft.com/office/excel/2006/main">
          <x14:cfRule type="expression" priority="5" id="{533317DD-F646-46CB-8F36-0950AE1B8C36}">
            <xm:f>IF(OR(IF(ISERROR(VLOOKUP($C7,Config!$C$1:$D$18,2,FALSE)),FALSE,IF(VLOOKUP($C7,Config!$C$1:$D$18,2,FALSE)="Não",TRUE,FALSE)),IF(ISERROR(VLOOKUP($D7,Tabelas!$A$3:$B$51,2,FALSE)),FALSE,IF(VLOOKUP($D7,Tabelas!$A$3:$B$51,2,FALSE)="Sim",TRUE,FALSE)),IF(ISERROR(VLOOKUP($I7,Tabelas!$A$3:$B$51,2,FALSE)),FALSE,IF(VLOOKUP($I7,Tabelas!$A$3:$B$51,2,FALSE)="Sim",TRUE,FALSE))),TRUE,FALSE)</xm:f>
            <x14:dxf>
              <fill>
                <patternFill>
                  <bgColor rgb="FFFFFFCC"/>
                </patternFill>
              </fill>
            </x14:dxf>
          </x14:cfRule>
          <xm:sqref>P7:S7</xm:sqref>
        </x14:conditionalFormatting>
        <x14:conditionalFormatting xmlns:xm="http://schemas.microsoft.com/office/excel/2006/main">
          <x14:cfRule type="expression" priority="3" id="{71F274E7-1378-401E-A0F1-8433686A92F0}">
            <xm:f>IF(OR(IF(ISERROR(VLOOKUP($C10,Config!$C$1:$D$18,2,FALSE)),FALSE,IF(VLOOKUP($C10,Config!$C$1:$D$18,2,FALSE)="Não",TRUE,FALSE)),IF(ISERROR(VLOOKUP($D10,Tabelas!$A$3:$B$51,2,FALSE)),FALSE,IF(VLOOKUP($D10,Tabelas!$A$3:$B$51,2,FALSE)="Sim",TRUE,FALSE)),IF(ISERROR(VLOOKUP($I10,Tabelas!$A$3:$B$51,2,FALSE)),FALSE,IF(VLOOKUP($I10,Tabelas!$A$3:$B$51,2,FALSE)="Sim",TRUE,FALSE))),TRUE,FALSE)</xm:f>
            <x14:dxf>
              <fill>
                <patternFill>
                  <bgColor rgb="FFFFFFCC"/>
                </patternFill>
              </fill>
            </x14:dxf>
          </x14:cfRule>
          <xm:sqref>B10:T39</xm:sqref>
        </x14:conditionalFormatting>
        <x14:conditionalFormatting xmlns:xm="http://schemas.microsoft.com/office/excel/2006/main">
          <x14:cfRule type="expression" priority="2" id="{B62F5F4D-E0F9-4F37-97B9-45C692E0B2E2}">
            <xm:f>IF(IF(ISERROR(VLOOKUP($D10,Tabelas!$A$3:$C$51,3,FALSE)),FALSE,VLOOKUP($D10,Tabelas!$A$3:$C$51,3,FALSE)="Sim"),TRUE,FALSE)</xm:f>
            <x14:dxf>
              <fill>
                <patternFill>
                  <bgColor rgb="FFFFD1D2"/>
                </patternFill>
              </fill>
            </x14:dxf>
          </x14:cfRule>
          <xm:sqref>J10:J39 D10:F39</xm:sqref>
        </x14:conditionalFormatting>
        <x14:conditionalFormatting xmlns:xm="http://schemas.microsoft.com/office/excel/2006/main">
          <x14:cfRule type="expression" priority="4" id="{3E3B66F9-E1C3-4F8A-9C5F-06A2A64A0557}">
            <xm:f>IF(IF(ISERROR(VLOOKUP($I10,Tabelas!$A$3:$C$51,3,FALSE)),FALSE,VLOOKUP($I10,Tabelas!$A$3:$C$51,3,FALSE)="Sim"),TRUE,FALSE)</xm:f>
            <x14:dxf>
              <fill>
                <patternFill>
                  <bgColor rgb="FFFFD5D6"/>
                </patternFill>
              </fill>
            </x14:dxf>
          </x14:cfRule>
          <xm:sqref>K10:M39 G10:I39</xm:sqref>
        </x14:conditionalFormatting>
        <x14:conditionalFormatting xmlns:xm="http://schemas.microsoft.com/office/excel/2006/main">
          <x14:cfRule type="expression" priority="1" id="{82BF0C4B-13CD-49AD-88F1-1E1888C14978}">
            <xm:f>IF(OR(IF(ISERROR(VLOOKUP($C7,Config!$C$1:$D$18,2,FALSE)),FALSE,IF(VLOOKUP($C7,Config!$C$1:$D$18,2,FALSE)="Não",TRUE,FALSE)),IF(ISERROR(VLOOKUP($D7,Tabelas!$A$3:$B$51,2,FALSE)),FALSE,IF(VLOOKUP($D7,Tabelas!$A$3:$B$51,2,FALSE)="Sim",TRUE,FALSE)),IF(ISERROR(VLOOKUP($I7,Tabelas!$A$3:$B$51,2,FALSE)),FALSE,IF(VLOOKUP($I7,Tabelas!$A$3:$B$51,2,FALSE)="Sim",TRUE,FALSE))),TRUE,FALSE)</xm:f>
            <x14:dxf>
              <fill>
                <patternFill>
                  <bgColor rgb="FFFFFFCC"/>
                </patternFill>
              </fill>
            </x14:dxf>
          </x14:cfRule>
          <xm:sqref>O7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nSetembro">
    <tabColor theme="4" tint="0.59999389629810485"/>
    <pageSetUpPr fitToPage="1"/>
  </sheetPr>
  <dimension ref="A1:AC47"/>
  <sheetViews>
    <sheetView showGridLines="0" workbookViewId="0">
      <pane xSplit="1" ySplit="8" topLeftCell="B9" activePane="bottomRight" state="frozen"/>
      <selection activeCell="H10" sqref="H10"/>
      <selection pane="topRight" activeCell="H10" sqref="H10"/>
      <selection pane="bottomLeft" activeCell="H10" sqref="H10"/>
      <selection pane="bottomRight" activeCell="E9" sqref="E9"/>
    </sheetView>
  </sheetViews>
  <sheetFormatPr defaultColWidth="0" defaultRowHeight="15" zeroHeight="1" x14ac:dyDescent="0.25"/>
  <cols>
    <col min="1" max="1" width="6.7109375" style="5" customWidth="1"/>
    <col min="2" max="2" width="10.7109375" style="5" customWidth="1"/>
    <col min="3" max="3" width="10" style="5" customWidth="1"/>
    <col min="4" max="9" width="12.7109375" style="5" customWidth="1"/>
    <col min="10" max="14" width="12.7109375" style="5" hidden="1" customWidth="1"/>
    <col min="15" max="15" width="12.7109375" style="5" customWidth="1"/>
    <col min="16" max="19" width="12.7109375" style="5" hidden="1" customWidth="1"/>
    <col min="20" max="20" width="38.42578125" style="5" customWidth="1"/>
    <col min="21" max="21" width="2.7109375" style="5" customWidth="1"/>
    <col min="22" max="22" width="9.140625" style="5" hidden="1" customWidth="1"/>
    <col min="23" max="23" width="12.42578125" style="5" hidden="1" customWidth="1"/>
    <col min="24" max="25" width="0" style="5" hidden="1" customWidth="1"/>
    <col min="26" max="26" width="9.140625" style="5" hidden="1" customWidth="1"/>
    <col min="27" max="27" width="12.42578125" style="5" hidden="1" customWidth="1"/>
    <col min="28" max="29" width="0" style="5" hidden="1" customWidth="1"/>
    <col min="30" max="16384" width="9.140625" style="5" hidden="1"/>
  </cols>
  <sheetData>
    <row r="1" spans="2:25" ht="15" customHeight="1" x14ac:dyDescent="0.25">
      <c r="G1" s="48" t="s">
        <v>58</v>
      </c>
      <c r="O1" s="83" t="str">
        <f>"*Limite de horas: " &amp; LIMITE &amp; "; e 
*Contabiliza a partir de " &amp; TEXT(CARENCIA, "hh:mm") &amp; " hora(s) (para mais ou para menos);
*Caso tenha Atestado em um dos períodos, o que ultrapassar de 4:00 horas de trabalho contabiliza hora positiva."</f>
        <v>*Limite de horas: 2h diárias; e 
*Contabiliza a partir de 00:00 hora(s) (para mais ou para menos);
*Caso tenha Atestado em um dos períodos, o que ultrapassar de 4:00 horas de trabalho contabiliza hora positiva.</v>
      </c>
      <c r="P1" s="83"/>
      <c r="Q1" s="83"/>
      <c r="R1" s="83"/>
      <c r="S1" s="83"/>
      <c r="T1" s="83"/>
    </row>
    <row r="2" spans="2:25" ht="15" customHeight="1" thickBot="1" x14ac:dyDescent="0.3">
      <c r="B2" s="6"/>
      <c r="G2" s="90"/>
      <c r="H2" s="91"/>
      <c r="I2" s="91"/>
      <c r="N2" s="24"/>
      <c r="O2" s="83"/>
      <c r="P2" s="83"/>
      <c r="Q2" s="83"/>
      <c r="R2" s="83"/>
      <c r="S2" s="83"/>
      <c r="T2" s="83"/>
    </row>
    <row r="3" spans="2:25" ht="15" customHeight="1" x14ac:dyDescent="0.25">
      <c r="B3" s="6"/>
      <c r="G3" s="48" t="s">
        <v>96</v>
      </c>
      <c r="H3" s="92" t="s">
        <v>97</v>
      </c>
      <c r="I3" s="93"/>
      <c r="N3" s="24"/>
      <c r="O3" s="83"/>
      <c r="P3" s="83"/>
      <c r="Q3" s="83"/>
      <c r="R3" s="83"/>
      <c r="S3" s="83"/>
      <c r="T3" s="83"/>
    </row>
    <row r="4" spans="2:25" ht="15" customHeight="1" thickBot="1" x14ac:dyDescent="0.3">
      <c r="B4" s="6"/>
      <c r="G4" s="52"/>
      <c r="H4" s="84"/>
      <c r="I4" s="85"/>
      <c r="N4" s="24"/>
      <c r="O4" s="83"/>
      <c r="P4" s="83"/>
      <c r="Q4" s="83"/>
      <c r="R4" s="83"/>
      <c r="S4" s="83"/>
      <c r="T4" s="83"/>
    </row>
    <row r="5" spans="2:25" ht="15" customHeight="1" x14ac:dyDescent="0.25">
      <c r="B5" s="86" t="s">
        <v>59</v>
      </c>
      <c r="C5" s="87"/>
      <c r="D5" s="48" t="s">
        <v>62</v>
      </c>
      <c r="E5" s="48" t="s">
        <v>88</v>
      </c>
      <c r="G5" s="7"/>
      <c r="N5" s="24"/>
      <c r="O5" s="94" t="s">
        <v>100</v>
      </c>
      <c r="P5" s="34" t="s">
        <v>76</v>
      </c>
      <c r="Q5" s="34" t="s">
        <v>76</v>
      </c>
      <c r="R5" s="34" t="s">
        <v>76</v>
      </c>
      <c r="S5" s="34" t="s">
        <v>76</v>
      </c>
      <c r="T5" s="24"/>
    </row>
    <row r="6" spans="2:25" ht="16.5" customHeight="1" thickBot="1" x14ac:dyDescent="0.3">
      <c r="B6" s="88" t="s">
        <v>71</v>
      </c>
      <c r="C6" s="89"/>
      <c r="D6" s="30" t="str">
        <f>IF(Janeiro!D6&lt;&gt;"",Janeiro!D6,"")</f>
        <v/>
      </c>
      <c r="E6" s="30" t="str">
        <f>IF(Janeiro!E6&lt;&gt;"",Janeiro!E6,"")</f>
        <v/>
      </c>
      <c r="F6" s="32" t="str">
        <f>IF(ISERROR(DATEVALUE(IF(E6&lt;&gt;"",E6,1)&amp;"-"&amp;B6&amp;"-"&amp;D6)),"",DATEVALUE(IF(E6&lt;&gt;"",E6,1)&amp;"-"&amp;B6&amp;"-"&amp;D6))</f>
        <v/>
      </c>
      <c r="N6" s="24"/>
      <c r="O6" s="95"/>
      <c r="P6" s="81" t="s">
        <v>95</v>
      </c>
      <c r="Q6" s="82"/>
      <c r="R6" s="82"/>
      <c r="S6" s="82"/>
      <c r="T6" s="24"/>
    </row>
    <row r="7" spans="2:25" x14ac:dyDescent="0.25">
      <c r="E7" s="8"/>
      <c r="F7" s="8"/>
      <c r="G7" s="8"/>
      <c r="H7" s="8"/>
      <c r="I7" s="8"/>
      <c r="J7" s="34" t="s">
        <v>76</v>
      </c>
      <c r="K7" s="34" t="s">
        <v>76</v>
      </c>
      <c r="L7" s="34" t="s">
        <v>76</v>
      </c>
      <c r="M7" s="34" t="s">
        <v>76</v>
      </c>
      <c r="N7" s="34" t="s">
        <v>76</v>
      </c>
      <c r="O7" s="45">
        <f>Agosto!O39</f>
        <v>0</v>
      </c>
      <c r="P7" s="45">
        <f>SUM(tblHorasSet[Atrasos
(horas)])</f>
        <v>0</v>
      </c>
      <c r="Q7" s="46">
        <f>SUM(tblHorasSet[Faltas
(dias)])</f>
        <v>0</v>
      </c>
      <c r="R7" s="45">
        <f>SUM(tblHorasSet[Hora Extra Normal])</f>
        <v>0</v>
      </c>
      <c r="S7" s="45">
        <f>SUM(tblHorasSet[Hora Extra 
Especial])</f>
        <v>0</v>
      </c>
      <c r="T7" s="24"/>
    </row>
    <row r="8" spans="2:25" s="9" customFormat="1" ht="45" customHeight="1" x14ac:dyDescent="0.25">
      <c r="B8" s="9" t="s">
        <v>0</v>
      </c>
      <c r="C8" s="9" t="s">
        <v>1</v>
      </c>
      <c r="D8" s="10" t="s">
        <v>51</v>
      </c>
      <c r="E8" s="9" t="s">
        <v>3</v>
      </c>
      <c r="F8" s="9" t="s">
        <v>4</v>
      </c>
      <c r="G8" s="9" t="s">
        <v>5</v>
      </c>
      <c r="H8" s="9" t="s">
        <v>6</v>
      </c>
      <c r="I8" s="10" t="s">
        <v>52</v>
      </c>
      <c r="J8" s="9" t="s">
        <v>35</v>
      </c>
      <c r="K8" s="9" t="s">
        <v>36</v>
      </c>
      <c r="L8" s="9" t="s">
        <v>55</v>
      </c>
      <c r="M8" s="9" t="s">
        <v>48</v>
      </c>
      <c r="N8" s="9" t="s">
        <v>50</v>
      </c>
      <c r="O8" s="9" t="s">
        <v>49</v>
      </c>
      <c r="P8" s="9" t="s">
        <v>91</v>
      </c>
      <c r="Q8" s="9" t="s">
        <v>92</v>
      </c>
      <c r="R8" s="9" t="s">
        <v>93</v>
      </c>
      <c r="S8" s="9" t="s">
        <v>94</v>
      </c>
      <c r="T8" s="9" t="s">
        <v>46</v>
      </c>
      <c r="W8" s="26"/>
    </row>
    <row r="9" spans="2:25" x14ac:dyDescent="0.25">
      <c r="B9" s="11" t="str">
        <f>IF(ISERROR(F6),"",F6)</f>
        <v/>
      </c>
      <c r="C9" s="12" t="str">
        <f>TEXT(tblHorasSet[Data],"ddd")</f>
        <v/>
      </c>
      <c r="D9" s="25"/>
      <c r="E9" s="1"/>
      <c r="F9" s="1"/>
      <c r="G9" s="1"/>
      <c r="H9" s="1"/>
      <c r="I9" s="53"/>
      <c r="J9" s="4">
        <f>IF($B$6&lt;&gt;"",
IF(AND(tblHorasSet[Evento 
(1º Período)]&lt;&gt;"",IF(ISERROR(VLOOKUP(tblHorasSet[Evento 
(1º Período)],tblEvento[],Tabelas!$D$1,FALSE)),FALSE,VLOOKUP(tblHorasSet[Evento 
(1º Período)],tblEvento[],Tabelas!$D$1,FALSE)="Sim")),
        IF(JORNADA_PERIODO_1&lt;&gt;"",
IF(VLOOKUP(tblHorasSet[Dia],tblDiaUtil[[Abreviatura]:[1º Período]],3,FALSE)&gt;0,VLOOKUP(tblHorasSet[Dia],tblDiaUtil[[Abreviatura]:[1º Período]],3,FALSE),JORNADA_PERIODO_1),
IF(VLOOKUP(tblHorasSet[Dia],tblDiaUtil[[Abreviatura]:[1º Período]],3,FALSE)&gt;0,VLOOKUP(tblHorasSet[Dia],tblDiaUtil[[Abreviatura]:[1º Período]],3,FALSE),JORNADA/2)),
        IF(AND(ISNUMBER(tblHorasSet[Saída - 1 (Almoço)]),ISNUMBER(tblHorasSet[Entrada - 1])),
              IF(OR(AND(tblHorasSet[Evento 
(1º Período)]&lt;&gt;"",IF(ISERROR(VLOOKUP(tblHorasSet[Evento 
(1º Período)],tblEvento[],Tabelas!$E$1,FALSE)),FALSE,VLOOKUP(tblHorasSet[Evento 
(1º Período)],tblEvento[],Tabelas!$E$1,FALSE)="Sim")),IF(VLOOKUP(TEXT(tblHorasSet[Data],"dddd"),tblDiaUtil[],2,FALSE)="Não",TRUE,FALSE)),
                   tblHorasSet[Saída - 1 (Almoço)]-tblHorasSet[Entrada - 1],
                   IF(OR(HOUR(tblHorasSet[Saída - 1 (Almoço)]-tblHorasSet[Entrada - 1])&gt;0,ROUND(tblHorasSet[Saída - 1 (Almoço)]-tblHorasSet[Entrada - 1],6)&gt;ROUND(CARENCIA,6)),
                          tblHorasSet[Saída - 1 (Almoço)]-tblHorasSet[Entrada - 1],
                          0)),
                    0)),0)</f>
        <v>0</v>
      </c>
      <c r="K9" s="4">
        <f>IF($B$6&lt;&gt;"",
IF(AND(tblHorasSet[Evento 
(2º Período)]&lt;&gt;"",IF(ISERROR(VLOOKUP(tblHorasSet[Evento 
(2º Período)],tblEvento[],Tabelas!$D$1,FALSE)),FALSE,VLOOKUP(tblHorasSet[Evento 
(2º Período)],tblEvento[],Tabelas!$D$1,FALSE)="Sim")),
        IF(JORNADA_PERIODO_2&lt;&gt;"",
IF(VLOOKUP(tblHorasSet[Dia],tblDiaUtil[[Abreviatura]:[2º Período]],4,FALSE)&gt;0,VLOOKUP(tblHorasSet[Dia],tblDiaUtil[[Abreviatura]:[2º Período]],4,FALSE),JORNADA_PERIODO_2),
IF(VLOOKUP(tblHorasSet[Dia],tblDiaUtil[[Abreviatura]:[2º Período]],4,FALSE)&gt;0,VLOOKUP(tblHorasSet[Dia],tblDiaUtil[[Abreviatura]:[2º Período]],4,FALSE),JORNADA/2)),
        IF(AND(ISNUMBER(tblHorasSet[Saída - 2]),ISNUMBER(tblHorasSet[Entrada - 2 (Almoço)])),
              IF(OR(AND(tblHorasSet[Evento 
(2º Período)]&lt;&gt;"",IF(ISERROR(VLOOKUP(tblHorasSet[Evento 
(2º Período)],tblEvento[],Tabelas!$E$1,FALSE)),FALSE,VLOOKUP(tblHorasSet[Evento 
(2º Período)],tblEvento[],Tabelas!$E$1,FALSE)="Sim")),IF(VLOOKUP(TEXT(tblHorasSet[Data],"dddd"),tblDiaUtil[],2,FALSE)="Não",TRUE,FALSE)),
                   tblHorasSet[Saída - 2]-tblHorasSet[Entrada - 2 (Almoço)],
                   IF(OR(HOUR(tblHorasSet[Saída - 2]-tblHorasSet[Entrada - 2 (Almoço)])&gt;0,MINUTE(tblHorasSet[Saída - 2]-tblHorasSet[Entrada - 2 (Almoço)])&gt;CARENCIA),
                         tblHorasSet[Saída - 2]-tblHorasSet[Entrada - 2 (Almoço)],
                         0)),
       0)),0)</f>
        <v>0</v>
      </c>
      <c r="L9" s="4">
        <f>tblHorasSet[Horas Trabalhadas (1º Período)]+tblHorasSet[Horas Trabalhadas (2º Período)]</f>
        <v>0</v>
      </c>
      <c r="M9" s="4" t="str">
        <f>IF(tblHorasSet[Data]&lt;&gt;"",
        IF(
AND(VLOOKUP(TEXT(tblHorasSet[Data],"dddd"),tblDiaUtil[],3,FALSE)="Sim",IF(tblHorasSet[Evento 
(1º Período)]&lt;&gt;"",IF(VLOOKUP(tblHorasSet[Evento 
(1º Período)],tblEvento[],Tabelas!$E$1,FALSE)="Sim",FALSE,TRUE),TRUE),IF(tblHorasSet[Evento 
(2º Período)]&lt;&gt;"",IF(VLOOKUP(tblHorasSet[Evento 
(2º Período)],tblEvento[],Tabelas!$E$1,FALSE)="Sim",FALSE,TRUE),TRUE)),
              IF(VLOOKUP(tblHorasSet[Dia],tblDiaUtil[[Abreviatura]:[1º Período]],3,FALSE)&gt;0,VLOOKUP(tblHorasSet[Dia],tblDiaUtil[[Abreviatura]:[1º Período]],3,FALSE),JORNADA),
              ""),
         "")</f>
        <v/>
      </c>
      <c r="N9" s="14">
        <f>IF(OR(tblHorasSet[Horas Trabalhadas (1º Período)]&lt;&gt;0,tblHorasSet[Horas Trabalhadas (2º Período)]&lt;&gt;0),
        IF(ISNUMBER(tblHorasSet[Jornada Diária]),
              IF(tblHorasSet[Jornada Diária]&gt;(tblHorasSet[Horas Trabalhadas (2º Período)]+tblHorasSet[Horas Trabalhadas (1º Período)]),
                     IF(ROUND((tblHorasSet[Jornada Diária]-(tblHorasSet[Horas Trabalhadas (2º Período)]+tblHorasSet[Horas Trabalhadas (1º Período)])),6)&gt;ROUND(CARENCIA,6),
                           -tblHorasSet[Jornada Diária]+(tblHorasSet[Horas Trabalhadas (2º Período)]+tblHorasSet[Horas Trabalhadas (1º Período)]),
                           0),
                      IF(ROUND((tblHorasSet[Jornada Diária]-(tblHorasSet[Horas Trabalhadas (2º Período)]+tblHorasSet[Horas Trabalhadas (1º Período)])),6)&lt;ROUND(-CARENCIA,6),
                           -tblHorasSet[Jornada Diária]+(tblHorasSet[Horas Trabalhadas (2º Período)]+tblHorasSet[Horas Trabalhadas (1º Período)]),
                           0)),
              tblHorasSet[Horas Trabalhadas (2º Período)]+tblHorasSet[Horas Trabalhadas (1º Período)]),
         IF(AND(IF(ISERROR(VLOOKUP(tblHorasSet[Evento 
(1º Período)],tblEvento[[Evento]:[Libera o Período]],4,FALSE)),FALSE,IF(VLOOKUP(tblHorasSet[Evento 
(1º Período)],tblEvento[[Evento]:[Libera o Período]],4,FALSE)="Não",TRUE,FALSE)),IF(ISERROR(VLOOKUP(tblHorasSet[Evento 
(2º Período)],tblEvento[[Evento]:[Libera o Período]],4,FALSE)),FALSE,IF(VLOOKUP(tblHorasSet[Evento 
(2º Período)],tblEvento[[Evento]:[Libera o Período]],4,FALSE)="Não",TRUE,FALSE))),
-IF(VLOOKUP(tblHorasSet[Dia],tblDiaUtil[[Abreviatura]:[Total Jornada]],5,FALSE)&lt;&gt;"",VLOOKUP(tblHorasSet[Dia],tblDiaUtil[[Abreviatura]:[Total Jornada]],5,FALSE),JORNADA),
IF(IF(ISERROR(VLOOKUP(tblHorasSet[Evento 
(1º Período)],tblEvento[[Evento]:[Libera o Período]],4,FALSE)),FALSE,
IF(VLOOKUP(tblHorasSet[Evento 
(1º Período)],tblEvento[[Evento]:[Libera o Período]],4,FALSE)="Não",TRUE,FALSE)
),
-IF(VLOOKUP(tblHorasSet[Dia],tblDiaUtil[[Abreviatura]:[1º Período]],3,FALSE)&lt;&gt;"",VLOOKUP(tblHorasSet[Dia],tblDiaUtil[[Abreviatura]:[1º Período]],3,FALSE),JORNADA_PERIODO_1),
IF(IF(ISERROR(VLOOKUP(tblHorasSet[Evento 
(2º Período)],tblEvento[[Evento]:[Libera o Período]],4,FALSE)),FALSE,IF(VLOOKUP(tblHorasSet[Evento 
(2º Período)],tblEvento[[Evento]:[Libera o Período]],4,FALSE)="Não",TRUE,FALSE)),
-IF(VLOOKUP(tblHorasSet[Dia],tblDiaUtil[[Abreviatura]:[2º Período]],4,FALSE)&lt;&gt;"",VLOOKUP(tblHorasSet[Dia],tblDiaUtil[[Abreviatura]:[2º Período]],4,FALSE),JORNADA_PERIODO_2),0))))</f>
        <v>0</v>
      </c>
      <c r="O9" s="14">
        <f>IF(tblHorasSet[Horas Trabalhadas Além Jornada]&gt;0,
        IF(ISNUMBER(tblHorasSet[Jornada Diária]),
              IF(HOUR(tblHorasSet[Horas Trabalhadas Além Jornada])&gt;=VLOOKUP(LIMITE,tblLimiteHora[],Tabelas!$I$1,FALSE),
                    VLOOKUP(LIMITE,tblLimiteHora[],Tabelas!$J$1,FALSE),
                    tblHorasSet[Horas Trabalhadas Além Jornada]),
              tblHorasSet[Horas Trabalhadas Além Jornada]),
        tblHorasSet[Horas Trabalhadas Além Jornada])+O7</f>
        <v>0</v>
      </c>
      <c r="P9" s="14" t="str">
        <f>IF(tblHorasSet[Horas Trabalhadas Além Jornada]&lt;0,IF(OR(tblHorasSet[Evento 
(1º Período)]="",tblHorasSet[Evento 
(2º Período)]=""),tblHorasSet[Horas Trabalhadas Além Jornada],""),"")</f>
        <v/>
      </c>
      <c r="Q9" s="14" t="str">
        <f>IF(tblHorasSet[Jornada Diária]&lt;&gt;"",IF((N(tblHorasSet[Jornada Diária])-ABS(N(tblHorasSet[Horas Trabalhadas Além Jornada])))=0,1,""),"")</f>
        <v/>
      </c>
      <c r="R9" s="14" t="str">
        <f>IF(tblHorasSet[Horas Trabalhadas Além Jornada]&gt;0,
IF(AND(VLOOKUP(TEXT(tblHorasSet[Data],"dddd"),tblDiaUtil[],3,FALSE)="Sim",IF(tblHorasSet[Evento 
(1º Período)]&lt;&gt;"",IF(VLOOKUP(tblHorasSet[Evento 
(1º Período)],tblEvento[],Tabelas!$E$1,FALSE)="Sim",FALSE,TRUE),TRUE),IF(tblHorasSet[Evento 
(2º Período)]&lt;&gt;"",IF(VLOOKUP(tblHorasSet[Evento 
(2º Período)],tblEvento[],Tabelas!$E$1,FALSE)="Sim",FALSE,TRUE),TRUE)),
tblHorasSet[Horas Trabalhadas Além Jornada],""),"")</f>
        <v/>
      </c>
      <c r="S9" s="14" t="str">
        <f>IF(tblHorasSet[Horas Trabalhadas Além Jornada]&gt;0,
IF(OR(VLOOKUP(TEXT(tblHorasSet[Data],"dddd"),tblDiaUtil[],3,FALSE)="Não",IF(tblHorasSet[Evento 
(1º Período)]&lt;&gt;"",IF(VLOOKUP(tblHorasSet[Evento 
(1º Período)],tblEvento[],Tabelas!$E$1,FALSE)="Sim",TRUE,FALSE),FALSE),IF(tblHorasSet[Evento 
(2º Período)]&lt;&gt;"",IF(VLOOKUP(tblHorasSet[Evento 
(2º Período)],tblEvento[],Tabelas!$E$1,FALSE)="Sim",TRUE,FALSE),FALSE)),
tblHorasSet[Horas Trabalhadas Além Jornada],""),"")</f>
        <v/>
      </c>
      <c r="T9" s="15" t="str">
        <f>IF(tblHorasSet[Evento 
(1º Período)]&lt;&gt;""," - " &amp;VLOOKUP(tblHorasSet[Evento 
(1º Período)],tblEvento[],Tabelas!$F$1,FALSE),"")&amp;IF(AND(tblHorasSet[Evento 
(2º Período)]&lt;&gt;"",tblHorasSet[Evento 
(2º Período)]&lt;&gt;tblHorasSet[Evento 
(1º Período)])," - " &amp; VLOOKUP(tblHorasSet[Evento 
(2º Período)],tblEvento[],Tabelas!$F$1,FALSE),"")</f>
        <v/>
      </c>
      <c r="V9" s="16"/>
      <c r="Y9" s="17"/>
    </row>
    <row r="10" spans="2:25" x14ac:dyDescent="0.25">
      <c r="B10" s="11" t="str">
        <f>IF(B9&lt;&gt;"",IF(DAY(B9+1)=IF($E$6&lt;&gt;"",$E$6,1),"",B9+1),"")</f>
        <v/>
      </c>
      <c r="C10" s="12" t="str">
        <f>TEXT(tblHorasSet[Data],"ddd")</f>
        <v/>
      </c>
      <c r="D10" s="25"/>
      <c r="E10" s="1"/>
      <c r="F10" s="1"/>
      <c r="G10" s="1"/>
      <c r="H10" s="1"/>
      <c r="I10" s="53"/>
      <c r="J10" s="4">
        <f>IF($B$6&lt;&gt;"",
IF(AND(tblHorasSet[Evento 
(1º Período)]&lt;&gt;"",IF(ISERROR(VLOOKUP(tblHorasSet[Evento 
(1º Período)],tblEvento[],Tabelas!$D$1,FALSE)),FALSE,VLOOKUP(tblHorasSet[Evento 
(1º Período)],tblEvento[],Tabelas!$D$1,FALSE)="Sim")),
        IF(JORNADA_PERIODO_1&lt;&gt;"",
IF(VLOOKUP(tblHorasSet[Dia],tblDiaUtil[[Abreviatura]:[1º Período]],3,FALSE)&gt;0,VLOOKUP(tblHorasSet[Dia],tblDiaUtil[[Abreviatura]:[1º Período]],3,FALSE),JORNADA_PERIODO_1),
IF(VLOOKUP(tblHorasSet[Dia],tblDiaUtil[[Abreviatura]:[1º Período]],3,FALSE)&gt;0,VLOOKUP(tblHorasSet[Dia],tblDiaUtil[[Abreviatura]:[1º Período]],3,FALSE),JORNADA/2)),
        IF(AND(ISNUMBER(tblHorasSet[Saída - 1 (Almoço)]),ISNUMBER(tblHorasSet[Entrada - 1])),
              IF(OR(AND(tblHorasSet[Evento 
(1º Período)]&lt;&gt;"",IF(ISERROR(VLOOKUP(tblHorasSet[Evento 
(1º Período)],tblEvento[],Tabelas!$E$1,FALSE)),FALSE,VLOOKUP(tblHorasSet[Evento 
(1º Período)],tblEvento[],Tabelas!$E$1,FALSE)="Sim")),IF(VLOOKUP(TEXT(tblHorasSet[Data],"dddd"),tblDiaUtil[],2,FALSE)="Não",TRUE,FALSE)),
                   tblHorasSet[Saída - 1 (Almoço)]-tblHorasSet[Entrada - 1],
                   IF(OR(HOUR(tblHorasSet[Saída - 1 (Almoço)]-tblHorasSet[Entrada - 1])&gt;0,ROUND(tblHorasSet[Saída - 1 (Almoço)]-tblHorasSet[Entrada - 1],6)&gt;ROUND(CARENCIA,6)),
                          tblHorasSet[Saída - 1 (Almoço)]-tblHorasSet[Entrada - 1],
                          0)),
                    0)),0)</f>
        <v>0</v>
      </c>
      <c r="K10" s="4">
        <f>IF($B$6&lt;&gt;"",
IF(AND(tblHorasSet[Evento 
(2º Período)]&lt;&gt;"",IF(ISERROR(VLOOKUP(tblHorasSet[Evento 
(2º Período)],tblEvento[],Tabelas!$D$1,FALSE)),FALSE,VLOOKUP(tblHorasSet[Evento 
(2º Período)],tblEvento[],Tabelas!$D$1,FALSE)="Sim")),
        IF(JORNADA_PERIODO_2&lt;&gt;"",
IF(VLOOKUP(tblHorasSet[Dia],tblDiaUtil[[Abreviatura]:[2º Período]],4,FALSE)&gt;0,VLOOKUP(tblHorasSet[Dia],tblDiaUtil[[Abreviatura]:[2º Período]],4,FALSE),JORNADA_PERIODO_2),
IF(VLOOKUP(tblHorasSet[Dia],tblDiaUtil[[Abreviatura]:[2º Período]],4,FALSE)&gt;0,VLOOKUP(tblHorasSet[Dia],tblDiaUtil[[Abreviatura]:[2º Período]],4,FALSE),JORNADA/2)),
        IF(AND(ISNUMBER(tblHorasSet[Saída - 2]),ISNUMBER(tblHorasSet[Entrada - 2 (Almoço)])),
              IF(OR(AND(tblHorasSet[Evento 
(2º Período)]&lt;&gt;"",IF(ISERROR(VLOOKUP(tblHorasSet[Evento 
(2º Período)],tblEvento[],Tabelas!$E$1,FALSE)),FALSE,VLOOKUP(tblHorasSet[Evento 
(2º Período)],tblEvento[],Tabelas!$E$1,FALSE)="Sim")),IF(VLOOKUP(TEXT(tblHorasSet[Data],"dddd"),tblDiaUtil[],2,FALSE)="Não",TRUE,FALSE)),
                   tblHorasSet[Saída - 2]-tblHorasSet[Entrada - 2 (Almoço)],
                   IF(OR(HOUR(tblHorasSet[Saída - 2]-tblHorasSet[Entrada - 2 (Almoço)])&gt;0,MINUTE(tblHorasSet[Saída - 2]-tblHorasSet[Entrada - 2 (Almoço)])&gt;CARENCIA),
                         tblHorasSet[Saída - 2]-tblHorasSet[Entrada - 2 (Almoço)],
                         0)),
       0)),0)</f>
        <v>0</v>
      </c>
      <c r="L10" s="4">
        <f>tblHorasSet[Horas Trabalhadas (1º Período)]+tblHorasSet[Horas Trabalhadas (2º Período)]</f>
        <v>0</v>
      </c>
      <c r="M10" s="4" t="str">
        <f>IF(tblHorasSet[Data]&lt;&gt;"",
        IF(
AND(VLOOKUP(TEXT(tblHorasSet[Data],"dddd"),tblDiaUtil[],3,FALSE)="Sim",IF(tblHorasSet[Evento 
(1º Período)]&lt;&gt;"",IF(VLOOKUP(tblHorasSet[Evento 
(1º Período)],tblEvento[],Tabelas!$E$1,FALSE)="Sim",FALSE,TRUE),TRUE),IF(tblHorasSet[Evento 
(2º Período)]&lt;&gt;"",IF(VLOOKUP(tblHorasSet[Evento 
(2º Período)],tblEvento[],Tabelas!$E$1,FALSE)="Sim",FALSE,TRUE),TRUE)),
              IF(VLOOKUP(tblHorasSet[Dia],tblDiaUtil[[Abreviatura]:[1º Período]],3,FALSE)&gt;0,VLOOKUP(tblHorasSet[Dia],tblDiaUtil[[Abreviatura]:[1º Período]],3,FALSE),JORNADA),
              ""),
         "")</f>
        <v/>
      </c>
      <c r="N10" s="14">
        <f>IF(OR(tblHorasSet[Horas Trabalhadas (1º Período)]&lt;&gt;0,tblHorasSet[Horas Trabalhadas (2º Período)]&lt;&gt;0),
        IF(ISNUMBER(tblHorasSet[Jornada Diária]),
              IF(tblHorasSet[Jornada Diária]&gt;(tblHorasSet[Horas Trabalhadas (2º Período)]+tblHorasSet[Horas Trabalhadas (1º Período)]),
                     IF(ROUND((tblHorasSet[Jornada Diária]-(tblHorasSet[Horas Trabalhadas (2º Período)]+tblHorasSet[Horas Trabalhadas (1º Período)])),6)&gt;ROUND(CARENCIA,6),
                           -tblHorasSet[Jornada Diária]+(tblHorasSet[Horas Trabalhadas (2º Período)]+tblHorasSet[Horas Trabalhadas (1º Período)]),
                           0),
                      IF(ROUND((tblHorasSet[Jornada Diária]-(tblHorasSet[Horas Trabalhadas (2º Período)]+tblHorasSet[Horas Trabalhadas (1º Período)])),6)&lt;ROUND(-CARENCIA,6),
                           -tblHorasSet[Jornada Diária]+(tblHorasSet[Horas Trabalhadas (2º Período)]+tblHorasSet[Horas Trabalhadas (1º Período)]),
                           0)),
              tblHorasSet[Horas Trabalhadas (2º Período)]+tblHorasSet[Horas Trabalhadas (1º Período)]),
         IF(AND(IF(ISERROR(VLOOKUP(tblHorasSet[Evento 
(1º Período)],tblEvento[[Evento]:[Libera o Período]],4,FALSE)),FALSE,IF(VLOOKUP(tblHorasSet[Evento 
(1º Período)],tblEvento[[Evento]:[Libera o Período]],4,FALSE)="Não",TRUE,FALSE)),IF(ISERROR(VLOOKUP(tblHorasSet[Evento 
(2º Período)],tblEvento[[Evento]:[Libera o Período]],4,FALSE)),FALSE,IF(VLOOKUP(tblHorasSet[Evento 
(2º Período)],tblEvento[[Evento]:[Libera o Período]],4,FALSE)="Não",TRUE,FALSE))),
-IF(VLOOKUP(tblHorasSet[Dia],tblDiaUtil[[Abreviatura]:[Total Jornada]],5,FALSE)&lt;&gt;"",VLOOKUP(tblHorasSet[Dia],tblDiaUtil[[Abreviatura]:[Total Jornada]],5,FALSE),JORNADA),
IF(IF(ISERROR(VLOOKUP(tblHorasSet[Evento 
(1º Período)],tblEvento[[Evento]:[Libera o Período]],4,FALSE)),FALSE,
IF(VLOOKUP(tblHorasSet[Evento 
(1º Período)],tblEvento[[Evento]:[Libera o Período]],4,FALSE)="Não",TRUE,FALSE)
),
-IF(VLOOKUP(tblHorasSet[Dia],tblDiaUtil[[Abreviatura]:[1º Período]],3,FALSE)&lt;&gt;"",VLOOKUP(tblHorasSet[Dia],tblDiaUtil[[Abreviatura]:[1º Período]],3,FALSE),JORNADA_PERIODO_1),
IF(IF(ISERROR(VLOOKUP(tblHorasSet[Evento 
(2º Período)],tblEvento[[Evento]:[Libera o Período]],4,FALSE)),FALSE,IF(VLOOKUP(tblHorasSet[Evento 
(2º Período)],tblEvento[[Evento]:[Libera o Período]],4,FALSE)="Não",TRUE,FALSE)),
-IF(VLOOKUP(tblHorasSet[Dia],tblDiaUtil[[Abreviatura]:[2º Período]],4,FALSE)&lt;&gt;"",VLOOKUP(tblHorasSet[Dia],tblDiaUtil[[Abreviatura]:[2º Período]],4,FALSE),JORNADA_PERIODO_2),0))))</f>
        <v>0</v>
      </c>
      <c r="O10" s="14">
        <f>IF(tblHorasSet[Horas Trabalhadas Além Jornada]&gt;0,
        IF(ISNUMBER(tblHorasSet[Jornada Diária]),
              IF(HOUR(tblHorasSet[Horas Trabalhadas Além Jornada])&gt;=VLOOKUP(LIMITE,tblLimiteHora[],Tabelas!$I$1,FALSE),
                    VLOOKUP(LIMITE,tblLimiteHora[],Tabelas!$J$1,FALSE),
                    tblHorasSet[Horas Trabalhadas Além Jornada]),
              tblHorasSet[Horas Trabalhadas Além Jornada]),
        tblHorasSet[Horas Trabalhadas Além Jornada])+O9</f>
        <v>0</v>
      </c>
      <c r="P10" s="14" t="str">
        <f>IF(tblHorasSet[Horas Trabalhadas Além Jornada]&lt;0,IF(OR(tblHorasSet[Evento 
(1º Período)]="",tblHorasSet[Evento 
(2º Período)]=""),tblHorasSet[Horas Trabalhadas Além Jornada],""),"")</f>
        <v/>
      </c>
      <c r="Q10" s="14" t="str">
        <f>IF(tblHorasSet[Jornada Diária]&lt;&gt;"",IF((N(tblHorasSet[Jornada Diária])-ABS(N(tblHorasSet[Horas Trabalhadas Além Jornada])))=0,1,""),"")</f>
        <v/>
      </c>
      <c r="R10" s="14" t="str">
        <f>IF(tblHorasSet[Horas Trabalhadas Além Jornada]&gt;0,
IF(AND(VLOOKUP(TEXT(tblHorasSet[Data],"dddd"),tblDiaUtil[],3,FALSE)="Sim",IF(tblHorasSet[Evento 
(1º Período)]&lt;&gt;"",IF(VLOOKUP(tblHorasSet[Evento 
(1º Período)],tblEvento[],Tabelas!$E$1,FALSE)="Sim",FALSE,TRUE),TRUE),IF(tblHorasSet[Evento 
(2º Período)]&lt;&gt;"",IF(VLOOKUP(tblHorasSet[Evento 
(2º Período)],tblEvento[],Tabelas!$E$1,FALSE)="Sim",FALSE,TRUE),TRUE)),
tblHorasSet[Horas Trabalhadas Além Jornada],""),"")</f>
        <v/>
      </c>
      <c r="S10" s="14" t="str">
        <f>IF(tblHorasSet[Horas Trabalhadas Além Jornada]&gt;0,
IF(OR(VLOOKUP(TEXT(tblHorasSet[Data],"dddd"),tblDiaUtil[],3,FALSE)="Não",IF(tblHorasSet[Evento 
(1º Período)]&lt;&gt;"",IF(VLOOKUP(tblHorasSet[Evento 
(1º Período)],tblEvento[],Tabelas!$E$1,FALSE)="Sim",TRUE,FALSE),FALSE),IF(tblHorasSet[Evento 
(2º Período)]&lt;&gt;"",IF(VLOOKUP(tblHorasSet[Evento 
(2º Período)],tblEvento[],Tabelas!$E$1,FALSE)="Sim",TRUE,FALSE),FALSE)),
tblHorasSet[Horas Trabalhadas Além Jornada],""),"")</f>
        <v/>
      </c>
      <c r="T10" s="15" t="str">
        <f>IF(tblHorasSet[Evento 
(1º Período)]&lt;&gt;""," - " &amp;VLOOKUP(tblHorasSet[Evento 
(1º Período)],tblEvento[],Tabelas!$F$1,FALSE),"")&amp;IF(AND(tblHorasSet[Evento 
(2º Período)]&lt;&gt;"",tblHorasSet[Evento 
(2º Período)]&lt;&gt;tblHorasSet[Evento 
(1º Período)])," - " &amp; VLOOKUP(tblHorasSet[Evento 
(2º Período)],tblEvento[],Tabelas!$F$1,FALSE),"")</f>
        <v/>
      </c>
      <c r="Y10" s="17"/>
    </row>
    <row r="11" spans="2:25" x14ac:dyDescent="0.25">
      <c r="B11" s="11" t="str">
        <f t="shared" ref="B11:B39" si="0">IF(B10&lt;&gt;"",IF(DAY(B10+1)=IF($E$6&lt;&gt;"",$E$6,1),"",B10+1),"")</f>
        <v/>
      </c>
      <c r="C11" s="12" t="str">
        <f>TEXT(tblHorasSet[Data],"ddd")</f>
        <v/>
      </c>
      <c r="D11" s="25"/>
      <c r="E11" s="1"/>
      <c r="F11" s="1"/>
      <c r="G11" s="1"/>
      <c r="H11" s="1"/>
      <c r="I11" s="53"/>
      <c r="J11" s="4">
        <f>IF($B$6&lt;&gt;"",
IF(AND(tblHorasSet[Evento 
(1º Período)]&lt;&gt;"",IF(ISERROR(VLOOKUP(tblHorasSet[Evento 
(1º Período)],tblEvento[],Tabelas!$D$1,FALSE)),FALSE,VLOOKUP(tblHorasSet[Evento 
(1º Período)],tblEvento[],Tabelas!$D$1,FALSE)="Sim")),
        IF(JORNADA_PERIODO_1&lt;&gt;"",
IF(VLOOKUP(tblHorasSet[Dia],tblDiaUtil[[Abreviatura]:[1º Período]],3,FALSE)&gt;0,VLOOKUP(tblHorasSet[Dia],tblDiaUtil[[Abreviatura]:[1º Período]],3,FALSE),JORNADA_PERIODO_1),
IF(VLOOKUP(tblHorasSet[Dia],tblDiaUtil[[Abreviatura]:[1º Período]],3,FALSE)&gt;0,VLOOKUP(tblHorasSet[Dia],tblDiaUtil[[Abreviatura]:[1º Período]],3,FALSE),JORNADA/2)),
        IF(AND(ISNUMBER(tblHorasSet[Saída - 1 (Almoço)]),ISNUMBER(tblHorasSet[Entrada - 1])),
              IF(OR(AND(tblHorasSet[Evento 
(1º Período)]&lt;&gt;"",IF(ISERROR(VLOOKUP(tblHorasSet[Evento 
(1º Período)],tblEvento[],Tabelas!$E$1,FALSE)),FALSE,VLOOKUP(tblHorasSet[Evento 
(1º Período)],tblEvento[],Tabelas!$E$1,FALSE)="Sim")),IF(VLOOKUP(TEXT(tblHorasSet[Data],"dddd"),tblDiaUtil[],2,FALSE)="Não",TRUE,FALSE)),
                   tblHorasSet[Saída - 1 (Almoço)]-tblHorasSet[Entrada - 1],
                   IF(OR(HOUR(tblHorasSet[Saída - 1 (Almoço)]-tblHorasSet[Entrada - 1])&gt;0,ROUND(tblHorasSet[Saída - 1 (Almoço)]-tblHorasSet[Entrada - 1],6)&gt;ROUND(CARENCIA,6)),
                          tblHorasSet[Saída - 1 (Almoço)]-tblHorasSet[Entrada - 1],
                          0)),
                    0)),0)</f>
        <v>0</v>
      </c>
      <c r="K11" s="4">
        <f>IF($B$6&lt;&gt;"",
IF(AND(tblHorasSet[Evento 
(2º Período)]&lt;&gt;"",IF(ISERROR(VLOOKUP(tblHorasSet[Evento 
(2º Período)],tblEvento[],Tabelas!$D$1,FALSE)),FALSE,VLOOKUP(tblHorasSet[Evento 
(2º Período)],tblEvento[],Tabelas!$D$1,FALSE)="Sim")),
        IF(JORNADA_PERIODO_2&lt;&gt;"",
IF(VLOOKUP(tblHorasSet[Dia],tblDiaUtil[[Abreviatura]:[2º Período]],4,FALSE)&gt;0,VLOOKUP(tblHorasSet[Dia],tblDiaUtil[[Abreviatura]:[2º Período]],4,FALSE),JORNADA_PERIODO_2),
IF(VLOOKUP(tblHorasSet[Dia],tblDiaUtil[[Abreviatura]:[2º Período]],4,FALSE)&gt;0,VLOOKUP(tblHorasSet[Dia],tblDiaUtil[[Abreviatura]:[2º Período]],4,FALSE),JORNADA/2)),
        IF(AND(ISNUMBER(tblHorasSet[Saída - 2]),ISNUMBER(tblHorasSet[Entrada - 2 (Almoço)])),
              IF(OR(AND(tblHorasSet[Evento 
(2º Período)]&lt;&gt;"",IF(ISERROR(VLOOKUP(tblHorasSet[Evento 
(2º Período)],tblEvento[],Tabelas!$E$1,FALSE)),FALSE,VLOOKUP(tblHorasSet[Evento 
(2º Período)],tblEvento[],Tabelas!$E$1,FALSE)="Sim")),IF(VLOOKUP(TEXT(tblHorasSet[Data],"dddd"),tblDiaUtil[],2,FALSE)="Não",TRUE,FALSE)),
                   tblHorasSet[Saída - 2]-tblHorasSet[Entrada - 2 (Almoço)],
                   IF(OR(HOUR(tblHorasSet[Saída - 2]-tblHorasSet[Entrada - 2 (Almoço)])&gt;0,MINUTE(tblHorasSet[Saída - 2]-tblHorasSet[Entrada - 2 (Almoço)])&gt;CARENCIA),
                         tblHorasSet[Saída - 2]-tblHorasSet[Entrada - 2 (Almoço)],
                         0)),
       0)),0)</f>
        <v>0</v>
      </c>
      <c r="L11" s="4">
        <f>tblHorasSet[Horas Trabalhadas (1º Período)]+tblHorasSet[Horas Trabalhadas (2º Período)]</f>
        <v>0</v>
      </c>
      <c r="M11" s="4" t="str">
        <f>IF(tblHorasSet[Data]&lt;&gt;"",
        IF(
AND(VLOOKUP(TEXT(tblHorasSet[Data],"dddd"),tblDiaUtil[],3,FALSE)="Sim",IF(tblHorasSet[Evento 
(1º Período)]&lt;&gt;"",IF(VLOOKUP(tblHorasSet[Evento 
(1º Período)],tblEvento[],Tabelas!$E$1,FALSE)="Sim",FALSE,TRUE),TRUE),IF(tblHorasSet[Evento 
(2º Período)]&lt;&gt;"",IF(VLOOKUP(tblHorasSet[Evento 
(2º Período)],tblEvento[],Tabelas!$E$1,FALSE)="Sim",FALSE,TRUE),TRUE)),
              IF(VLOOKUP(tblHorasSet[Dia],tblDiaUtil[[Abreviatura]:[1º Período]],3,FALSE)&gt;0,VLOOKUP(tblHorasSet[Dia],tblDiaUtil[[Abreviatura]:[1º Período]],3,FALSE),JORNADA),
              ""),
         "")</f>
        <v/>
      </c>
      <c r="N11" s="14">
        <f>IF(OR(tblHorasSet[Horas Trabalhadas (1º Período)]&lt;&gt;0,tblHorasSet[Horas Trabalhadas (2º Período)]&lt;&gt;0),
        IF(ISNUMBER(tblHorasSet[Jornada Diária]),
              IF(tblHorasSet[Jornada Diária]&gt;(tblHorasSet[Horas Trabalhadas (2º Período)]+tblHorasSet[Horas Trabalhadas (1º Período)]),
                     IF(ROUND((tblHorasSet[Jornada Diária]-(tblHorasSet[Horas Trabalhadas (2º Período)]+tblHorasSet[Horas Trabalhadas (1º Período)])),6)&gt;ROUND(CARENCIA,6),
                           -tblHorasSet[Jornada Diária]+(tblHorasSet[Horas Trabalhadas (2º Período)]+tblHorasSet[Horas Trabalhadas (1º Período)]),
                           0),
                      IF(ROUND((tblHorasSet[Jornada Diária]-(tblHorasSet[Horas Trabalhadas (2º Período)]+tblHorasSet[Horas Trabalhadas (1º Período)])),6)&lt;ROUND(-CARENCIA,6),
                           -tblHorasSet[Jornada Diária]+(tblHorasSet[Horas Trabalhadas (2º Período)]+tblHorasSet[Horas Trabalhadas (1º Período)]),
                           0)),
              tblHorasSet[Horas Trabalhadas (2º Período)]+tblHorasSet[Horas Trabalhadas (1º Período)]),
         IF(AND(IF(ISERROR(VLOOKUP(tblHorasSet[Evento 
(1º Período)],tblEvento[[Evento]:[Libera o Período]],4,FALSE)),FALSE,IF(VLOOKUP(tblHorasSet[Evento 
(1º Período)],tblEvento[[Evento]:[Libera o Período]],4,FALSE)="Não",TRUE,FALSE)),IF(ISERROR(VLOOKUP(tblHorasSet[Evento 
(2º Período)],tblEvento[[Evento]:[Libera o Período]],4,FALSE)),FALSE,IF(VLOOKUP(tblHorasSet[Evento 
(2º Período)],tblEvento[[Evento]:[Libera o Período]],4,FALSE)="Não",TRUE,FALSE))),
-IF(VLOOKUP(tblHorasSet[Dia],tblDiaUtil[[Abreviatura]:[Total Jornada]],5,FALSE)&lt;&gt;"",VLOOKUP(tblHorasSet[Dia],tblDiaUtil[[Abreviatura]:[Total Jornada]],5,FALSE),JORNADA),
IF(IF(ISERROR(VLOOKUP(tblHorasSet[Evento 
(1º Período)],tblEvento[[Evento]:[Libera o Período]],4,FALSE)),FALSE,
IF(VLOOKUP(tblHorasSet[Evento 
(1º Período)],tblEvento[[Evento]:[Libera o Período]],4,FALSE)="Não",TRUE,FALSE)
),
-IF(VLOOKUP(tblHorasSet[Dia],tblDiaUtil[[Abreviatura]:[1º Período]],3,FALSE)&lt;&gt;"",VLOOKUP(tblHorasSet[Dia],tblDiaUtil[[Abreviatura]:[1º Período]],3,FALSE),JORNADA_PERIODO_1),
IF(IF(ISERROR(VLOOKUP(tblHorasSet[Evento 
(2º Período)],tblEvento[[Evento]:[Libera o Período]],4,FALSE)),FALSE,IF(VLOOKUP(tblHorasSet[Evento 
(2º Período)],tblEvento[[Evento]:[Libera o Período]],4,FALSE)="Não",TRUE,FALSE)),
-IF(VLOOKUP(tblHorasSet[Dia],tblDiaUtil[[Abreviatura]:[2º Período]],4,FALSE)&lt;&gt;"",VLOOKUP(tblHorasSet[Dia],tblDiaUtil[[Abreviatura]:[2º Período]],4,FALSE),JORNADA_PERIODO_2),0))))</f>
        <v>0</v>
      </c>
      <c r="O11" s="14">
        <f>IF(tblHorasSet[Horas Trabalhadas Além Jornada]&gt;0,
        IF(ISNUMBER(tblHorasSet[Jornada Diária]),
              IF(HOUR(tblHorasSet[Horas Trabalhadas Além Jornada])&gt;=VLOOKUP(LIMITE,tblLimiteHora[],Tabelas!$I$1,FALSE),
                    VLOOKUP(LIMITE,tblLimiteHora[],Tabelas!$J$1,FALSE),
                    tblHorasSet[Horas Trabalhadas Além Jornada]),
              tblHorasSet[Horas Trabalhadas Além Jornada]),
        tblHorasSet[Horas Trabalhadas Além Jornada])+O10</f>
        <v>0</v>
      </c>
      <c r="P11" s="14" t="str">
        <f>IF(tblHorasSet[Horas Trabalhadas Além Jornada]&lt;0,IF(OR(tblHorasSet[Evento 
(1º Período)]="",tblHorasSet[Evento 
(2º Período)]=""),tblHorasSet[Horas Trabalhadas Além Jornada],""),"")</f>
        <v/>
      </c>
      <c r="Q11" s="14" t="str">
        <f>IF(tblHorasSet[Jornada Diária]&lt;&gt;"",IF((N(tblHorasSet[Jornada Diária])-ABS(N(tblHorasSet[Horas Trabalhadas Além Jornada])))=0,1,""),"")</f>
        <v/>
      </c>
      <c r="R11" s="14" t="str">
        <f>IF(tblHorasSet[Horas Trabalhadas Além Jornada]&gt;0,
IF(AND(VLOOKUP(TEXT(tblHorasSet[Data],"dddd"),tblDiaUtil[],3,FALSE)="Sim",IF(tblHorasSet[Evento 
(1º Período)]&lt;&gt;"",IF(VLOOKUP(tblHorasSet[Evento 
(1º Período)],tblEvento[],Tabelas!$E$1,FALSE)="Sim",FALSE,TRUE),TRUE),IF(tblHorasSet[Evento 
(2º Período)]&lt;&gt;"",IF(VLOOKUP(tblHorasSet[Evento 
(2º Período)],tblEvento[],Tabelas!$E$1,FALSE)="Sim",FALSE,TRUE),TRUE)),
tblHorasSet[Horas Trabalhadas Além Jornada],""),"")</f>
        <v/>
      </c>
      <c r="S11" s="14" t="str">
        <f>IF(tblHorasSet[Horas Trabalhadas Além Jornada]&gt;0,
IF(OR(VLOOKUP(TEXT(tblHorasSet[Data],"dddd"),tblDiaUtil[],3,FALSE)="Não",IF(tblHorasSet[Evento 
(1º Período)]&lt;&gt;"",IF(VLOOKUP(tblHorasSet[Evento 
(1º Período)],tblEvento[],Tabelas!$E$1,FALSE)="Sim",TRUE,FALSE),FALSE),IF(tblHorasSet[Evento 
(2º Período)]&lt;&gt;"",IF(VLOOKUP(tblHorasSet[Evento 
(2º Período)],tblEvento[],Tabelas!$E$1,FALSE)="Sim",TRUE,FALSE),FALSE)),
tblHorasSet[Horas Trabalhadas Além Jornada],""),"")</f>
        <v/>
      </c>
      <c r="T11" s="15" t="str">
        <f>IF(tblHorasSet[Evento 
(1º Período)]&lt;&gt;""," - " &amp;VLOOKUP(tblHorasSet[Evento 
(1º Período)],tblEvento[],Tabelas!$F$1,FALSE),"")&amp;IF(AND(tblHorasSet[Evento 
(2º Período)]&lt;&gt;"",tblHorasSet[Evento 
(2º Período)]&lt;&gt;tblHorasSet[Evento 
(1º Período)])," - " &amp; VLOOKUP(tblHorasSet[Evento 
(2º Período)],tblEvento[],Tabelas!$F$1,FALSE),"")</f>
        <v/>
      </c>
    </row>
    <row r="12" spans="2:25" x14ac:dyDescent="0.25">
      <c r="B12" s="11" t="str">
        <f t="shared" si="0"/>
        <v/>
      </c>
      <c r="C12" s="12" t="str">
        <f>TEXT(tblHorasSet[Data],"ddd")</f>
        <v/>
      </c>
      <c r="D12" s="25"/>
      <c r="E12" s="1"/>
      <c r="F12" s="1"/>
      <c r="G12" s="1"/>
      <c r="H12" s="1"/>
      <c r="I12" s="53"/>
      <c r="J12" s="4">
        <f>IF($B$6&lt;&gt;"",
IF(AND(tblHorasSet[Evento 
(1º Período)]&lt;&gt;"",IF(ISERROR(VLOOKUP(tblHorasSet[Evento 
(1º Período)],tblEvento[],Tabelas!$D$1,FALSE)),FALSE,VLOOKUP(tblHorasSet[Evento 
(1º Período)],tblEvento[],Tabelas!$D$1,FALSE)="Sim")),
        IF(JORNADA_PERIODO_1&lt;&gt;"",
IF(VLOOKUP(tblHorasSet[Dia],tblDiaUtil[[Abreviatura]:[1º Período]],3,FALSE)&gt;0,VLOOKUP(tblHorasSet[Dia],tblDiaUtil[[Abreviatura]:[1º Período]],3,FALSE),JORNADA_PERIODO_1),
IF(VLOOKUP(tblHorasSet[Dia],tblDiaUtil[[Abreviatura]:[1º Período]],3,FALSE)&gt;0,VLOOKUP(tblHorasSet[Dia],tblDiaUtil[[Abreviatura]:[1º Período]],3,FALSE),JORNADA/2)),
        IF(AND(ISNUMBER(tblHorasSet[Saída - 1 (Almoço)]),ISNUMBER(tblHorasSet[Entrada - 1])),
              IF(OR(AND(tblHorasSet[Evento 
(1º Período)]&lt;&gt;"",IF(ISERROR(VLOOKUP(tblHorasSet[Evento 
(1º Período)],tblEvento[],Tabelas!$E$1,FALSE)),FALSE,VLOOKUP(tblHorasSet[Evento 
(1º Período)],tblEvento[],Tabelas!$E$1,FALSE)="Sim")),IF(VLOOKUP(TEXT(tblHorasSet[Data],"dddd"),tblDiaUtil[],2,FALSE)="Não",TRUE,FALSE)),
                   tblHorasSet[Saída - 1 (Almoço)]-tblHorasSet[Entrada - 1],
                   IF(OR(HOUR(tblHorasSet[Saída - 1 (Almoço)]-tblHorasSet[Entrada - 1])&gt;0,ROUND(tblHorasSet[Saída - 1 (Almoço)]-tblHorasSet[Entrada - 1],6)&gt;ROUND(CARENCIA,6)),
                          tblHorasSet[Saída - 1 (Almoço)]-tblHorasSet[Entrada - 1],
                          0)),
                    0)),0)</f>
        <v>0</v>
      </c>
      <c r="K12" s="4">
        <f>IF($B$6&lt;&gt;"",
IF(AND(tblHorasSet[Evento 
(2º Período)]&lt;&gt;"",IF(ISERROR(VLOOKUP(tblHorasSet[Evento 
(2º Período)],tblEvento[],Tabelas!$D$1,FALSE)),FALSE,VLOOKUP(tblHorasSet[Evento 
(2º Período)],tblEvento[],Tabelas!$D$1,FALSE)="Sim")),
        IF(JORNADA_PERIODO_2&lt;&gt;"",
IF(VLOOKUP(tblHorasSet[Dia],tblDiaUtil[[Abreviatura]:[2º Período]],4,FALSE)&gt;0,VLOOKUP(tblHorasSet[Dia],tblDiaUtil[[Abreviatura]:[2º Período]],4,FALSE),JORNADA_PERIODO_2),
IF(VLOOKUP(tblHorasSet[Dia],tblDiaUtil[[Abreviatura]:[2º Período]],4,FALSE)&gt;0,VLOOKUP(tblHorasSet[Dia],tblDiaUtil[[Abreviatura]:[2º Período]],4,FALSE),JORNADA/2)),
        IF(AND(ISNUMBER(tblHorasSet[Saída - 2]),ISNUMBER(tblHorasSet[Entrada - 2 (Almoço)])),
              IF(OR(AND(tblHorasSet[Evento 
(2º Período)]&lt;&gt;"",IF(ISERROR(VLOOKUP(tblHorasSet[Evento 
(2º Período)],tblEvento[],Tabelas!$E$1,FALSE)),FALSE,VLOOKUP(tblHorasSet[Evento 
(2º Período)],tblEvento[],Tabelas!$E$1,FALSE)="Sim")),IF(VLOOKUP(TEXT(tblHorasSet[Data],"dddd"),tblDiaUtil[],2,FALSE)="Não",TRUE,FALSE)),
                   tblHorasSet[Saída - 2]-tblHorasSet[Entrada - 2 (Almoço)],
                   IF(OR(HOUR(tblHorasSet[Saída - 2]-tblHorasSet[Entrada - 2 (Almoço)])&gt;0,MINUTE(tblHorasSet[Saída - 2]-tblHorasSet[Entrada - 2 (Almoço)])&gt;CARENCIA),
                         tblHorasSet[Saída - 2]-tblHorasSet[Entrada - 2 (Almoço)],
                         0)),
       0)),0)</f>
        <v>0</v>
      </c>
      <c r="L12" s="4">
        <f>tblHorasSet[Horas Trabalhadas (1º Período)]+tblHorasSet[Horas Trabalhadas (2º Período)]</f>
        <v>0</v>
      </c>
      <c r="M12" s="4" t="str">
        <f>IF(tblHorasSet[Data]&lt;&gt;"",
        IF(
AND(VLOOKUP(TEXT(tblHorasSet[Data],"dddd"),tblDiaUtil[],3,FALSE)="Sim",IF(tblHorasSet[Evento 
(1º Período)]&lt;&gt;"",IF(VLOOKUP(tblHorasSet[Evento 
(1º Período)],tblEvento[],Tabelas!$E$1,FALSE)="Sim",FALSE,TRUE),TRUE),IF(tblHorasSet[Evento 
(2º Período)]&lt;&gt;"",IF(VLOOKUP(tblHorasSet[Evento 
(2º Período)],tblEvento[],Tabelas!$E$1,FALSE)="Sim",FALSE,TRUE),TRUE)),
              IF(VLOOKUP(tblHorasSet[Dia],tblDiaUtil[[Abreviatura]:[1º Período]],3,FALSE)&gt;0,VLOOKUP(tblHorasSet[Dia],tblDiaUtil[[Abreviatura]:[1º Período]],3,FALSE),JORNADA),
              ""),
         "")</f>
        <v/>
      </c>
      <c r="N12" s="14">
        <f>IF(OR(tblHorasSet[Horas Trabalhadas (1º Período)]&lt;&gt;0,tblHorasSet[Horas Trabalhadas (2º Período)]&lt;&gt;0),
        IF(ISNUMBER(tblHorasSet[Jornada Diária]),
              IF(tblHorasSet[Jornada Diária]&gt;(tblHorasSet[Horas Trabalhadas (2º Período)]+tblHorasSet[Horas Trabalhadas (1º Período)]),
                     IF(ROUND((tblHorasSet[Jornada Diária]-(tblHorasSet[Horas Trabalhadas (2º Período)]+tblHorasSet[Horas Trabalhadas (1º Período)])),6)&gt;ROUND(CARENCIA,6),
                           -tblHorasSet[Jornada Diária]+(tblHorasSet[Horas Trabalhadas (2º Período)]+tblHorasSet[Horas Trabalhadas (1º Período)]),
                           0),
                      IF(ROUND((tblHorasSet[Jornada Diária]-(tblHorasSet[Horas Trabalhadas (2º Período)]+tblHorasSet[Horas Trabalhadas (1º Período)])),6)&lt;ROUND(-CARENCIA,6),
                           -tblHorasSet[Jornada Diária]+(tblHorasSet[Horas Trabalhadas (2º Período)]+tblHorasSet[Horas Trabalhadas (1º Período)]),
                           0)),
              tblHorasSet[Horas Trabalhadas (2º Período)]+tblHorasSet[Horas Trabalhadas (1º Período)]),
         IF(AND(IF(ISERROR(VLOOKUP(tblHorasSet[Evento 
(1º Período)],tblEvento[[Evento]:[Libera o Período]],4,FALSE)),FALSE,IF(VLOOKUP(tblHorasSet[Evento 
(1º Período)],tblEvento[[Evento]:[Libera o Período]],4,FALSE)="Não",TRUE,FALSE)),IF(ISERROR(VLOOKUP(tblHorasSet[Evento 
(2º Período)],tblEvento[[Evento]:[Libera o Período]],4,FALSE)),FALSE,IF(VLOOKUP(tblHorasSet[Evento 
(2º Período)],tblEvento[[Evento]:[Libera o Período]],4,FALSE)="Não",TRUE,FALSE))),
-IF(VLOOKUP(tblHorasSet[Dia],tblDiaUtil[[Abreviatura]:[Total Jornada]],5,FALSE)&lt;&gt;"",VLOOKUP(tblHorasSet[Dia],tblDiaUtil[[Abreviatura]:[Total Jornada]],5,FALSE),JORNADA),
IF(IF(ISERROR(VLOOKUP(tblHorasSet[Evento 
(1º Período)],tblEvento[[Evento]:[Libera o Período]],4,FALSE)),FALSE,
IF(VLOOKUP(tblHorasSet[Evento 
(1º Período)],tblEvento[[Evento]:[Libera o Período]],4,FALSE)="Não",TRUE,FALSE)
),
-IF(VLOOKUP(tblHorasSet[Dia],tblDiaUtil[[Abreviatura]:[1º Período]],3,FALSE)&lt;&gt;"",VLOOKUP(tblHorasSet[Dia],tblDiaUtil[[Abreviatura]:[1º Período]],3,FALSE),JORNADA_PERIODO_1),
IF(IF(ISERROR(VLOOKUP(tblHorasSet[Evento 
(2º Período)],tblEvento[[Evento]:[Libera o Período]],4,FALSE)),FALSE,IF(VLOOKUP(tblHorasSet[Evento 
(2º Período)],tblEvento[[Evento]:[Libera o Período]],4,FALSE)="Não",TRUE,FALSE)),
-IF(VLOOKUP(tblHorasSet[Dia],tblDiaUtil[[Abreviatura]:[2º Período]],4,FALSE)&lt;&gt;"",VLOOKUP(tblHorasSet[Dia],tblDiaUtil[[Abreviatura]:[2º Período]],4,FALSE),JORNADA_PERIODO_2),0))))</f>
        <v>0</v>
      </c>
      <c r="O12" s="14">
        <f>IF(tblHorasSet[Horas Trabalhadas Além Jornada]&gt;0,
        IF(ISNUMBER(tblHorasSet[Jornada Diária]),
              IF(HOUR(tblHorasSet[Horas Trabalhadas Além Jornada])&gt;=VLOOKUP(LIMITE,tblLimiteHora[],Tabelas!$I$1,FALSE),
                    VLOOKUP(LIMITE,tblLimiteHora[],Tabelas!$J$1,FALSE),
                    tblHorasSet[Horas Trabalhadas Além Jornada]),
              tblHorasSet[Horas Trabalhadas Além Jornada]),
        tblHorasSet[Horas Trabalhadas Além Jornada])+O11</f>
        <v>0</v>
      </c>
      <c r="P12" s="14" t="str">
        <f>IF(tblHorasSet[Horas Trabalhadas Além Jornada]&lt;0,IF(OR(tblHorasSet[Evento 
(1º Período)]="",tblHorasSet[Evento 
(2º Período)]=""),tblHorasSet[Horas Trabalhadas Além Jornada],""),"")</f>
        <v/>
      </c>
      <c r="Q12" s="14" t="str">
        <f>IF(tblHorasSet[Jornada Diária]&lt;&gt;"",IF((N(tblHorasSet[Jornada Diária])-ABS(N(tblHorasSet[Horas Trabalhadas Além Jornada])))=0,1,""),"")</f>
        <v/>
      </c>
      <c r="R12" s="14" t="str">
        <f>IF(tblHorasSet[Horas Trabalhadas Além Jornada]&gt;0,
IF(AND(VLOOKUP(TEXT(tblHorasSet[Data],"dddd"),tblDiaUtil[],3,FALSE)="Sim",IF(tblHorasSet[Evento 
(1º Período)]&lt;&gt;"",IF(VLOOKUP(tblHorasSet[Evento 
(1º Período)],tblEvento[],Tabelas!$E$1,FALSE)="Sim",FALSE,TRUE),TRUE),IF(tblHorasSet[Evento 
(2º Período)]&lt;&gt;"",IF(VLOOKUP(tblHorasSet[Evento 
(2º Período)],tblEvento[],Tabelas!$E$1,FALSE)="Sim",FALSE,TRUE),TRUE)),
tblHorasSet[Horas Trabalhadas Além Jornada],""),"")</f>
        <v/>
      </c>
      <c r="S12" s="14" t="str">
        <f>IF(tblHorasSet[Horas Trabalhadas Além Jornada]&gt;0,
IF(OR(VLOOKUP(TEXT(tblHorasSet[Data],"dddd"),tblDiaUtil[],3,FALSE)="Não",IF(tblHorasSet[Evento 
(1º Período)]&lt;&gt;"",IF(VLOOKUP(tblHorasSet[Evento 
(1º Período)],tblEvento[],Tabelas!$E$1,FALSE)="Sim",TRUE,FALSE),FALSE),IF(tblHorasSet[Evento 
(2º Período)]&lt;&gt;"",IF(VLOOKUP(tblHorasSet[Evento 
(2º Período)],tblEvento[],Tabelas!$E$1,FALSE)="Sim",TRUE,FALSE),FALSE)),
tblHorasSet[Horas Trabalhadas Além Jornada],""),"")</f>
        <v/>
      </c>
      <c r="T12" s="15" t="str">
        <f>IF(tblHorasSet[Evento 
(1º Período)]&lt;&gt;""," - " &amp;VLOOKUP(tblHorasSet[Evento 
(1º Período)],tblEvento[],Tabelas!$F$1,FALSE),"")&amp;IF(AND(tblHorasSet[Evento 
(2º Período)]&lt;&gt;"",tblHorasSet[Evento 
(2º Período)]&lt;&gt;tblHorasSet[Evento 
(1º Período)])," - " &amp; VLOOKUP(tblHorasSet[Evento 
(2º Período)],tblEvento[],Tabelas!$F$1,FALSE),"")</f>
        <v/>
      </c>
    </row>
    <row r="13" spans="2:25" x14ac:dyDescent="0.25">
      <c r="B13" s="11" t="str">
        <f t="shared" si="0"/>
        <v/>
      </c>
      <c r="C13" s="12" t="str">
        <f>TEXT(tblHorasSet[Data],"ddd")</f>
        <v/>
      </c>
      <c r="D13" s="25"/>
      <c r="E13" s="1"/>
      <c r="F13" s="1"/>
      <c r="G13" s="1"/>
      <c r="H13" s="1"/>
      <c r="I13" s="53"/>
      <c r="J13" s="4">
        <f>IF($B$6&lt;&gt;"",
IF(AND(tblHorasSet[Evento 
(1º Período)]&lt;&gt;"",IF(ISERROR(VLOOKUP(tblHorasSet[Evento 
(1º Período)],tblEvento[],Tabelas!$D$1,FALSE)),FALSE,VLOOKUP(tblHorasSet[Evento 
(1º Período)],tblEvento[],Tabelas!$D$1,FALSE)="Sim")),
        IF(JORNADA_PERIODO_1&lt;&gt;"",
IF(VLOOKUP(tblHorasSet[Dia],tblDiaUtil[[Abreviatura]:[1º Período]],3,FALSE)&gt;0,VLOOKUP(tblHorasSet[Dia],tblDiaUtil[[Abreviatura]:[1º Período]],3,FALSE),JORNADA_PERIODO_1),
IF(VLOOKUP(tblHorasSet[Dia],tblDiaUtil[[Abreviatura]:[1º Período]],3,FALSE)&gt;0,VLOOKUP(tblHorasSet[Dia],tblDiaUtil[[Abreviatura]:[1º Período]],3,FALSE),JORNADA/2)),
        IF(AND(ISNUMBER(tblHorasSet[Saída - 1 (Almoço)]),ISNUMBER(tblHorasSet[Entrada - 1])),
              IF(OR(AND(tblHorasSet[Evento 
(1º Período)]&lt;&gt;"",IF(ISERROR(VLOOKUP(tblHorasSet[Evento 
(1º Período)],tblEvento[],Tabelas!$E$1,FALSE)),FALSE,VLOOKUP(tblHorasSet[Evento 
(1º Período)],tblEvento[],Tabelas!$E$1,FALSE)="Sim")),IF(VLOOKUP(TEXT(tblHorasSet[Data],"dddd"),tblDiaUtil[],2,FALSE)="Não",TRUE,FALSE)),
                   tblHorasSet[Saída - 1 (Almoço)]-tblHorasSet[Entrada - 1],
                   IF(OR(HOUR(tblHorasSet[Saída - 1 (Almoço)]-tblHorasSet[Entrada - 1])&gt;0,ROUND(tblHorasSet[Saída - 1 (Almoço)]-tblHorasSet[Entrada - 1],6)&gt;ROUND(CARENCIA,6)),
                          tblHorasSet[Saída - 1 (Almoço)]-tblHorasSet[Entrada - 1],
                          0)),
                    0)),0)</f>
        <v>0</v>
      </c>
      <c r="K13" s="4">
        <f>IF($B$6&lt;&gt;"",
IF(AND(tblHorasSet[Evento 
(2º Período)]&lt;&gt;"",IF(ISERROR(VLOOKUP(tblHorasSet[Evento 
(2º Período)],tblEvento[],Tabelas!$D$1,FALSE)),FALSE,VLOOKUP(tblHorasSet[Evento 
(2º Período)],tblEvento[],Tabelas!$D$1,FALSE)="Sim")),
        IF(JORNADA_PERIODO_2&lt;&gt;"",
IF(VLOOKUP(tblHorasSet[Dia],tblDiaUtil[[Abreviatura]:[2º Período]],4,FALSE)&gt;0,VLOOKUP(tblHorasSet[Dia],tblDiaUtil[[Abreviatura]:[2º Período]],4,FALSE),JORNADA_PERIODO_2),
IF(VLOOKUP(tblHorasSet[Dia],tblDiaUtil[[Abreviatura]:[2º Período]],4,FALSE)&gt;0,VLOOKUP(tblHorasSet[Dia],tblDiaUtil[[Abreviatura]:[2º Período]],4,FALSE),JORNADA/2)),
        IF(AND(ISNUMBER(tblHorasSet[Saída - 2]),ISNUMBER(tblHorasSet[Entrada - 2 (Almoço)])),
              IF(OR(AND(tblHorasSet[Evento 
(2º Período)]&lt;&gt;"",IF(ISERROR(VLOOKUP(tblHorasSet[Evento 
(2º Período)],tblEvento[],Tabelas!$E$1,FALSE)),FALSE,VLOOKUP(tblHorasSet[Evento 
(2º Período)],tblEvento[],Tabelas!$E$1,FALSE)="Sim")),IF(VLOOKUP(TEXT(tblHorasSet[Data],"dddd"),tblDiaUtil[],2,FALSE)="Não",TRUE,FALSE)),
                   tblHorasSet[Saída - 2]-tblHorasSet[Entrada - 2 (Almoço)],
                   IF(OR(HOUR(tblHorasSet[Saída - 2]-tblHorasSet[Entrada - 2 (Almoço)])&gt;0,MINUTE(tblHorasSet[Saída - 2]-tblHorasSet[Entrada - 2 (Almoço)])&gt;CARENCIA),
                         tblHorasSet[Saída - 2]-tblHorasSet[Entrada - 2 (Almoço)],
                         0)),
       0)),0)</f>
        <v>0</v>
      </c>
      <c r="L13" s="4">
        <f>tblHorasSet[Horas Trabalhadas (1º Período)]+tblHorasSet[Horas Trabalhadas (2º Período)]</f>
        <v>0</v>
      </c>
      <c r="M13" s="4" t="str">
        <f>IF(tblHorasSet[Data]&lt;&gt;"",
        IF(
AND(VLOOKUP(TEXT(tblHorasSet[Data],"dddd"),tblDiaUtil[],3,FALSE)="Sim",IF(tblHorasSet[Evento 
(1º Período)]&lt;&gt;"",IF(VLOOKUP(tblHorasSet[Evento 
(1º Período)],tblEvento[],Tabelas!$E$1,FALSE)="Sim",FALSE,TRUE),TRUE),IF(tblHorasSet[Evento 
(2º Período)]&lt;&gt;"",IF(VLOOKUP(tblHorasSet[Evento 
(2º Período)],tblEvento[],Tabelas!$E$1,FALSE)="Sim",FALSE,TRUE),TRUE)),
              IF(VLOOKUP(tblHorasSet[Dia],tblDiaUtil[[Abreviatura]:[1º Período]],3,FALSE)&gt;0,VLOOKUP(tblHorasSet[Dia],tblDiaUtil[[Abreviatura]:[1º Período]],3,FALSE),JORNADA),
              ""),
         "")</f>
        <v/>
      </c>
      <c r="N13" s="14">
        <f>IF(OR(tblHorasSet[Horas Trabalhadas (1º Período)]&lt;&gt;0,tblHorasSet[Horas Trabalhadas (2º Período)]&lt;&gt;0),
        IF(ISNUMBER(tblHorasSet[Jornada Diária]),
              IF(tblHorasSet[Jornada Diária]&gt;(tblHorasSet[Horas Trabalhadas (2º Período)]+tblHorasSet[Horas Trabalhadas (1º Período)]),
                     IF(ROUND((tblHorasSet[Jornada Diária]-(tblHorasSet[Horas Trabalhadas (2º Período)]+tblHorasSet[Horas Trabalhadas (1º Período)])),6)&gt;ROUND(CARENCIA,6),
                           -tblHorasSet[Jornada Diária]+(tblHorasSet[Horas Trabalhadas (2º Período)]+tblHorasSet[Horas Trabalhadas (1º Período)]),
                           0),
                      IF(ROUND((tblHorasSet[Jornada Diária]-(tblHorasSet[Horas Trabalhadas (2º Período)]+tblHorasSet[Horas Trabalhadas (1º Período)])),6)&lt;ROUND(-CARENCIA,6),
                           -tblHorasSet[Jornada Diária]+(tblHorasSet[Horas Trabalhadas (2º Período)]+tblHorasSet[Horas Trabalhadas (1º Período)]),
                           0)),
              tblHorasSet[Horas Trabalhadas (2º Período)]+tblHorasSet[Horas Trabalhadas (1º Período)]),
         IF(AND(IF(ISERROR(VLOOKUP(tblHorasSet[Evento 
(1º Período)],tblEvento[[Evento]:[Libera o Período]],4,FALSE)),FALSE,IF(VLOOKUP(tblHorasSet[Evento 
(1º Período)],tblEvento[[Evento]:[Libera o Período]],4,FALSE)="Não",TRUE,FALSE)),IF(ISERROR(VLOOKUP(tblHorasSet[Evento 
(2º Período)],tblEvento[[Evento]:[Libera o Período]],4,FALSE)),FALSE,IF(VLOOKUP(tblHorasSet[Evento 
(2º Período)],tblEvento[[Evento]:[Libera o Período]],4,FALSE)="Não",TRUE,FALSE))),
-IF(VLOOKUP(tblHorasSet[Dia],tblDiaUtil[[Abreviatura]:[Total Jornada]],5,FALSE)&lt;&gt;"",VLOOKUP(tblHorasSet[Dia],tblDiaUtil[[Abreviatura]:[Total Jornada]],5,FALSE),JORNADA),
IF(IF(ISERROR(VLOOKUP(tblHorasSet[Evento 
(1º Período)],tblEvento[[Evento]:[Libera o Período]],4,FALSE)),FALSE,
IF(VLOOKUP(tblHorasSet[Evento 
(1º Período)],tblEvento[[Evento]:[Libera o Período]],4,FALSE)="Não",TRUE,FALSE)
),
-IF(VLOOKUP(tblHorasSet[Dia],tblDiaUtil[[Abreviatura]:[1º Período]],3,FALSE)&lt;&gt;"",VLOOKUP(tblHorasSet[Dia],tblDiaUtil[[Abreviatura]:[1º Período]],3,FALSE),JORNADA_PERIODO_1),
IF(IF(ISERROR(VLOOKUP(tblHorasSet[Evento 
(2º Período)],tblEvento[[Evento]:[Libera o Período]],4,FALSE)),FALSE,IF(VLOOKUP(tblHorasSet[Evento 
(2º Período)],tblEvento[[Evento]:[Libera o Período]],4,FALSE)="Não",TRUE,FALSE)),
-IF(VLOOKUP(tblHorasSet[Dia],tblDiaUtil[[Abreviatura]:[2º Período]],4,FALSE)&lt;&gt;"",VLOOKUP(tblHorasSet[Dia],tblDiaUtil[[Abreviatura]:[2º Período]],4,FALSE),JORNADA_PERIODO_2),0))))</f>
        <v>0</v>
      </c>
      <c r="O13" s="14">
        <f>IF(tblHorasSet[Horas Trabalhadas Além Jornada]&gt;0,
        IF(ISNUMBER(tblHorasSet[Jornada Diária]),
              IF(HOUR(tblHorasSet[Horas Trabalhadas Além Jornada])&gt;=VLOOKUP(LIMITE,tblLimiteHora[],Tabelas!$I$1,FALSE),
                    VLOOKUP(LIMITE,tblLimiteHora[],Tabelas!$J$1,FALSE),
                    tblHorasSet[Horas Trabalhadas Além Jornada]),
              tblHorasSet[Horas Trabalhadas Além Jornada]),
        tblHorasSet[Horas Trabalhadas Além Jornada])+O12</f>
        <v>0</v>
      </c>
      <c r="P13" s="14" t="str">
        <f>IF(tblHorasSet[Horas Trabalhadas Além Jornada]&lt;0,IF(OR(tblHorasSet[Evento 
(1º Período)]="",tblHorasSet[Evento 
(2º Período)]=""),tblHorasSet[Horas Trabalhadas Além Jornada],""),"")</f>
        <v/>
      </c>
      <c r="Q13" s="14" t="str">
        <f>IF(tblHorasSet[Jornada Diária]&lt;&gt;"",IF((N(tblHorasSet[Jornada Diária])-ABS(N(tblHorasSet[Horas Trabalhadas Além Jornada])))=0,1,""),"")</f>
        <v/>
      </c>
      <c r="R13" s="14" t="str">
        <f>IF(tblHorasSet[Horas Trabalhadas Além Jornada]&gt;0,
IF(AND(VLOOKUP(TEXT(tblHorasSet[Data],"dddd"),tblDiaUtil[],3,FALSE)="Sim",IF(tblHorasSet[Evento 
(1º Período)]&lt;&gt;"",IF(VLOOKUP(tblHorasSet[Evento 
(1º Período)],tblEvento[],Tabelas!$E$1,FALSE)="Sim",FALSE,TRUE),TRUE),IF(tblHorasSet[Evento 
(2º Período)]&lt;&gt;"",IF(VLOOKUP(tblHorasSet[Evento 
(2º Período)],tblEvento[],Tabelas!$E$1,FALSE)="Sim",FALSE,TRUE),TRUE)),
tblHorasSet[Horas Trabalhadas Além Jornada],""),"")</f>
        <v/>
      </c>
      <c r="S13" s="14" t="str">
        <f>IF(tblHorasSet[Horas Trabalhadas Além Jornada]&gt;0,
IF(OR(VLOOKUP(TEXT(tblHorasSet[Data],"dddd"),tblDiaUtil[],3,FALSE)="Não",IF(tblHorasSet[Evento 
(1º Período)]&lt;&gt;"",IF(VLOOKUP(tblHorasSet[Evento 
(1º Período)],tblEvento[],Tabelas!$E$1,FALSE)="Sim",TRUE,FALSE),FALSE),IF(tblHorasSet[Evento 
(2º Período)]&lt;&gt;"",IF(VLOOKUP(tblHorasSet[Evento 
(2º Período)],tblEvento[],Tabelas!$E$1,FALSE)="Sim",TRUE,FALSE),FALSE)),
tblHorasSet[Horas Trabalhadas Além Jornada],""),"")</f>
        <v/>
      </c>
      <c r="T13" s="15" t="str">
        <f>IF(tblHorasSet[Evento 
(1º Período)]&lt;&gt;""," - " &amp;VLOOKUP(tblHorasSet[Evento 
(1º Período)],tblEvento[],Tabelas!$F$1,FALSE),"")&amp;IF(AND(tblHorasSet[Evento 
(2º Período)]&lt;&gt;"",tblHorasSet[Evento 
(2º Período)]&lt;&gt;tblHorasSet[Evento 
(1º Período)])," - " &amp; VLOOKUP(tblHorasSet[Evento 
(2º Período)],tblEvento[],Tabelas!$F$1,FALSE),"")</f>
        <v/>
      </c>
    </row>
    <row r="14" spans="2:25" x14ac:dyDescent="0.25">
      <c r="B14" s="11" t="str">
        <f t="shared" si="0"/>
        <v/>
      </c>
      <c r="C14" s="12" t="str">
        <f>TEXT(tblHorasSet[Data],"ddd")</f>
        <v/>
      </c>
      <c r="D14" s="25"/>
      <c r="E14" s="1"/>
      <c r="F14" s="1"/>
      <c r="G14" s="1"/>
      <c r="H14" s="1"/>
      <c r="I14" s="53"/>
      <c r="J14" s="4">
        <f>IF($B$6&lt;&gt;"",
IF(AND(tblHorasSet[Evento 
(1º Período)]&lt;&gt;"",IF(ISERROR(VLOOKUP(tblHorasSet[Evento 
(1º Período)],tblEvento[],Tabelas!$D$1,FALSE)),FALSE,VLOOKUP(tblHorasSet[Evento 
(1º Período)],tblEvento[],Tabelas!$D$1,FALSE)="Sim")),
        IF(JORNADA_PERIODO_1&lt;&gt;"",
IF(VLOOKUP(tblHorasSet[Dia],tblDiaUtil[[Abreviatura]:[1º Período]],3,FALSE)&gt;0,VLOOKUP(tblHorasSet[Dia],tblDiaUtil[[Abreviatura]:[1º Período]],3,FALSE),JORNADA_PERIODO_1),
IF(VLOOKUP(tblHorasSet[Dia],tblDiaUtil[[Abreviatura]:[1º Período]],3,FALSE)&gt;0,VLOOKUP(tblHorasSet[Dia],tblDiaUtil[[Abreviatura]:[1º Período]],3,FALSE),JORNADA/2)),
        IF(AND(ISNUMBER(tblHorasSet[Saída - 1 (Almoço)]),ISNUMBER(tblHorasSet[Entrada - 1])),
              IF(OR(AND(tblHorasSet[Evento 
(1º Período)]&lt;&gt;"",IF(ISERROR(VLOOKUP(tblHorasSet[Evento 
(1º Período)],tblEvento[],Tabelas!$E$1,FALSE)),FALSE,VLOOKUP(tblHorasSet[Evento 
(1º Período)],tblEvento[],Tabelas!$E$1,FALSE)="Sim")),IF(VLOOKUP(TEXT(tblHorasSet[Data],"dddd"),tblDiaUtil[],2,FALSE)="Não",TRUE,FALSE)),
                   tblHorasSet[Saída - 1 (Almoço)]-tblHorasSet[Entrada - 1],
                   IF(OR(HOUR(tblHorasSet[Saída - 1 (Almoço)]-tblHorasSet[Entrada - 1])&gt;0,ROUND(tblHorasSet[Saída - 1 (Almoço)]-tblHorasSet[Entrada - 1],6)&gt;ROUND(CARENCIA,6)),
                          tblHorasSet[Saída - 1 (Almoço)]-tblHorasSet[Entrada - 1],
                          0)),
                    0)),0)</f>
        <v>0</v>
      </c>
      <c r="K14" s="4">
        <f>IF($B$6&lt;&gt;"",
IF(AND(tblHorasSet[Evento 
(2º Período)]&lt;&gt;"",IF(ISERROR(VLOOKUP(tblHorasSet[Evento 
(2º Período)],tblEvento[],Tabelas!$D$1,FALSE)),FALSE,VLOOKUP(tblHorasSet[Evento 
(2º Período)],tblEvento[],Tabelas!$D$1,FALSE)="Sim")),
        IF(JORNADA_PERIODO_2&lt;&gt;"",
IF(VLOOKUP(tblHorasSet[Dia],tblDiaUtil[[Abreviatura]:[2º Período]],4,FALSE)&gt;0,VLOOKUP(tblHorasSet[Dia],tblDiaUtil[[Abreviatura]:[2º Período]],4,FALSE),JORNADA_PERIODO_2),
IF(VLOOKUP(tblHorasSet[Dia],tblDiaUtil[[Abreviatura]:[2º Período]],4,FALSE)&gt;0,VLOOKUP(tblHorasSet[Dia],tblDiaUtil[[Abreviatura]:[2º Período]],4,FALSE),JORNADA/2)),
        IF(AND(ISNUMBER(tblHorasSet[Saída - 2]),ISNUMBER(tblHorasSet[Entrada - 2 (Almoço)])),
              IF(OR(AND(tblHorasSet[Evento 
(2º Período)]&lt;&gt;"",IF(ISERROR(VLOOKUP(tblHorasSet[Evento 
(2º Período)],tblEvento[],Tabelas!$E$1,FALSE)),FALSE,VLOOKUP(tblHorasSet[Evento 
(2º Período)],tblEvento[],Tabelas!$E$1,FALSE)="Sim")),IF(VLOOKUP(TEXT(tblHorasSet[Data],"dddd"),tblDiaUtil[],2,FALSE)="Não",TRUE,FALSE)),
                   tblHorasSet[Saída - 2]-tblHorasSet[Entrada - 2 (Almoço)],
                   IF(OR(HOUR(tblHorasSet[Saída - 2]-tblHorasSet[Entrada - 2 (Almoço)])&gt;0,MINUTE(tblHorasSet[Saída - 2]-tblHorasSet[Entrada - 2 (Almoço)])&gt;CARENCIA),
                         tblHorasSet[Saída - 2]-tblHorasSet[Entrada - 2 (Almoço)],
                         0)),
       0)),0)</f>
        <v>0</v>
      </c>
      <c r="L14" s="4">
        <f>tblHorasSet[Horas Trabalhadas (1º Período)]+tblHorasSet[Horas Trabalhadas (2º Período)]</f>
        <v>0</v>
      </c>
      <c r="M14" s="4" t="str">
        <f>IF(tblHorasSet[Data]&lt;&gt;"",
        IF(
AND(VLOOKUP(TEXT(tblHorasSet[Data],"dddd"),tblDiaUtil[],3,FALSE)="Sim",IF(tblHorasSet[Evento 
(1º Período)]&lt;&gt;"",IF(VLOOKUP(tblHorasSet[Evento 
(1º Período)],tblEvento[],Tabelas!$E$1,FALSE)="Sim",FALSE,TRUE),TRUE),IF(tblHorasSet[Evento 
(2º Período)]&lt;&gt;"",IF(VLOOKUP(tblHorasSet[Evento 
(2º Período)],tblEvento[],Tabelas!$E$1,FALSE)="Sim",FALSE,TRUE),TRUE)),
              IF(VLOOKUP(tblHorasSet[Dia],tblDiaUtil[[Abreviatura]:[1º Período]],3,FALSE)&gt;0,VLOOKUP(tblHorasSet[Dia],tblDiaUtil[[Abreviatura]:[1º Período]],3,FALSE),JORNADA),
              ""),
         "")</f>
        <v/>
      </c>
      <c r="N14" s="14">
        <f>IF(OR(tblHorasSet[Horas Trabalhadas (1º Período)]&lt;&gt;0,tblHorasSet[Horas Trabalhadas (2º Período)]&lt;&gt;0),
        IF(ISNUMBER(tblHorasSet[Jornada Diária]),
              IF(tblHorasSet[Jornada Diária]&gt;(tblHorasSet[Horas Trabalhadas (2º Período)]+tblHorasSet[Horas Trabalhadas (1º Período)]),
                     IF(ROUND((tblHorasSet[Jornada Diária]-(tblHorasSet[Horas Trabalhadas (2º Período)]+tblHorasSet[Horas Trabalhadas (1º Período)])),6)&gt;ROUND(CARENCIA,6),
                           -tblHorasSet[Jornada Diária]+(tblHorasSet[Horas Trabalhadas (2º Período)]+tblHorasSet[Horas Trabalhadas (1º Período)]),
                           0),
                      IF(ROUND((tblHorasSet[Jornada Diária]-(tblHorasSet[Horas Trabalhadas (2º Período)]+tblHorasSet[Horas Trabalhadas (1º Período)])),6)&lt;ROUND(-CARENCIA,6),
                           -tblHorasSet[Jornada Diária]+(tblHorasSet[Horas Trabalhadas (2º Período)]+tblHorasSet[Horas Trabalhadas (1º Período)]),
                           0)),
              tblHorasSet[Horas Trabalhadas (2º Período)]+tblHorasSet[Horas Trabalhadas (1º Período)]),
         IF(AND(IF(ISERROR(VLOOKUP(tblHorasSet[Evento 
(1º Período)],tblEvento[[Evento]:[Libera o Período]],4,FALSE)),FALSE,IF(VLOOKUP(tblHorasSet[Evento 
(1º Período)],tblEvento[[Evento]:[Libera o Período]],4,FALSE)="Não",TRUE,FALSE)),IF(ISERROR(VLOOKUP(tblHorasSet[Evento 
(2º Período)],tblEvento[[Evento]:[Libera o Período]],4,FALSE)),FALSE,IF(VLOOKUP(tblHorasSet[Evento 
(2º Período)],tblEvento[[Evento]:[Libera o Período]],4,FALSE)="Não",TRUE,FALSE))),
-IF(VLOOKUP(tblHorasSet[Dia],tblDiaUtil[[Abreviatura]:[Total Jornada]],5,FALSE)&lt;&gt;"",VLOOKUP(tblHorasSet[Dia],tblDiaUtil[[Abreviatura]:[Total Jornada]],5,FALSE),JORNADA),
IF(IF(ISERROR(VLOOKUP(tblHorasSet[Evento 
(1º Período)],tblEvento[[Evento]:[Libera o Período]],4,FALSE)),FALSE,
IF(VLOOKUP(tblHorasSet[Evento 
(1º Período)],tblEvento[[Evento]:[Libera o Período]],4,FALSE)="Não",TRUE,FALSE)
),
-IF(VLOOKUP(tblHorasSet[Dia],tblDiaUtil[[Abreviatura]:[1º Período]],3,FALSE)&lt;&gt;"",VLOOKUP(tblHorasSet[Dia],tblDiaUtil[[Abreviatura]:[1º Período]],3,FALSE),JORNADA_PERIODO_1),
IF(IF(ISERROR(VLOOKUP(tblHorasSet[Evento 
(2º Período)],tblEvento[[Evento]:[Libera o Período]],4,FALSE)),FALSE,IF(VLOOKUP(tblHorasSet[Evento 
(2º Período)],tblEvento[[Evento]:[Libera o Período]],4,FALSE)="Não",TRUE,FALSE)),
-IF(VLOOKUP(tblHorasSet[Dia],tblDiaUtil[[Abreviatura]:[2º Período]],4,FALSE)&lt;&gt;"",VLOOKUP(tblHorasSet[Dia],tblDiaUtil[[Abreviatura]:[2º Período]],4,FALSE),JORNADA_PERIODO_2),0))))</f>
        <v>0</v>
      </c>
      <c r="O14" s="14">
        <f>IF(tblHorasSet[Horas Trabalhadas Além Jornada]&gt;0,
        IF(ISNUMBER(tblHorasSet[Jornada Diária]),
              IF(HOUR(tblHorasSet[Horas Trabalhadas Além Jornada])&gt;=VLOOKUP(LIMITE,tblLimiteHora[],Tabelas!$I$1,FALSE),
                    VLOOKUP(LIMITE,tblLimiteHora[],Tabelas!$J$1,FALSE),
                    tblHorasSet[Horas Trabalhadas Além Jornada]),
              tblHorasSet[Horas Trabalhadas Além Jornada]),
        tblHorasSet[Horas Trabalhadas Além Jornada])+O13</f>
        <v>0</v>
      </c>
      <c r="P14" s="14" t="str">
        <f>IF(tblHorasSet[Horas Trabalhadas Além Jornada]&lt;0,IF(OR(tblHorasSet[Evento 
(1º Período)]="",tblHorasSet[Evento 
(2º Período)]=""),tblHorasSet[Horas Trabalhadas Além Jornada],""),"")</f>
        <v/>
      </c>
      <c r="Q14" s="14" t="str">
        <f>IF(tblHorasSet[Jornada Diária]&lt;&gt;"",IF((N(tblHorasSet[Jornada Diária])-ABS(N(tblHorasSet[Horas Trabalhadas Além Jornada])))=0,1,""),"")</f>
        <v/>
      </c>
      <c r="R14" s="14" t="str">
        <f>IF(tblHorasSet[Horas Trabalhadas Além Jornada]&gt;0,
IF(AND(VLOOKUP(TEXT(tblHorasSet[Data],"dddd"),tblDiaUtil[],3,FALSE)="Sim",IF(tblHorasSet[Evento 
(1º Período)]&lt;&gt;"",IF(VLOOKUP(tblHorasSet[Evento 
(1º Período)],tblEvento[],Tabelas!$E$1,FALSE)="Sim",FALSE,TRUE),TRUE),IF(tblHorasSet[Evento 
(2º Período)]&lt;&gt;"",IF(VLOOKUP(tblHorasSet[Evento 
(2º Período)],tblEvento[],Tabelas!$E$1,FALSE)="Sim",FALSE,TRUE),TRUE)),
tblHorasSet[Horas Trabalhadas Além Jornada],""),"")</f>
        <v/>
      </c>
      <c r="S14" s="14" t="str">
        <f>IF(tblHorasSet[Horas Trabalhadas Além Jornada]&gt;0,
IF(OR(VLOOKUP(TEXT(tblHorasSet[Data],"dddd"),tblDiaUtil[],3,FALSE)="Não",IF(tblHorasSet[Evento 
(1º Período)]&lt;&gt;"",IF(VLOOKUP(tblHorasSet[Evento 
(1º Período)],tblEvento[],Tabelas!$E$1,FALSE)="Sim",TRUE,FALSE),FALSE),IF(tblHorasSet[Evento 
(2º Período)]&lt;&gt;"",IF(VLOOKUP(tblHorasSet[Evento 
(2º Período)],tblEvento[],Tabelas!$E$1,FALSE)="Sim",TRUE,FALSE),FALSE)),
tblHorasSet[Horas Trabalhadas Além Jornada],""),"")</f>
        <v/>
      </c>
      <c r="T14" s="15" t="str">
        <f>IF(tblHorasSet[Evento 
(1º Período)]&lt;&gt;""," - " &amp;VLOOKUP(tblHorasSet[Evento 
(1º Período)],tblEvento[],Tabelas!$F$1,FALSE),"")&amp;IF(AND(tblHorasSet[Evento 
(2º Período)]&lt;&gt;"",tblHorasSet[Evento 
(2º Período)]&lt;&gt;tblHorasSet[Evento 
(1º Período)])," - " &amp; VLOOKUP(tblHorasSet[Evento 
(2º Período)],tblEvento[],Tabelas!$F$1,FALSE),"")</f>
        <v/>
      </c>
      <c r="X14" s="18"/>
      <c r="Y14" s="18"/>
    </row>
    <row r="15" spans="2:25" x14ac:dyDescent="0.25">
      <c r="B15" s="11" t="str">
        <f t="shared" si="0"/>
        <v/>
      </c>
      <c r="C15" s="12" t="str">
        <f>TEXT(tblHorasSet[Data],"ddd")</f>
        <v/>
      </c>
      <c r="D15" s="25"/>
      <c r="E15" s="1"/>
      <c r="F15" s="1"/>
      <c r="G15" s="1"/>
      <c r="H15" s="1"/>
      <c r="I15" s="53"/>
      <c r="J15" s="4">
        <f>IF($B$6&lt;&gt;"",
IF(AND(tblHorasSet[Evento 
(1º Período)]&lt;&gt;"",IF(ISERROR(VLOOKUP(tblHorasSet[Evento 
(1º Período)],tblEvento[],Tabelas!$D$1,FALSE)),FALSE,VLOOKUP(tblHorasSet[Evento 
(1º Período)],tblEvento[],Tabelas!$D$1,FALSE)="Sim")),
        IF(JORNADA_PERIODO_1&lt;&gt;"",
IF(VLOOKUP(tblHorasSet[Dia],tblDiaUtil[[Abreviatura]:[1º Período]],3,FALSE)&gt;0,VLOOKUP(tblHorasSet[Dia],tblDiaUtil[[Abreviatura]:[1º Período]],3,FALSE),JORNADA_PERIODO_1),
IF(VLOOKUP(tblHorasSet[Dia],tblDiaUtil[[Abreviatura]:[1º Período]],3,FALSE)&gt;0,VLOOKUP(tblHorasSet[Dia],tblDiaUtil[[Abreviatura]:[1º Período]],3,FALSE),JORNADA/2)),
        IF(AND(ISNUMBER(tblHorasSet[Saída - 1 (Almoço)]),ISNUMBER(tblHorasSet[Entrada - 1])),
              IF(OR(AND(tblHorasSet[Evento 
(1º Período)]&lt;&gt;"",IF(ISERROR(VLOOKUP(tblHorasSet[Evento 
(1º Período)],tblEvento[],Tabelas!$E$1,FALSE)),FALSE,VLOOKUP(tblHorasSet[Evento 
(1º Período)],tblEvento[],Tabelas!$E$1,FALSE)="Sim")),IF(VLOOKUP(TEXT(tblHorasSet[Data],"dddd"),tblDiaUtil[],2,FALSE)="Não",TRUE,FALSE)),
                   tblHorasSet[Saída - 1 (Almoço)]-tblHorasSet[Entrada - 1],
                   IF(OR(HOUR(tblHorasSet[Saída - 1 (Almoço)]-tblHorasSet[Entrada - 1])&gt;0,ROUND(tblHorasSet[Saída - 1 (Almoço)]-tblHorasSet[Entrada - 1],6)&gt;ROUND(CARENCIA,6)),
                          tblHorasSet[Saída - 1 (Almoço)]-tblHorasSet[Entrada - 1],
                          0)),
                    0)),0)</f>
        <v>0</v>
      </c>
      <c r="K15" s="4">
        <f>IF($B$6&lt;&gt;"",
IF(AND(tblHorasSet[Evento 
(2º Período)]&lt;&gt;"",IF(ISERROR(VLOOKUP(tblHorasSet[Evento 
(2º Período)],tblEvento[],Tabelas!$D$1,FALSE)),FALSE,VLOOKUP(tblHorasSet[Evento 
(2º Período)],tblEvento[],Tabelas!$D$1,FALSE)="Sim")),
        IF(JORNADA_PERIODO_2&lt;&gt;"",
IF(VLOOKUP(tblHorasSet[Dia],tblDiaUtil[[Abreviatura]:[2º Período]],4,FALSE)&gt;0,VLOOKUP(tblHorasSet[Dia],tblDiaUtil[[Abreviatura]:[2º Período]],4,FALSE),JORNADA_PERIODO_2),
IF(VLOOKUP(tblHorasSet[Dia],tblDiaUtil[[Abreviatura]:[2º Período]],4,FALSE)&gt;0,VLOOKUP(tblHorasSet[Dia],tblDiaUtil[[Abreviatura]:[2º Período]],4,FALSE),JORNADA/2)),
        IF(AND(ISNUMBER(tblHorasSet[Saída - 2]),ISNUMBER(tblHorasSet[Entrada - 2 (Almoço)])),
              IF(OR(AND(tblHorasSet[Evento 
(2º Período)]&lt;&gt;"",IF(ISERROR(VLOOKUP(tblHorasSet[Evento 
(2º Período)],tblEvento[],Tabelas!$E$1,FALSE)),FALSE,VLOOKUP(tblHorasSet[Evento 
(2º Período)],tblEvento[],Tabelas!$E$1,FALSE)="Sim")),IF(VLOOKUP(TEXT(tblHorasSet[Data],"dddd"),tblDiaUtil[],2,FALSE)="Não",TRUE,FALSE)),
                   tblHorasSet[Saída - 2]-tblHorasSet[Entrada - 2 (Almoço)],
                   IF(OR(HOUR(tblHorasSet[Saída - 2]-tblHorasSet[Entrada - 2 (Almoço)])&gt;0,MINUTE(tblHorasSet[Saída - 2]-tblHorasSet[Entrada - 2 (Almoço)])&gt;CARENCIA),
                         tblHorasSet[Saída - 2]-tblHorasSet[Entrada - 2 (Almoço)],
                         0)),
       0)),0)</f>
        <v>0</v>
      </c>
      <c r="L15" s="4">
        <f>tblHorasSet[Horas Trabalhadas (1º Período)]+tblHorasSet[Horas Trabalhadas (2º Período)]</f>
        <v>0</v>
      </c>
      <c r="M15" s="4" t="str">
        <f>IF(tblHorasSet[Data]&lt;&gt;"",
        IF(
AND(VLOOKUP(TEXT(tblHorasSet[Data],"dddd"),tblDiaUtil[],3,FALSE)="Sim",IF(tblHorasSet[Evento 
(1º Período)]&lt;&gt;"",IF(VLOOKUP(tblHorasSet[Evento 
(1º Período)],tblEvento[],Tabelas!$E$1,FALSE)="Sim",FALSE,TRUE),TRUE),IF(tblHorasSet[Evento 
(2º Período)]&lt;&gt;"",IF(VLOOKUP(tblHorasSet[Evento 
(2º Período)],tblEvento[],Tabelas!$E$1,FALSE)="Sim",FALSE,TRUE),TRUE)),
              IF(VLOOKUP(tblHorasSet[Dia],tblDiaUtil[[Abreviatura]:[1º Período]],3,FALSE)&gt;0,VLOOKUP(tblHorasSet[Dia],tblDiaUtil[[Abreviatura]:[1º Período]],3,FALSE),JORNADA),
              ""),
         "")</f>
        <v/>
      </c>
      <c r="N15" s="14">
        <f>IF(OR(tblHorasSet[Horas Trabalhadas (1º Período)]&lt;&gt;0,tblHorasSet[Horas Trabalhadas (2º Período)]&lt;&gt;0),
        IF(ISNUMBER(tblHorasSet[Jornada Diária]),
              IF(tblHorasSet[Jornada Diária]&gt;(tblHorasSet[Horas Trabalhadas (2º Período)]+tblHorasSet[Horas Trabalhadas (1º Período)]),
                     IF(ROUND((tblHorasSet[Jornada Diária]-(tblHorasSet[Horas Trabalhadas (2º Período)]+tblHorasSet[Horas Trabalhadas (1º Período)])),6)&gt;ROUND(CARENCIA,6),
                           -tblHorasSet[Jornada Diária]+(tblHorasSet[Horas Trabalhadas (2º Período)]+tblHorasSet[Horas Trabalhadas (1º Período)]),
                           0),
                      IF(ROUND((tblHorasSet[Jornada Diária]-(tblHorasSet[Horas Trabalhadas (2º Período)]+tblHorasSet[Horas Trabalhadas (1º Período)])),6)&lt;ROUND(-CARENCIA,6),
                           -tblHorasSet[Jornada Diária]+(tblHorasSet[Horas Trabalhadas (2º Período)]+tblHorasSet[Horas Trabalhadas (1º Período)]),
                           0)),
              tblHorasSet[Horas Trabalhadas (2º Período)]+tblHorasSet[Horas Trabalhadas (1º Período)]),
         IF(AND(IF(ISERROR(VLOOKUP(tblHorasSet[Evento 
(1º Período)],tblEvento[[Evento]:[Libera o Período]],4,FALSE)),FALSE,IF(VLOOKUP(tblHorasSet[Evento 
(1º Período)],tblEvento[[Evento]:[Libera o Período]],4,FALSE)="Não",TRUE,FALSE)),IF(ISERROR(VLOOKUP(tblHorasSet[Evento 
(2º Período)],tblEvento[[Evento]:[Libera o Período]],4,FALSE)),FALSE,IF(VLOOKUP(tblHorasSet[Evento 
(2º Período)],tblEvento[[Evento]:[Libera o Período]],4,FALSE)="Não",TRUE,FALSE))),
-IF(VLOOKUP(tblHorasSet[Dia],tblDiaUtil[[Abreviatura]:[Total Jornada]],5,FALSE)&lt;&gt;"",VLOOKUP(tblHorasSet[Dia],tblDiaUtil[[Abreviatura]:[Total Jornada]],5,FALSE),JORNADA),
IF(IF(ISERROR(VLOOKUP(tblHorasSet[Evento 
(1º Período)],tblEvento[[Evento]:[Libera o Período]],4,FALSE)),FALSE,
IF(VLOOKUP(tblHorasSet[Evento 
(1º Período)],tblEvento[[Evento]:[Libera o Período]],4,FALSE)="Não",TRUE,FALSE)
),
-IF(VLOOKUP(tblHorasSet[Dia],tblDiaUtil[[Abreviatura]:[1º Período]],3,FALSE)&lt;&gt;"",VLOOKUP(tblHorasSet[Dia],tblDiaUtil[[Abreviatura]:[1º Período]],3,FALSE),JORNADA_PERIODO_1),
IF(IF(ISERROR(VLOOKUP(tblHorasSet[Evento 
(2º Período)],tblEvento[[Evento]:[Libera o Período]],4,FALSE)),FALSE,IF(VLOOKUP(tblHorasSet[Evento 
(2º Período)],tblEvento[[Evento]:[Libera o Período]],4,FALSE)="Não",TRUE,FALSE)),
-IF(VLOOKUP(tblHorasSet[Dia],tblDiaUtil[[Abreviatura]:[2º Período]],4,FALSE)&lt;&gt;"",VLOOKUP(tblHorasSet[Dia],tblDiaUtil[[Abreviatura]:[2º Período]],4,FALSE),JORNADA_PERIODO_2),0))))</f>
        <v>0</v>
      </c>
      <c r="O15" s="14">
        <f>IF(tblHorasSet[Horas Trabalhadas Além Jornada]&gt;0,
        IF(ISNUMBER(tblHorasSet[Jornada Diária]),
              IF(HOUR(tblHorasSet[Horas Trabalhadas Além Jornada])&gt;=VLOOKUP(LIMITE,tblLimiteHora[],Tabelas!$I$1,FALSE),
                    VLOOKUP(LIMITE,tblLimiteHora[],Tabelas!$J$1,FALSE),
                    tblHorasSet[Horas Trabalhadas Além Jornada]),
              tblHorasSet[Horas Trabalhadas Além Jornada]),
        tblHorasSet[Horas Trabalhadas Além Jornada])+O14</f>
        <v>0</v>
      </c>
      <c r="P15" s="14" t="str">
        <f>IF(tblHorasSet[Horas Trabalhadas Além Jornada]&lt;0,IF(OR(tblHorasSet[Evento 
(1º Período)]="",tblHorasSet[Evento 
(2º Período)]=""),tblHorasSet[Horas Trabalhadas Além Jornada],""),"")</f>
        <v/>
      </c>
      <c r="Q15" s="14" t="str">
        <f>IF(tblHorasSet[Jornada Diária]&lt;&gt;"",IF((N(tblHorasSet[Jornada Diária])-ABS(N(tblHorasSet[Horas Trabalhadas Além Jornada])))=0,1,""),"")</f>
        <v/>
      </c>
      <c r="R15" s="14" t="str">
        <f>IF(tblHorasSet[Horas Trabalhadas Além Jornada]&gt;0,
IF(AND(VLOOKUP(TEXT(tblHorasSet[Data],"dddd"),tblDiaUtil[],3,FALSE)="Sim",IF(tblHorasSet[Evento 
(1º Período)]&lt;&gt;"",IF(VLOOKUP(tblHorasSet[Evento 
(1º Período)],tblEvento[],Tabelas!$E$1,FALSE)="Sim",FALSE,TRUE),TRUE),IF(tblHorasSet[Evento 
(2º Período)]&lt;&gt;"",IF(VLOOKUP(tblHorasSet[Evento 
(2º Período)],tblEvento[],Tabelas!$E$1,FALSE)="Sim",FALSE,TRUE),TRUE)),
tblHorasSet[Horas Trabalhadas Além Jornada],""),"")</f>
        <v/>
      </c>
      <c r="S15" s="14" t="str">
        <f>IF(tblHorasSet[Horas Trabalhadas Além Jornada]&gt;0,
IF(OR(VLOOKUP(TEXT(tblHorasSet[Data],"dddd"),tblDiaUtil[],3,FALSE)="Não",IF(tblHorasSet[Evento 
(1º Período)]&lt;&gt;"",IF(VLOOKUP(tblHorasSet[Evento 
(1º Período)],tblEvento[],Tabelas!$E$1,FALSE)="Sim",TRUE,FALSE),FALSE),IF(tblHorasSet[Evento 
(2º Período)]&lt;&gt;"",IF(VLOOKUP(tblHorasSet[Evento 
(2º Período)],tblEvento[],Tabelas!$E$1,FALSE)="Sim",TRUE,FALSE),FALSE)),
tblHorasSet[Horas Trabalhadas Além Jornada],""),"")</f>
        <v/>
      </c>
      <c r="T15" s="15" t="str">
        <f>IF(tblHorasSet[Evento 
(1º Período)]&lt;&gt;""," - " &amp;VLOOKUP(tblHorasSet[Evento 
(1º Período)],tblEvento[],Tabelas!$F$1,FALSE),"")&amp;IF(AND(tblHorasSet[Evento 
(2º Período)]&lt;&gt;"",tblHorasSet[Evento 
(2º Período)]&lt;&gt;tblHorasSet[Evento 
(1º Período)])," - " &amp; VLOOKUP(tblHorasSet[Evento 
(2º Período)],tblEvento[],Tabelas!$F$1,FALSE),"")</f>
        <v/>
      </c>
      <c r="X15" s="17"/>
    </row>
    <row r="16" spans="2:25" x14ac:dyDescent="0.25">
      <c r="B16" s="11" t="str">
        <f t="shared" si="0"/>
        <v/>
      </c>
      <c r="C16" s="12" t="str">
        <f>TEXT(tblHorasSet[Data],"ddd")</f>
        <v/>
      </c>
      <c r="D16" s="25"/>
      <c r="E16" s="1"/>
      <c r="F16" s="1"/>
      <c r="G16" s="1"/>
      <c r="H16" s="1"/>
      <c r="I16" s="53"/>
      <c r="J16" s="4">
        <f>IF($B$6&lt;&gt;"",
IF(AND(tblHorasSet[Evento 
(1º Período)]&lt;&gt;"",IF(ISERROR(VLOOKUP(tblHorasSet[Evento 
(1º Período)],tblEvento[],Tabelas!$D$1,FALSE)),FALSE,VLOOKUP(tblHorasSet[Evento 
(1º Período)],tblEvento[],Tabelas!$D$1,FALSE)="Sim")),
        IF(JORNADA_PERIODO_1&lt;&gt;"",
IF(VLOOKUP(tblHorasSet[Dia],tblDiaUtil[[Abreviatura]:[1º Período]],3,FALSE)&gt;0,VLOOKUP(tblHorasSet[Dia],tblDiaUtil[[Abreviatura]:[1º Período]],3,FALSE),JORNADA_PERIODO_1),
IF(VLOOKUP(tblHorasSet[Dia],tblDiaUtil[[Abreviatura]:[1º Período]],3,FALSE)&gt;0,VLOOKUP(tblHorasSet[Dia],tblDiaUtil[[Abreviatura]:[1º Período]],3,FALSE),JORNADA/2)),
        IF(AND(ISNUMBER(tblHorasSet[Saída - 1 (Almoço)]),ISNUMBER(tblHorasSet[Entrada - 1])),
              IF(OR(AND(tblHorasSet[Evento 
(1º Período)]&lt;&gt;"",IF(ISERROR(VLOOKUP(tblHorasSet[Evento 
(1º Período)],tblEvento[],Tabelas!$E$1,FALSE)),FALSE,VLOOKUP(tblHorasSet[Evento 
(1º Período)],tblEvento[],Tabelas!$E$1,FALSE)="Sim")),IF(VLOOKUP(TEXT(tblHorasSet[Data],"dddd"),tblDiaUtil[],2,FALSE)="Não",TRUE,FALSE)),
                   tblHorasSet[Saída - 1 (Almoço)]-tblHorasSet[Entrada - 1],
                   IF(OR(HOUR(tblHorasSet[Saída - 1 (Almoço)]-tblHorasSet[Entrada - 1])&gt;0,ROUND(tblHorasSet[Saída - 1 (Almoço)]-tblHorasSet[Entrada - 1],6)&gt;ROUND(CARENCIA,6)),
                          tblHorasSet[Saída - 1 (Almoço)]-tblHorasSet[Entrada - 1],
                          0)),
                    0)),0)</f>
        <v>0</v>
      </c>
      <c r="K16" s="4">
        <f>IF($B$6&lt;&gt;"",
IF(AND(tblHorasSet[Evento 
(2º Período)]&lt;&gt;"",IF(ISERROR(VLOOKUP(tblHorasSet[Evento 
(2º Período)],tblEvento[],Tabelas!$D$1,FALSE)),FALSE,VLOOKUP(tblHorasSet[Evento 
(2º Período)],tblEvento[],Tabelas!$D$1,FALSE)="Sim")),
        IF(JORNADA_PERIODO_2&lt;&gt;"",
IF(VLOOKUP(tblHorasSet[Dia],tblDiaUtil[[Abreviatura]:[2º Período]],4,FALSE)&gt;0,VLOOKUP(tblHorasSet[Dia],tblDiaUtil[[Abreviatura]:[2º Período]],4,FALSE),JORNADA_PERIODO_2),
IF(VLOOKUP(tblHorasSet[Dia],tblDiaUtil[[Abreviatura]:[2º Período]],4,FALSE)&gt;0,VLOOKUP(tblHorasSet[Dia],tblDiaUtil[[Abreviatura]:[2º Período]],4,FALSE),JORNADA/2)),
        IF(AND(ISNUMBER(tblHorasSet[Saída - 2]),ISNUMBER(tblHorasSet[Entrada - 2 (Almoço)])),
              IF(OR(AND(tblHorasSet[Evento 
(2º Período)]&lt;&gt;"",IF(ISERROR(VLOOKUP(tblHorasSet[Evento 
(2º Período)],tblEvento[],Tabelas!$E$1,FALSE)),FALSE,VLOOKUP(tblHorasSet[Evento 
(2º Período)],tblEvento[],Tabelas!$E$1,FALSE)="Sim")),IF(VLOOKUP(TEXT(tblHorasSet[Data],"dddd"),tblDiaUtil[],2,FALSE)="Não",TRUE,FALSE)),
                   tblHorasSet[Saída - 2]-tblHorasSet[Entrada - 2 (Almoço)],
                   IF(OR(HOUR(tblHorasSet[Saída - 2]-tblHorasSet[Entrada - 2 (Almoço)])&gt;0,MINUTE(tblHorasSet[Saída - 2]-tblHorasSet[Entrada - 2 (Almoço)])&gt;CARENCIA),
                         tblHorasSet[Saída - 2]-tblHorasSet[Entrada - 2 (Almoço)],
                         0)),
       0)),0)</f>
        <v>0</v>
      </c>
      <c r="L16" s="4">
        <f>tblHorasSet[Horas Trabalhadas (1º Período)]+tblHorasSet[Horas Trabalhadas (2º Período)]</f>
        <v>0</v>
      </c>
      <c r="M16" s="4" t="str">
        <f>IF(tblHorasSet[Data]&lt;&gt;"",
        IF(
AND(VLOOKUP(TEXT(tblHorasSet[Data],"dddd"),tblDiaUtil[],3,FALSE)="Sim",IF(tblHorasSet[Evento 
(1º Período)]&lt;&gt;"",IF(VLOOKUP(tblHorasSet[Evento 
(1º Período)],tblEvento[],Tabelas!$E$1,FALSE)="Sim",FALSE,TRUE),TRUE),IF(tblHorasSet[Evento 
(2º Período)]&lt;&gt;"",IF(VLOOKUP(tblHorasSet[Evento 
(2º Período)],tblEvento[],Tabelas!$E$1,FALSE)="Sim",FALSE,TRUE),TRUE)),
              IF(VLOOKUP(tblHorasSet[Dia],tblDiaUtil[[Abreviatura]:[1º Período]],3,FALSE)&gt;0,VLOOKUP(tblHorasSet[Dia],tblDiaUtil[[Abreviatura]:[1º Período]],3,FALSE),JORNADA),
              ""),
         "")</f>
        <v/>
      </c>
      <c r="N16" s="14">
        <f>IF(OR(tblHorasSet[Horas Trabalhadas (1º Período)]&lt;&gt;0,tblHorasSet[Horas Trabalhadas (2º Período)]&lt;&gt;0),
        IF(ISNUMBER(tblHorasSet[Jornada Diária]),
              IF(tblHorasSet[Jornada Diária]&gt;(tblHorasSet[Horas Trabalhadas (2º Período)]+tblHorasSet[Horas Trabalhadas (1º Período)]),
                     IF(ROUND((tblHorasSet[Jornada Diária]-(tblHorasSet[Horas Trabalhadas (2º Período)]+tblHorasSet[Horas Trabalhadas (1º Período)])),6)&gt;ROUND(CARENCIA,6),
                           -tblHorasSet[Jornada Diária]+(tblHorasSet[Horas Trabalhadas (2º Período)]+tblHorasSet[Horas Trabalhadas (1º Período)]),
                           0),
                      IF(ROUND((tblHorasSet[Jornada Diária]-(tblHorasSet[Horas Trabalhadas (2º Período)]+tblHorasSet[Horas Trabalhadas (1º Período)])),6)&lt;ROUND(-CARENCIA,6),
                           -tblHorasSet[Jornada Diária]+(tblHorasSet[Horas Trabalhadas (2º Período)]+tblHorasSet[Horas Trabalhadas (1º Período)]),
                           0)),
              tblHorasSet[Horas Trabalhadas (2º Período)]+tblHorasSet[Horas Trabalhadas (1º Período)]),
         IF(AND(IF(ISERROR(VLOOKUP(tblHorasSet[Evento 
(1º Período)],tblEvento[[Evento]:[Libera o Período]],4,FALSE)),FALSE,IF(VLOOKUP(tblHorasSet[Evento 
(1º Período)],tblEvento[[Evento]:[Libera o Período]],4,FALSE)="Não",TRUE,FALSE)),IF(ISERROR(VLOOKUP(tblHorasSet[Evento 
(2º Período)],tblEvento[[Evento]:[Libera o Período]],4,FALSE)),FALSE,IF(VLOOKUP(tblHorasSet[Evento 
(2º Período)],tblEvento[[Evento]:[Libera o Período]],4,FALSE)="Não",TRUE,FALSE))),
-IF(VLOOKUP(tblHorasSet[Dia],tblDiaUtil[[Abreviatura]:[Total Jornada]],5,FALSE)&lt;&gt;"",VLOOKUP(tblHorasSet[Dia],tblDiaUtil[[Abreviatura]:[Total Jornada]],5,FALSE),JORNADA),
IF(IF(ISERROR(VLOOKUP(tblHorasSet[Evento 
(1º Período)],tblEvento[[Evento]:[Libera o Período]],4,FALSE)),FALSE,
IF(VLOOKUP(tblHorasSet[Evento 
(1º Período)],tblEvento[[Evento]:[Libera o Período]],4,FALSE)="Não",TRUE,FALSE)
),
-IF(VLOOKUP(tblHorasSet[Dia],tblDiaUtil[[Abreviatura]:[1º Período]],3,FALSE)&lt;&gt;"",VLOOKUP(tblHorasSet[Dia],tblDiaUtil[[Abreviatura]:[1º Período]],3,FALSE),JORNADA_PERIODO_1),
IF(IF(ISERROR(VLOOKUP(tblHorasSet[Evento 
(2º Período)],tblEvento[[Evento]:[Libera o Período]],4,FALSE)),FALSE,IF(VLOOKUP(tblHorasSet[Evento 
(2º Período)],tblEvento[[Evento]:[Libera o Período]],4,FALSE)="Não",TRUE,FALSE)),
-IF(VLOOKUP(tblHorasSet[Dia],tblDiaUtil[[Abreviatura]:[2º Período]],4,FALSE)&lt;&gt;"",VLOOKUP(tblHorasSet[Dia],tblDiaUtil[[Abreviatura]:[2º Período]],4,FALSE),JORNADA_PERIODO_2),0))))</f>
        <v>0</v>
      </c>
      <c r="O16" s="14">
        <f>IF(tblHorasSet[Horas Trabalhadas Além Jornada]&gt;0,
        IF(ISNUMBER(tblHorasSet[Jornada Diária]),
              IF(HOUR(tblHorasSet[Horas Trabalhadas Além Jornada])&gt;=VLOOKUP(LIMITE,tblLimiteHora[],Tabelas!$I$1,FALSE),
                    VLOOKUP(LIMITE,tblLimiteHora[],Tabelas!$J$1,FALSE),
                    tblHorasSet[Horas Trabalhadas Além Jornada]),
              tblHorasSet[Horas Trabalhadas Além Jornada]),
        tblHorasSet[Horas Trabalhadas Além Jornada])+O15</f>
        <v>0</v>
      </c>
      <c r="P16" s="14" t="str">
        <f>IF(tblHorasSet[Horas Trabalhadas Além Jornada]&lt;0,IF(OR(tblHorasSet[Evento 
(1º Período)]="",tblHorasSet[Evento 
(2º Período)]=""),tblHorasSet[Horas Trabalhadas Além Jornada],""),"")</f>
        <v/>
      </c>
      <c r="Q16" s="14" t="str">
        <f>IF(tblHorasSet[Jornada Diária]&lt;&gt;"",IF((N(tblHorasSet[Jornada Diária])-ABS(N(tblHorasSet[Horas Trabalhadas Além Jornada])))=0,1,""),"")</f>
        <v/>
      </c>
      <c r="R16" s="14" t="str">
        <f>IF(tblHorasSet[Horas Trabalhadas Além Jornada]&gt;0,
IF(AND(VLOOKUP(TEXT(tblHorasSet[Data],"dddd"),tblDiaUtil[],3,FALSE)="Sim",IF(tblHorasSet[Evento 
(1º Período)]&lt;&gt;"",IF(VLOOKUP(tblHorasSet[Evento 
(1º Período)],tblEvento[],Tabelas!$E$1,FALSE)="Sim",FALSE,TRUE),TRUE),IF(tblHorasSet[Evento 
(2º Período)]&lt;&gt;"",IF(VLOOKUP(tblHorasSet[Evento 
(2º Período)],tblEvento[],Tabelas!$E$1,FALSE)="Sim",FALSE,TRUE),TRUE)),
tblHorasSet[Horas Trabalhadas Além Jornada],""),"")</f>
        <v/>
      </c>
      <c r="S16" s="14" t="str">
        <f>IF(tblHorasSet[Horas Trabalhadas Além Jornada]&gt;0,
IF(OR(VLOOKUP(TEXT(tblHorasSet[Data],"dddd"),tblDiaUtil[],3,FALSE)="Não",IF(tblHorasSet[Evento 
(1º Período)]&lt;&gt;"",IF(VLOOKUP(tblHorasSet[Evento 
(1º Período)],tblEvento[],Tabelas!$E$1,FALSE)="Sim",TRUE,FALSE),FALSE),IF(tblHorasSet[Evento 
(2º Período)]&lt;&gt;"",IF(VLOOKUP(tblHorasSet[Evento 
(2º Período)],tblEvento[],Tabelas!$E$1,FALSE)="Sim",TRUE,FALSE),FALSE)),
tblHorasSet[Horas Trabalhadas Além Jornada],""),"")</f>
        <v/>
      </c>
      <c r="T16" s="15" t="str">
        <f>IF(tblHorasSet[Evento 
(1º Período)]&lt;&gt;""," - " &amp;VLOOKUP(tblHorasSet[Evento 
(1º Período)],tblEvento[],Tabelas!$F$1,FALSE),"")&amp;IF(AND(tblHorasSet[Evento 
(2º Período)]&lt;&gt;"",tblHorasSet[Evento 
(2º Período)]&lt;&gt;tblHorasSet[Evento 
(1º Período)])," - " &amp; VLOOKUP(tblHorasSet[Evento 
(2º Período)],tblEvento[],Tabelas!$F$1,FALSE),"")</f>
        <v/>
      </c>
    </row>
    <row r="17" spans="2:20" x14ac:dyDescent="0.25">
      <c r="B17" s="11" t="str">
        <f t="shared" si="0"/>
        <v/>
      </c>
      <c r="C17" s="12" t="str">
        <f>TEXT(tblHorasSet[Data],"ddd")</f>
        <v/>
      </c>
      <c r="D17" s="25"/>
      <c r="E17" s="1"/>
      <c r="F17" s="1"/>
      <c r="G17" s="1"/>
      <c r="H17" s="1"/>
      <c r="I17" s="53"/>
      <c r="J17" s="4">
        <f>IF($B$6&lt;&gt;"",
IF(AND(tblHorasSet[Evento 
(1º Período)]&lt;&gt;"",IF(ISERROR(VLOOKUP(tblHorasSet[Evento 
(1º Período)],tblEvento[],Tabelas!$D$1,FALSE)),FALSE,VLOOKUP(tblHorasSet[Evento 
(1º Período)],tblEvento[],Tabelas!$D$1,FALSE)="Sim")),
        IF(JORNADA_PERIODO_1&lt;&gt;"",
IF(VLOOKUP(tblHorasSet[Dia],tblDiaUtil[[Abreviatura]:[1º Período]],3,FALSE)&gt;0,VLOOKUP(tblHorasSet[Dia],tblDiaUtil[[Abreviatura]:[1º Período]],3,FALSE),JORNADA_PERIODO_1),
IF(VLOOKUP(tblHorasSet[Dia],tblDiaUtil[[Abreviatura]:[1º Período]],3,FALSE)&gt;0,VLOOKUP(tblHorasSet[Dia],tblDiaUtil[[Abreviatura]:[1º Período]],3,FALSE),JORNADA/2)),
        IF(AND(ISNUMBER(tblHorasSet[Saída - 1 (Almoço)]),ISNUMBER(tblHorasSet[Entrada - 1])),
              IF(OR(AND(tblHorasSet[Evento 
(1º Período)]&lt;&gt;"",IF(ISERROR(VLOOKUP(tblHorasSet[Evento 
(1º Período)],tblEvento[],Tabelas!$E$1,FALSE)),FALSE,VLOOKUP(tblHorasSet[Evento 
(1º Período)],tblEvento[],Tabelas!$E$1,FALSE)="Sim")),IF(VLOOKUP(TEXT(tblHorasSet[Data],"dddd"),tblDiaUtil[],2,FALSE)="Não",TRUE,FALSE)),
                   tblHorasSet[Saída - 1 (Almoço)]-tblHorasSet[Entrada - 1],
                   IF(OR(HOUR(tblHorasSet[Saída - 1 (Almoço)]-tblHorasSet[Entrada - 1])&gt;0,ROUND(tblHorasSet[Saída - 1 (Almoço)]-tblHorasSet[Entrada - 1],6)&gt;ROUND(CARENCIA,6)),
                          tblHorasSet[Saída - 1 (Almoço)]-tblHorasSet[Entrada - 1],
                          0)),
                    0)),0)</f>
        <v>0</v>
      </c>
      <c r="K17" s="4">
        <f>IF($B$6&lt;&gt;"",
IF(AND(tblHorasSet[Evento 
(2º Período)]&lt;&gt;"",IF(ISERROR(VLOOKUP(tblHorasSet[Evento 
(2º Período)],tblEvento[],Tabelas!$D$1,FALSE)),FALSE,VLOOKUP(tblHorasSet[Evento 
(2º Período)],tblEvento[],Tabelas!$D$1,FALSE)="Sim")),
        IF(JORNADA_PERIODO_2&lt;&gt;"",
IF(VLOOKUP(tblHorasSet[Dia],tblDiaUtil[[Abreviatura]:[2º Período]],4,FALSE)&gt;0,VLOOKUP(tblHorasSet[Dia],tblDiaUtil[[Abreviatura]:[2º Período]],4,FALSE),JORNADA_PERIODO_2),
IF(VLOOKUP(tblHorasSet[Dia],tblDiaUtil[[Abreviatura]:[2º Período]],4,FALSE)&gt;0,VLOOKUP(tblHorasSet[Dia],tblDiaUtil[[Abreviatura]:[2º Período]],4,FALSE),JORNADA/2)),
        IF(AND(ISNUMBER(tblHorasSet[Saída - 2]),ISNUMBER(tblHorasSet[Entrada - 2 (Almoço)])),
              IF(OR(AND(tblHorasSet[Evento 
(2º Período)]&lt;&gt;"",IF(ISERROR(VLOOKUP(tblHorasSet[Evento 
(2º Período)],tblEvento[],Tabelas!$E$1,FALSE)),FALSE,VLOOKUP(tblHorasSet[Evento 
(2º Período)],tblEvento[],Tabelas!$E$1,FALSE)="Sim")),IF(VLOOKUP(TEXT(tblHorasSet[Data],"dddd"),tblDiaUtil[],2,FALSE)="Não",TRUE,FALSE)),
                   tblHorasSet[Saída - 2]-tblHorasSet[Entrada - 2 (Almoço)],
                   IF(OR(HOUR(tblHorasSet[Saída - 2]-tblHorasSet[Entrada - 2 (Almoço)])&gt;0,MINUTE(tblHorasSet[Saída - 2]-tblHorasSet[Entrada - 2 (Almoço)])&gt;CARENCIA),
                         tblHorasSet[Saída - 2]-tblHorasSet[Entrada - 2 (Almoço)],
                         0)),
       0)),0)</f>
        <v>0</v>
      </c>
      <c r="L17" s="4">
        <f>tblHorasSet[Horas Trabalhadas (1º Período)]+tblHorasSet[Horas Trabalhadas (2º Período)]</f>
        <v>0</v>
      </c>
      <c r="M17" s="4" t="str">
        <f>IF(tblHorasSet[Data]&lt;&gt;"",
        IF(
AND(VLOOKUP(TEXT(tblHorasSet[Data],"dddd"),tblDiaUtil[],3,FALSE)="Sim",IF(tblHorasSet[Evento 
(1º Período)]&lt;&gt;"",IF(VLOOKUP(tblHorasSet[Evento 
(1º Período)],tblEvento[],Tabelas!$E$1,FALSE)="Sim",FALSE,TRUE),TRUE),IF(tblHorasSet[Evento 
(2º Período)]&lt;&gt;"",IF(VLOOKUP(tblHorasSet[Evento 
(2º Período)],tblEvento[],Tabelas!$E$1,FALSE)="Sim",FALSE,TRUE),TRUE)),
              IF(VLOOKUP(tblHorasSet[Dia],tblDiaUtil[[Abreviatura]:[1º Período]],3,FALSE)&gt;0,VLOOKUP(tblHorasSet[Dia],tblDiaUtil[[Abreviatura]:[1º Período]],3,FALSE),JORNADA),
              ""),
         "")</f>
        <v/>
      </c>
      <c r="N17" s="14">
        <f>IF(OR(tblHorasSet[Horas Trabalhadas (1º Período)]&lt;&gt;0,tblHorasSet[Horas Trabalhadas (2º Período)]&lt;&gt;0),
        IF(ISNUMBER(tblHorasSet[Jornada Diária]),
              IF(tblHorasSet[Jornada Diária]&gt;(tblHorasSet[Horas Trabalhadas (2º Período)]+tblHorasSet[Horas Trabalhadas (1º Período)]),
                     IF(ROUND((tblHorasSet[Jornada Diária]-(tblHorasSet[Horas Trabalhadas (2º Período)]+tblHorasSet[Horas Trabalhadas (1º Período)])),6)&gt;ROUND(CARENCIA,6),
                           -tblHorasSet[Jornada Diária]+(tblHorasSet[Horas Trabalhadas (2º Período)]+tblHorasSet[Horas Trabalhadas (1º Período)]),
                           0),
                      IF(ROUND((tblHorasSet[Jornada Diária]-(tblHorasSet[Horas Trabalhadas (2º Período)]+tblHorasSet[Horas Trabalhadas (1º Período)])),6)&lt;ROUND(-CARENCIA,6),
                           -tblHorasSet[Jornada Diária]+(tblHorasSet[Horas Trabalhadas (2º Período)]+tblHorasSet[Horas Trabalhadas (1º Período)]),
                           0)),
              tblHorasSet[Horas Trabalhadas (2º Período)]+tblHorasSet[Horas Trabalhadas (1º Período)]),
         IF(AND(IF(ISERROR(VLOOKUP(tblHorasSet[Evento 
(1º Período)],tblEvento[[Evento]:[Libera o Período]],4,FALSE)),FALSE,IF(VLOOKUP(tblHorasSet[Evento 
(1º Período)],tblEvento[[Evento]:[Libera o Período]],4,FALSE)="Não",TRUE,FALSE)),IF(ISERROR(VLOOKUP(tblHorasSet[Evento 
(2º Período)],tblEvento[[Evento]:[Libera o Período]],4,FALSE)),FALSE,IF(VLOOKUP(tblHorasSet[Evento 
(2º Período)],tblEvento[[Evento]:[Libera o Período]],4,FALSE)="Não",TRUE,FALSE))),
-IF(VLOOKUP(tblHorasSet[Dia],tblDiaUtil[[Abreviatura]:[Total Jornada]],5,FALSE)&lt;&gt;"",VLOOKUP(tblHorasSet[Dia],tblDiaUtil[[Abreviatura]:[Total Jornada]],5,FALSE),JORNADA),
IF(IF(ISERROR(VLOOKUP(tblHorasSet[Evento 
(1º Período)],tblEvento[[Evento]:[Libera o Período]],4,FALSE)),FALSE,
IF(VLOOKUP(tblHorasSet[Evento 
(1º Período)],tblEvento[[Evento]:[Libera o Período]],4,FALSE)="Não",TRUE,FALSE)
),
-IF(VLOOKUP(tblHorasSet[Dia],tblDiaUtil[[Abreviatura]:[1º Período]],3,FALSE)&lt;&gt;"",VLOOKUP(tblHorasSet[Dia],tblDiaUtil[[Abreviatura]:[1º Período]],3,FALSE),JORNADA_PERIODO_1),
IF(IF(ISERROR(VLOOKUP(tblHorasSet[Evento 
(2º Período)],tblEvento[[Evento]:[Libera o Período]],4,FALSE)),FALSE,IF(VLOOKUP(tblHorasSet[Evento 
(2º Período)],tblEvento[[Evento]:[Libera o Período]],4,FALSE)="Não",TRUE,FALSE)),
-IF(VLOOKUP(tblHorasSet[Dia],tblDiaUtil[[Abreviatura]:[2º Período]],4,FALSE)&lt;&gt;"",VLOOKUP(tblHorasSet[Dia],tblDiaUtil[[Abreviatura]:[2º Período]],4,FALSE),JORNADA_PERIODO_2),0))))</f>
        <v>0</v>
      </c>
      <c r="O17" s="14">
        <f>IF(tblHorasSet[Horas Trabalhadas Além Jornada]&gt;0,
        IF(ISNUMBER(tblHorasSet[Jornada Diária]),
              IF(HOUR(tblHorasSet[Horas Trabalhadas Além Jornada])&gt;=VLOOKUP(LIMITE,tblLimiteHora[],Tabelas!$I$1,FALSE),
                    VLOOKUP(LIMITE,tblLimiteHora[],Tabelas!$J$1,FALSE),
                    tblHorasSet[Horas Trabalhadas Além Jornada]),
              tblHorasSet[Horas Trabalhadas Além Jornada]),
        tblHorasSet[Horas Trabalhadas Além Jornada])+O16</f>
        <v>0</v>
      </c>
      <c r="P17" s="14" t="str">
        <f>IF(tblHorasSet[Horas Trabalhadas Além Jornada]&lt;0,IF(OR(tblHorasSet[Evento 
(1º Período)]="",tblHorasSet[Evento 
(2º Período)]=""),tblHorasSet[Horas Trabalhadas Além Jornada],""),"")</f>
        <v/>
      </c>
      <c r="Q17" s="14" t="str">
        <f>IF(tblHorasSet[Jornada Diária]&lt;&gt;"",IF((N(tblHorasSet[Jornada Diária])-ABS(N(tblHorasSet[Horas Trabalhadas Além Jornada])))=0,1,""),"")</f>
        <v/>
      </c>
      <c r="R17" s="14" t="str">
        <f>IF(tblHorasSet[Horas Trabalhadas Além Jornada]&gt;0,
IF(AND(VLOOKUP(TEXT(tblHorasSet[Data],"dddd"),tblDiaUtil[],3,FALSE)="Sim",IF(tblHorasSet[Evento 
(1º Período)]&lt;&gt;"",IF(VLOOKUP(tblHorasSet[Evento 
(1º Período)],tblEvento[],Tabelas!$E$1,FALSE)="Sim",FALSE,TRUE),TRUE),IF(tblHorasSet[Evento 
(2º Período)]&lt;&gt;"",IF(VLOOKUP(tblHorasSet[Evento 
(2º Período)],tblEvento[],Tabelas!$E$1,FALSE)="Sim",FALSE,TRUE),TRUE)),
tblHorasSet[Horas Trabalhadas Além Jornada],""),"")</f>
        <v/>
      </c>
      <c r="S17" s="14" t="str">
        <f>IF(tblHorasSet[Horas Trabalhadas Além Jornada]&gt;0,
IF(OR(VLOOKUP(TEXT(tblHorasSet[Data],"dddd"),tblDiaUtil[],3,FALSE)="Não",IF(tblHorasSet[Evento 
(1º Período)]&lt;&gt;"",IF(VLOOKUP(tblHorasSet[Evento 
(1º Período)],tblEvento[],Tabelas!$E$1,FALSE)="Sim",TRUE,FALSE),FALSE),IF(tblHorasSet[Evento 
(2º Período)]&lt;&gt;"",IF(VLOOKUP(tblHorasSet[Evento 
(2º Período)],tblEvento[],Tabelas!$E$1,FALSE)="Sim",TRUE,FALSE),FALSE)),
tblHorasSet[Horas Trabalhadas Além Jornada],""),"")</f>
        <v/>
      </c>
      <c r="T17" s="15" t="str">
        <f>IF(tblHorasSet[Evento 
(1º Período)]&lt;&gt;""," - " &amp;VLOOKUP(tblHorasSet[Evento 
(1º Período)],tblEvento[],Tabelas!$F$1,FALSE),"")&amp;IF(AND(tblHorasSet[Evento 
(2º Período)]&lt;&gt;"",tblHorasSet[Evento 
(2º Período)]&lt;&gt;tblHorasSet[Evento 
(1º Período)])," - " &amp; VLOOKUP(tblHorasSet[Evento 
(2º Período)],tblEvento[],Tabelas!$F$1,FALSE),"")</f>
        <v/>
      </c>
    </row>
    <row r="18" spans="2:20" x14ac:dyDescent="0.25">
      <c r="B18" s="11" t="str">
        <f t="shared" si="0"/>
        <v/>
      </c>
      <c r="C18" s="12" t="str">
        <f>TEXT(tblHorasSet[Data],"ddd")</f>
        <v/>
      </c>
      <c r="D18" s="25"/>
      <c r="E18" s="1"/>
      <c r="F18" s="1"/>
      <c r="G18" s="1"/>
      <c r="H18" s="1"/>
      <c r="I18" s="53"/>
      <c r="J18" s="4">
        <f>IF($B$6&lt;&gt;"",
IF(AND(tblHorasSet[Evento 
(1º Período)]&lt;&gt;"",IF(ISERROR(VLOOKUP(tblHorasSet[Evento 
(1º Período)],tblEvento[],Tabelas!$D$1,FALSE)),FALSE,VLOOKUP(tblHorasSet[Evento 
(1º Período)],tblEvento[],Tabelas!$D$1,FALSE)="Sim")),
        IF(JORNADA_PERIODO_1&lt;&gt;"",
IF(VLOOKUP(tblHorasSet[Dia],tblDiaUtil[[Abreviatura]:[1º Período]],3,FALSE)&gt;0,VLOOKUP(tblHorasSet[Dia],tblDiaUtil[[Abreviatura]:[1º Período]],3,FALSE),JORNADA_PERIODO_1),
IF(VLOOKUP(tblHorasSet[Dia],tblDiaUtil[[Abreviatura]:[1º Período]],3,FALSE)&gt;0,VLOOKUP(tblHorasSet[Dia],tblDiaUtil[[Abreviatura]:[1º Período]],3,FALSE),JORNADA/2)),
        IF(AND(ISNUMBER(tblHorasSet[Saída - 1 (Almoço)]),ISNUMBER(tblHorasSet[Entrada - 1])),
              IF(OR(AND(tblHorasSet[Evento 
(1º Período)]&lt;&gt;"",IF(ISERROR(VLOOKUP(tblHorasSet[Evento 
(1º Período)],tblEvento[],Tabelas!$E$1,FALSE)),FALSE,VLOOKUP(tblHorasSet[Evento 
(1º Período)],tblEvento[],Tabelas!$E$1,FALSE)="Sim")),IF(VLOOKUP(TEXT(tblHorasSet[Data],"dddd"),tblDiaUtil[],2,FALSE)="Não",TRUE,FALSE)),
                   tblHorasSet[Saída - 1 (Almoço)]-tblHorasSet[Entrada - 1],
                   IF(OR(HOUR(tblHorasSet[Saída - 1 (Almoço)]-tblHorasSet[Entrada - 1])&gt;0,ROUND(tblHorasSet[Saída - 1 (Almoço)]-tblHorasSet[Entrada - 1],6)&gt;ROUND(CARENCIA,6)),
                          tblHorasSet[Saída - 1 (Almoço)]-tblHorasSet[Entrada - 1],
                          0)),
                    0)),0)</f>
        <v>0</v>
      </c>
      <c r="K18" s="4">
        <f>IF($B$6&lt;&gt;"",
IF(AND(tblHorasSet[Evento 
(2º Período)]&lt;&gt;"",IF(ISERROR(VLOOKUP(tblHorasSet[Evento 
(2º Período)],tblEvento[],Tabelas!$D$1,FALSE)),FALSE,VLOOKUP(tblHorasSet[Evento 
(2º Período)],tblEvento[],Tabelas!$D$1,FALSE)="Sim")),
        IF(JORNADA_PERIODO_2&lt;&gt;"",
IF(VLOOKUP(tblHorasSet[Dia],tblDiaUtil[[Abreviatura]:[2º Período]],4,FALSE)&gt;0,VLOOKUP(tblHorasSet[Dia],tblDiaUtil[[Abreviatura]:[2º Período]],4,FALSE),JORNADA_PERIODO_2),
IF(VLOOKUP(tblHorasSet[Dia],tblDiaUtil[[Abreviatura]:[2º Período]],4,FALSE)&gt;0,VLOOKUP(tblHorasSet[Dia],tblDiaUtil[[Abreviatura]:[2º Período]],4,FALSE),JORNADA/2)),
        IF(AND(ISNUMBER(tblHorasSet[Saída - 2]),ISNUMBER(tblHorasSet[Entrada - 2 (Almoço)])),
              IF(OR(AND(tblHorasSet[Evento 
(2º Período)]&lt;&gt;"",IF(ISERROR(VLOOKUP(tblHorasSet[Evento 
(2º Período)],tblEvento[],Tabelas!$E$1,FALSE)),FALSE,VLOOKUP(tblHorasSet[Evento 
(2º Período)],tblEvento[],Tabelas!$E$1,FALSE)="Sim")),IF(VLOOKUP(TEXT(tblHorasSet[Data],"dddd"),tblDiaUtil[],2,FALSE)="Não",TRUE,FALSE)),
                   tblHorasSet[Saída - 2]-tblHorasSet[Entrada - 2 (Almoço)],
                   IF(OR(HOUR(tblHorasSet[Saída - 2]-tblHorasSet[Entrada - 2 (Almoço)])&gt;0,MINUTE(tblHorasSet[Saída - 2]-tblHorasSet[Entrada - 2 (Almoço)])&gt;CARENCIA),
                         tblHorasSet[Saída - 2]-tblHorasSet[Entrada - 2 (Almoço)],
                         0)),
       0)),0)</f>
        <v>0</v>
      </c>
      <c r="L18" s="4">
        <f>tblHorasSet[Horas Trabalhadas (1º Período)]+tblHorasSet[Horas Trabalhadas (2º Período)]</f>
        <v>0</v>
      </c>
      <c r="M18" s="4" t="str">
        <f>IF(tblHorasSet[Data]&lt;&gt;"",
        IF(
AND(VLOOKUP(TEXT(tblHorasSet[Data],"dddd"),tblDiaUtil[],3,FALSE)="Sim",IF(tblHorasSet[Evento 
(1º Período)]&lt;&gt;"",IF(VLOOKUP(tblHorasSet[Evento 
(1º Período)],tblEvento[],Tabelas!$E$1,FALSE)="Sim",FALSE,TRUE),TRUE),IF(tblHorasSet[Evento 
(2º Período)]&lt;&gt;"",IF(VLOOKUP(tblHorasSet[Evento 
(2º Período)],tblEvento[],Tabelas!$E$1,FALSE)="Sim",FALSE,TRUE),TRUE)),
              IF(VLOOKUP(tblHorasSet[Dia],tblDiaUtil[[Abreviatura]:[1º Período]],3,FALSE)&gt;0,VLOOKUP(tblHorasSet[Dia],tblDiaUtil[[Abreviatura]:[1º Período]],3,FALSE),JORNADA),
              ""),
         "")</f>
        <v/>
      </c>
      <c r="N18" s="14">
        <f>IF(OR(tblHorasSet[Horas Trabalhadas (1º Período)]&lt;&gt;0,tblHorasSet[Horas Trabalhadas (2º Período)]&lt;&gt;0),
        IF(ISNUMBER(tblHorasSet[Jornada Diária]),
              IF(tblHorasSet[Jornada Diária]&gt;(tblHorasSet[Horas Trabalhadas (2º Período)]+tblHorasSet[Horas Trabalhadas (1º Período)]),
                     IF(ROUND((tblHorasSet[Jornada Diária]-(tblHorasSet[Horas Trabalhadas (2º Período)]+tblHorasSet[Horas Trabalhadas (1º Período)])),6)&gt;ROUND(CARENCIA,6),
                           -tblHorasSet[Jornada Diária]+(tblHorasSet[Horas Trabalhadas (2º Período)]+tblHorasSet[Horas Trabalhadas (1º Período)]),
                           0),
                      IF(ROUND((tblHorasSet[Jornada Diária]-(tblHorasSet[Horas Trabalhadas (2º Período)]+tblHorasSet[Horas Trabalhadas (1º Período)])),6)&lt;ROUND(-CARENCIA,6),
                           -tblHorasSet[Jornada Diária]+(tblHorasSet[Horas Trabalhadas (2º Período)]+tblHorasSet[Horas Trabalhadas (1º Período)]),
                           0)),
              tblHorasSet[Horas Trabalhadas (2º Período)]+tblHorasSet[Horas Trabalhadas (1º Período)]),
         IF(AND(IF(ISERROR(VLOOKUP(tblHorasSet[Evento 
(1º Período)],tblEvento[[Evento]:[Libera o Período]],4,FALSE)),FALSE,IF(VLOOKUP(tblHorasSet[Evento 
(1º Período)],tblEvento[[Evento]:[Libera o Período]],4,FALSE)="Não",TRUE,FALSE)),IF(ISERROR(VLOOKUP(tblHorasSet[Evento 
(2º Período)],tblEvento[[Evento]:[Libera o Período]],4,FALSE)),FALSE,IF(VLOOKUP(tblHorasSet[Evento 
(2º Período)],tblEvento[[Evento]:[Libera o Período]],4,FALSE)="Não",TRUE,FALSE))),
-IF(VLOOKUP(tblHorasSet[Dia],tblDiaUtil[[Abreviatura]:[Total Jornada]],5,FALSE)&lt;&gt;"",VLOOKUP(tblHorasSet[Dia],tblDiaUtil[[Abreviatura]:[Total Jornada]],5,FALSE),JORNADA),
IF(IF(ISERROR(VLOOKUP(tblHorasSet[Evento 
(1º Período)],tblEvento[[Evento]:[Libera o Período]],4,FALSE)),FALSE,
IF(VLOOKUP(tblHorasSet[Evento 
(1º Período)],tblEvento[[Evento]:[Libera o Período]],4,FALSE)="Não",TRUE,FALSE)
),
-IF(VLOOKUP(tblHorasSet[Dia],tblDiaUtil[[Abreviatura]:[1º Período]],3,FALSE)&lt;&gt;"",VLOOKUP(tblHorasSet[Dia],tblDiaUtil[[Abreviatura]:[1º Período]],3,FALSE),JORNADA_PERIODO_1),
IF(IF(ISERROR(VLOOKUP(tblHorasSet[Evento 
(2º Período)],tblEvento[[Evento]:[Libera o Período]],4,FALSE)),FALSE,IF(VLOOKUP(tblHorasSet[Evento 
(2º Período)],tblEvento[[Evento]:[Libera o Período]],4,FALSE)="Não",TRUE,FALSE)),
-IF(VLOOKUP(tblHorasSet[Dia],tblDiaUtil[[Abreviatura]:[2º Período]],4,FALSE)&lt;&gt;"",VLOOKUP(tblHorasSet[Dia],tblDiaUtil[[Abreviatura]:[2º Período]],4,FALSE),JORNADA_PERIODO_2),0))))</f>
        <v>0</v>
      </c>
      <c r="O18" s="14">
        <f>IF(tblHorasSet[Horas Trabalhadas Além Jornada]&gt;0,
        IF(ISNUMBER(tblHorasSet[Jornada Diária]),
              IF(HOUR(tblHorasSet[Horas Trabalhadas Além Jornada])&gt;=VLOOKUP(LIMITE,tblLimiteHora[],Tabelas!$I$1,FALSE),
                    VLOOKUP(LIMITE,tblLimiteHora[],Tabelas!$J$1,FALSE),
                    tblHorasSet[Horas Trabalhadas Além Jornada]),
              tblHorasSet[Horas Trabalhadas Além Jornada]),
        tblHorasSet[Horas Trabalhadas Além Jornada])+O17</f>
        <v>0</v>
      </c>
      <c r="P18" s="14" t="str">
        <f>IF(tblHorasSet[Horas Trabalhadas Além Jornada]&lt;0,IF(OR(tblHorasSet[Evento 
(1º Período)]="",tblHorasSet[Evento 
(2º Período)]=""),tblHorasSet[Horas Trabalhadas Além Jornada],""),"")</f>
        <v/>
      </c>
      <c r="Q18" s="14" t="str">
        <f>IF(tblHorasSet[Jornada Diária]&lt;&gt;"",IF((N(tblHorasSet[Jornada Diária])-ABS(N(tblHorasSet[Horas Trabalhadas Além Jornada])))=0,1,""),"")</f>
        <v/>
      </c>
      <c r="R18" s="14" t="str">
        <f>IF(tblHorasSet[Horas Trabalhadas Além Jornada]&gt;0,
IF(AND(VLOOKUP(TEXT(tblHorasSet[Data],"dddd"),tblDiaUtil[],3,FALSE)="Sim",IF(tblHorasSet[Evento 
(1º Período)]&lt;&gt;"",IF(VLOOKUP(tblHorasSet[Evento 
(1º Período)],tblEvento[],Tabelas!$E$1,FALSE)="Sim",FALSE,TRUE),TRUE),IF(tblHorasSet[Evento 
(2º Período)]&lt;&gt;"",IF(VLOOKUP(tblHorasSet[Evento 
(2º Período)],tblEvento[],Tabelas!$E$1,FALSE)="Sim",FALSE,TRUE),TRUE)),
tblHorasSet[Horas Trabalhadas Além Jornada],""),"")</f>
        <v/>
      </c>
      <c r="S18" s="14" t="str">
        <f>IF(tblHorasSet[Horas Trabalhadas Além Jornada]&gt;0,
IF(OR(VLOOKUP(TEXT(tblHorasSet[Data],"dddd"),tblDiaUtil[],3,FALSE)="Não",IF(tblHorasSet[Evento 
(1º Período)]&lt;&gt;"",IF(VLOOKUP(tblHorasSet[Evento 
(1º Período)],tblEvento[],Tabelas!$E$1,FALSE)="Sim",TRUE,FALSE),FALSE),IF(tblHorasSet[Evento 
(2º Período)]&lt;&gt;"",IF(VLOOKUP(tblHorasSet[Evento 
(2º Período)],tblEvento[],Tabelas!$E$1,FALSE)="Sim",TRUE,FALSE),FALSE)),
tblHorasSet[Horas Trabalhadas Além Jornada],""),"")</f>
        <v/>
      </c>
      <c r="T18" s="15" t="str">
        <f>IF(tblHorasSet[Evento 
(1º Período)]&lt;&gt;""," - " &amp;VLOOKUP(tblHorasSet[Evento 
(1º Período)],tblEvento[],Tabelas!$F$1,FALSE),"")&amp;IF(AND(tblHorasSet[Evento 
(2º Período)]&lt;&gt;"",tblHorasSet[Evento 
(2º Período)]&lt;&gt;tblHorasSet[Evento 
(1º Período)])," - " &amp; VLOOKUP(tblHorasSet[Evento 
(2º Período)],tblEvento[],Tabelas!$F$1,FALSE),"")</f>
        <v/>
      </c>
    </row>
    <row r="19" spans="2:20" x14ac:dyDescent="0.25">
      <c r="B19" s="11" t="str">
        <f t="shared" si="0"/>
        <v/>
      </c>
      <c r="C19" s="12" t="str">
        <f>TEXT(tblHorasSet[Data],"ddd")</f>
        <v/>
      </c>
      <c r="D19" s="25"/>
      <c r="E19" s="1"/>
      <c r="F19" s="1"/>
      <c r="G19" s="1"/>
      <c r="H19" s="1"/>
      <c r="I19" s="53"/>
      <c r="J19" s="4">
        <f>IF($B$6&lt;&gt;"",
IF(AND(tblHorasSet[Evento 
(1º Período)]&lt;&gt;"",IF(ISERROR(VLOOKUP(tblHorasSet[Evento 
(1º Período)],tblEvento[],Tabelas!$D$1,FALSE)),FALSE,VLOOKUP(tblHorasSet[Evento 
(1º Período)],tblEvento[],Tabelas!$D$1,FALSE)="Sim")),
        IF(JORNADA_PERIODO_1&lt;&gt;"",
IF(VLOOKUP(tblHorasSet[Dia],tblDiaUtil[[Abreviatura]:[1º Período]],3,FALSE)&gt;0,VLOOKUP(tblHorasSet[Dia],tblDiaUtil[[Abreviatura]:[1º Período]],3,FALSE),JORNADA_PERIODO_1),
IF(VLOOKUP(tblHorasSet[Dia],tblDiaUtil[[Abreviatura]:[1º Período]],3,FALSE)&gt;0,VLOOKUP(tblHorasSet[Dia],tblDiaUtil[[Abreviatura]:[1º Período]],3,FALSE),JORNADA/2)),
        IF(AND(ISNUMBER(tblHorasSet[Saída - 1 (Almoço)]),ISNUMBER(tblHorasSet[Entrada - 1])),
              IF(OR(AND(tblHorasSet[Evento 
(1º Período)]&lt;&gt;"",IF(ISERROR(VLOOKUP(tblHorasSet[Evento 
(1º Período)],tblEvento[],Tabelas!$E$1,FALSE)),FALSE,VLOOKUP(tblHorasSet[Evento 
(1º Período)],tblEvento[],Tabelas!$E$1,FALSE)="Sim")),IF(VLOOKUP(TEXT(tblHorasSet[Data],"dddd"),tblDiaUtil[],2,FALSE)="Não",TRUE,FALSE)),
                   tblHorasSet[Saída - 1 (Almoço)]-tblHorasSet[Entrada - 1],
                   IF(OR(HOUR(tblHorasSet[Saída - 1 (Almoço)]-tblHorasSet[Entrada - 1])&gt;0,ROUND(tblHorasSet[Saída - 1 (Almoço)]-tblHorasSet[Entrada - 1],6)&gt;ROUND(CARENCIA,6)),
                          tblHorasSet[Saída - 1 (Almoço)]-tblHorasSet[Entrada - 1],
                          0)),
                    0)),0)</f>
        <v>0</v>
      </c>
      <c r="K19" s="4">
        <f>IF($B$6&lt;&gt;"",
IF(AND(tblHorasSet[Evento 
(2º Período)]&lt;&gt;"",IF(ISERROR(VLOOKUP(tblHorasSet[Evento 
(2º Período)],tblEvento[],Tabelas!$D$1,FALSE)),FALSE,VLOOKUP(tblHorasSet[Evento 
(2º Período)],tblEvento[],Tabelas!$D$1,FALSE)="Sim")),
        IF(JORNADA_PERIODO_2&lt;&gt;"",
IF(VLOOKUP(tblHorasSet[Dia],tblDiaUtil[[Abreviatura]:[2º Período]],4,FALSE)&gt;0,VLOOKUP(tblHorasSet[Dia],tblDiaUtil[[Abreviatura]:[2º Período]],4,FALSE),JORNADA_PERIODO_2),
IF(VLOOKUP(tblHorasSet[Dia],tblDiaUtil[[Abreviatura]:[2º Período]],4,FALSE)&gt;0,VLOOKUP(tblHorasSet[Dia],tblDiaUtil[[Abreviatura]:[2º Período]],4,FALSE),JORNADA/2)),
        IF(AND(ISNUMBER(tblHorasSet[Saída - 2]),ISNUMBER(tblHorasSet[Entrada - 2 (Almoço)])),
              IF(OR(AND(tblHorasSet[Evento 
(2º Período)]&lt;&gt;"",IF(ISERROR(VLOOKUP(tblHorasSet[Evento 
(2º Período)],tblEvento[],Tabelas!$E$1,FALSE)),FALSE,VLOOKUP(tblHorasSet[Evento 
(2º Período)],tblEvento[],Tabelas!$E$1,FALSE)="Sim")),IF(VLOOKUP(TEXT(tblHorasSet[Data],"dddd"),tblDiaUtil[],2,FALSE)="Não",TRUE,FALSE)),
                   tblHorasSet[Saída - 2]-tblHorasSet[Entrada - 2 (Almoço)],
                   IF(OR(HOUR(tblHorasSet[Saída - 2]-tblHorasSet[Entrada - 2 (Almoço)])&gt;0,MINUTE(tblHorasSet[Saída - 2]-tblHorasSet[Entrada - 2 (Almoço)])&gt;CARENCIA),
                         tblHorasSet[Saída - 2]-tblHorasSet[Entrada - 2 (Almoço)],
                         0)),
       0)),0)</f>
        <v>0</v>
      </c>
      <c r="L19" s="4">
        <f>tblHorasSet[Horas Trabalhadas (1º Período)]+tblHorasSet[Horas Trabalhadas (2º Período)]</f>
        <v>0</v>
      </c>
      <c r="M19" s="4" t="str">
        <f>IF(tblHorasSet[Data]&lt;&gt;"",
        IF(
AND(VLOOKUP(TEXT(tblHorasSet[Data],"dddd"),tblDiaUtil[],3,FALSE)="Sim",IF(tblHorasSet[Evento 
(1º Período)]&lt;&gt;"",IF(VLOOKUP(tblHorasSet[Evento 
(1º Período)],tblEvento[],Tabelas!$E$1,FALSE)="Sim",FALSE,TRUE),TRUE),IF(tblHorasSet[Evento 
(2º Período)]&lt;&gt;"",IF(VLOOKUP(tblHorasSet[Evento 
(2º Período)],tblEvento[],Tabelas!$E$1,FALSE)="Sim",FALSE,TRUE),TRUE)),
              IF(VLOOKUP(tblHorasSet[Dia],tblDiaUtil[[Abreviatura]:[1º Período]],3,FALSE)&gt;0,VLOOKUP(tblHorasSet[Dia],tblDiaUtil[[Abreviatura]:[1º Período]],3,FALSE),JORNADA),
              ""),
         "")</f>
        <v/>
      </c>
      <c r="N19" s="14">
        <f>IF(OR(tblHorasSet[Horas Trabalhadas (1º Período)]&lt;&gt;0,tblHorasSet[Horas Trabalhadas (2º Período)]&lt;&gt;0),
        IF(ISNUMBER(tblHorasSet[Jornada Diária]),
              IF(tblHorasSet[Jornada Diária]&gt;(tblHorasSet[Horas Trabalhadas (2º Período)]+tblHorasSet[Horas Trabalhadas (1º Período)]),
                     IF(ROUND((tblHorasSet[Jornada Diária]-(tblHorasSet[Horas Trabalhadas (2º Período)]+tblHorasSet[Horas Trabalhadas (1º Período)])),6)&gt;ROUND(CARENCIA,6),
                           -tblHorasSet[Jornada Diária]+(tblHorasSet[Horas Trabalhadas (2º Período)]+tblHorasSet[Horas Trabalhadas (1º Período)]),
                           0),
                      IF(ROUND((tblHorasSet[Jornada Diária]-(tblHorasSet[Horas Trabalhadas (2º Período)]+tblHorasSet[Horas Trabalhadas (1º Período)])),6)&lt;ROUND(-CARENCIA,6),
                           -tblHorasSet[Jornada Diária]+(tblHorasSet[Horas Trabalhadas (2º Período)]+tblHorasSet[Horas Trabalhadas (1º Período)]),
                           0)),
              tblHorasSet[Horas Trabalhadas (2º Período)]+tblHorasSet[Horas Trabalhadas (1º Período)]),
         IF(AND(IF(ISERROR(VLOOKUP(tblHorasSet[Evento 
(1º Período)],tblEvento[[Evento]:[Libera o Período]],4,FALSE)),FALSE,IF(VLOOKUP(tblHorasSet[Evento 
(1º Período)],tblEvento[[Evento]:[Libera o Período]],4,FALSE)="Não",TRUE,FALSE)),IF(ISERROR(VLOOKUP(tblHorasSet[Evento 
(2º Período)],tblEvento[[Evento]:[Libera o Período]],4,FALSE)),FALSE,IF(VLOOKUP(tblHorasSet[Evento 
(2º Período)],tblEvento[[Evento]:[Libera o Período]],4,FALSE)="Não",TRUE,FALSE))),
-IF(VLOOKUP(tblHorasSet[Dia],tblDiaUtil[[Abreviatura]:[Total Jornada]],5,FALSE)&lt;&gt;"",VLOOKUP(tblHorasSet[Dia],tblDiaUtil[[Abreviatura]:[Total Jornada]],5,FALSE),JORNADA),
IF(IF(ISERROR(VLOOKUP(tblHorasSet[Evento 
(1º Período)],tblEvento[[Evento]:[Libera o Período]],4,FALSE)),FALSE,
IF(VLOOKUP(tblHorasSet[Evento 
(1º Período)],tblEvento[[Evento]:[Libera o Período]],4,FALSE)="Não",TRUE,FALSE)
),
-IF(VLOOKUP(tblHorasSet[Dia],tblDiaUtil[[Abreviatura]:[1º Período]],3,FALSE)&lt;&gt;"",VLOOKUP(tblHorasSet[Dia],tblDiaUtil[[Abreviatura]:[1º Período]],3,FALSE),JORNADA_PERIODO_1),
IF(IF(ISERROR(VLOOKUP(tblHorasSet[Evento 
(2º Período)],tblEvento[[Evento]:[Libera o Período]],4,FALSE)),FALSE,IF(VLOOKUP(tblHorasSet[Evento 
(2º Período)],tblEvento[[Evento]:[Libera o Período]],4,FALSE)="Não",TRUE,FALSE)),
-IF(VLOOKUP(tblHorasSet[Dia],tblDiaUtil[[Abreviatura]:[2º Período]],4,FALSE)&lt;&gt;"",VLOOKUP(tblHorasSet[Dia],tblDiaUtil[[Abreviatura]:[2º Período]],4,FALSE),JORNADA_PERIODO_2),0))))</f>
        <v>0</v>
      </c>
      <c r="O19" s="14">
        <f>IF(tblHorasSet[Horas Trabalhadas Além Jornada]&gt;0,
        IF(ISNUMBER(tblHorasSet[Jornada Diária]),
              IF(HOUR(tblHorasSet[Horas Trabalhadas Além Jornada])&gt;=VLOOKUP(LIMITE,tblLimiteHora[],Tabelas!$I$1,FALSE),
                    VLOOKUP(LIMITE,tblLimiteHora[],Tabelas!$J$1,FALSE),
                    tblHorasSet[Horas Trabalhadas Além Jornada]),
              tblHorasSet[Horas Trabalhadas Além Jornada]),
        tblHorasSet[Horas Trabalhadas Além Jornada])+O18</f>
        <v>0</v>
      </c>
      <c r="P19" s="14" t="str">
        <f>IF(tblHorasSet[Horas Trabalhadas Além Jornada]&lt;0,IF(OR(tblHorasSet[Evento 
(1º Período)]="",tblHorasSet[Evento 
(2º Período)]=""),tblHorasSet[Horas Trabalhadas Além Jornada],""),"")</f>
        <v/>
      </c>
      <c r="Q19" s="14" t="str">
        <f>IF(tblHorasSet[Jornada Diária]&lt;&gt;"",IF((N(tblHorasSet[Jornada Diária])-ABS(N(tblHorasSet[Horas Trabalhadas Além Jornada])))=0,1,""),"")</f>
        <v/>
      </c>
      <c r="R19" s="14" t="str">
        <f>IF(tblHorasSet[Horas Trabalhadas Além Jornada]&gt;0,
IF(AND(VLOOKUP(TEXT(tblHorasSet[Data],"dddd"),tblDiaUtil[],3,FALSE)="Sim",IF(tblHorasSet[Evento 
(1º Período)]&lt;&gt;"",IF(VLOOKUP(tblHorasSet[Evento 
(1º Período)],tblEvento[],Tabelas!$E$1,FALSE)="Sim",FALSE,TRUE),TRUE),IF(tblHorasSet[Evento 
(2º Período)]&lt;&gt;"",IF(VLOOKUP(tblHorasSet[Evento 
(2º Período)],tblEvento[],Tabelas!$E$1,FALSE)="Sim",FALSE,TRUE),TRUE)),
tblHorasSet[Horas Trabalhadas Além Jornada],""),"")</f>
        <v/>
      </c>
      <c r="S19" s="14" t="str">
        <f>IF(tblHorasSet[Horas Trabalhadas Além Jornada]&gt;0,
IF(OR(VLOOKUP(TEXT(tblHorasSet[Data],"dddd"),tblDiaUtil[],3,FALSE)="Não",IF(tblHorasSet[Evento 
(1º Período)]&lt;&gt;"",IF(VLOOKUP(tblHorasSet[Evento 
(1º Período)],tblEvento[],Tabelas!$E$1,FALSE)="Sim",TRUE,FALSE),FALSE),IF(tblHorasSet[Evento 
(2º Período)]&lt;&gt;"",IF(VLOOKUP(tblHorasSet[Evento 
(2º Período)],tblEvento[],Tabelas!$E$1,FALSE)="Sim",TRUE,FALSE),FALSE)),
tblHorasSet[Horas Trabalhadas Além Jornada],""),"")</f>
        <v/>
      </c>
      <c r="T19" s="15" t="str">
        <f>IF(tblHorasSet[Evento 
(1º Período)]&lt;&gt;""," - " &amp;VLOOKUP(tblHorasSet[Evento 
(1º Período)],tblEvento[],Tabelas!$F$1,FALSE),"")&amp;IF(AND(tblHorasSet[Evento 
(2º Período)]&lt;&gt;"",tblHorasSet[Evento 
(2º Período)]&lt;&gt;tblHorasSet[Evento 
(1º Período)])," - " &amp; VLOOKUP(tblHorasSet[Evento 
(2º Período)],tblEvento[],Tabelas!$F$1,FALSE),"")</f>
        <v/>
      </c>
    </row>
    <row r="20" spans="2:20" x14ac:dyDescent="0.25">
      <c r="B20" s="11" t="str">
        <f t="shared" si="0"/>
        <v/>
      </c>
      <c r="C20" s="12" t="str">
        <f>TEXT(tblHorasSet[Data],"ddd")</f>
        <v/>
      </c>
      <c r="D20" s="25"/>
      <c r="E20" s="1"/>
      <c r="F20" s="1"/>
      <c r="G20" s="1"/>
      <c r="H20" s="1"/>
      <c r="I20" s="53"/>
      <c r="J20" s="4">
        <f>IF($B$6&lt;&gt;"",
IF(AND(tblHorasSet[Evento 
(1º Período)]&lt;&gt;"",IF(ISERROR(VLOOKUP(tblHorasSet[Evento 
(1º Período)],tblEvento[],Tabelas!$D$1,FALSE)),FALSE,VLOOKUP(tblHorasSet[Evento 
(1º Período)],tblEvento[],Tabelas!$D$1,FALSE)="Sim")),
        IF(JORNADA_PERIODO_1&lt;&gt;"",
IF(VLOOKUP(tblHorasSet[Dia],tblDiaUtil[[Abreviatura]:[1º Período]],3,FALSE)&gt;0,VLOOKUP(tblHorasSet[Dia],tblDiaUtil[[Abreviatura]:[1º Período]],3,FALSE),JORNADA_PERIODO_1),
IF(VLOOKUP(tblHorasSet[Dia],tblDiaUtil[[Abreviatura]:[1º Período]],3,FALSE)&gt;0,VLOOKUP(tblHorasSet[Dia],tblDiaUtil[[Abreviatura]:[1º Período]],3,FALSE),JORNADA/2)),
        IF(AND(ISNUMBER(tblHorasSet[Saída - 1 (Almoço)]),ISNUMBER(tblHorasSet[Entrada - 1])),
              IF(OR(AND(tblHorasSet[Evento 
(1º Período)]&lt;&gt;"",IF(ISERROR(VLOOKUP(tblHorasSet[Evento 
(1º Período)],tblEvento[],Tabelas!$E$1,FALSE)),FALSE,VLOOKUP(tblHorasSet[Evento 
(1º Período)],tblEvento[],Tabelas!$E$1,FALSE)="Sim")),IF(VLOOKUP(TEXT(tblHorasSet[Data],"dddd"),tblDiaUtil[],2,FALSE)="Não",TRUE,FALSE)),
                   tblHorasSet[Saída - 1 (Almoço)]-tblHorasSet[Entrada - 1],
                   IF(OR(HOUR(tblHorasSet[Saída - 1 (Almoço)]-tblHorasSet[Entrada - 1])&gt;0,ROUND(tblHorasSet[Saída - 1 (Almoço)]-tblHorasSet[Entrada - 1],6)&gt;ROUND(CARENCIA,6)),
                          tblHorasSet[Saída - 1 (Almoço)]-tblHorasSet[Entrada - 1],
                          0)),
                    0)),0)</f>
        <v>0</v>
      </c>
      <c r="K20" s="4">
        <f>IF($B$6&lt;&gt;"",
IF(AND(tblHorasSet[Evento 
(2º Período)]&lt;&gt;"",IF(ISERROR(VLOOKUP(tblHorasSet[Evento 
(2º Período)],tblEvento[],Tabelas!$D$1,FALSE)),FALSE,VLOOKUP(tblHorasSet[Evento 
(2º Período)],tblEvento[],Tabelas!$D$1,FALSE)="Sim")),
        IF(JORNADA_PERIODO_2&lt;&gt;"",
IF(VLOOKUP(tblHorasSet[Dia],tblDiaUtil[[Abreviatura]:[2º Período]],4,FALSE)&gt;0,VLOOKUP(tblHorasSet[Dia],tblDiaUtil[[Abreviatura]:[2º Período]],4,FALSE),JORNADA_PERIODO_2),
IF(VLOOKUP(tblHorasSet[Dia],tblDiaUtil[[Abreviatura]:[2º Período]],4,FALSE)&gt;0,VLOOKUP(tblHorasSet[Dia],tblDiaUtil[[Abreviatura]:[2º Período]],4,FALSE),JORNADA/2)),
        IF(AND(ISNUMBER(tblHorasSet[Saída - 2]),ISNUMBER(tblHorasSet[Entrada - 2 (Almoço)])),
              IF(OR(AND(tblHorasSet[Evento 
(2º Período)]&lt;&gt;"",IF(ISERROR(VLOOKUP(tblHorasSet[Evento 
(2º Período)],tblEvento[],Tabelas!$E$1,FALSE)),FALSE,VLOOKUP(tblHorasSet[Evento 
(2º Período)],tblEvento[],Tabelas!$E$1,FALSE)="Sim")),IF(VLOOKUP(TEXT(tblHorasSet[Data],"dddd"),tblDiaUtil[],2,FALSE)="Não",TRUE,FALSE)),
                   tblHorasSet[Saída - 2]-tblHorasSet[Entrada - 2 (Almoço)],
                   IF(OR(HOUR(tblHorasSet[Saída - 2]-tblHorasSet[Entrada - 2 (Almoço)])&gt;0,MINUTE(tblHorasSet[Saída - 2]-tblHorasSet[Entrada - 2 (Almoço)])&gt;CARENCIA),
                         tblHorasSet[Saída - 2]-tblHorasSet[Entrada - 2 (Almoço)],
                         0)),
       0)),0)</f>
        <v>0</v>
      </c>
      <c r="L20" s="4">
        <f>tblHorasSet[Horas Trabalhadas (1º Período)]+tblHorasSet[Horas Trabalhadas (2º Período)]</f>
        <v>0</v>
      </c>
      <c r="M20" s="4" t="str">
        <f>IF(tblHorasSet[Data]&lt;&gt;"",
        IF(
AND(VLOOKUP(TEXT(tblHorasSet[Data],"dddd"),tblDiaUtil[],3,FALSE)="Sim",IF(tblHorasSet[Evento 
(1º Período)]&lt;&gt;"",IF(VLOOKUP(tblHorasSet[Evento 
(1º Período)],tblEvento[],Tabelas!$E$1,FALSE)="Sim",FALSE,TRUE),TRUE),IF(tblHorasSet[Evento 
(2º Período)]&lt;&gt;"",IF(VLOOKUP(tblHorasSet[Evento 
(2º Período)],tblEvento[],Tabelas!$E$1,FALSE)="Sim",FALSE,TRUE),TRUE)),
              IF(VLOOKUP(tblHorasSet[Dia],tblDiaUtil[[Abreviatura]:[1º Período]],3,FALSE)&gt;0,VLOOKUP(tblHorasSet[Dia],tblDiaUtil[[Abreviatura]:[1º Período]],3,FALSE),JORNADA),
              ""),
         "")</f>
        <v/>
      </c>
      <c r="N20" s="14">
        <f>IF(OR(tblHorasSet[Horas Trabalhadas (1º Período)]&lt;&gt;0,tblHorasSet[Horas Trabalhadas (2º Período)]&lt;&gt;0),
        IF(ISNUMBER(tblHorasSet[Jornada Diária]),
              IF(tblHorasSet[Jornada Diária]&gt;(tblHorasSet[Horas Trabalhadas (2º Período)]+tblHorasSet[Horas Trabalhadas (1º Período)]),
                     IF(ROUND((tblHorasSet[Jornada Diária]-(tblHorasSet[Horas Trabalhadas (2º Período)]+tblHorasSet[Horas Trabalhadas (1º Período)])),6)&gt;ROUND(CARENCIA,6),
                           -tblHorasSet[Jornada Diária]+(tblHorasSet[Horas Trabalhadas (2º Período)]+tblHorasSet[Horas Trabalhadas (1º Período)]),
                           0),
                      IF(ROUND((tblHorasSet[Jornada Diária]-(tblHorasSet[Horas Trabalhadas (2º Período)]+tblHorasSet[Horas Trabalhadas (1º Período)])),6)&lt;ROUND(-CARENCIA,6),
                           -tblHorasSet[Jornada Diária]+(tblHorasSet[Horas Trabalhadas (2º Período)]+tblHorasSet[Horas Trabalhadas (1º Período)]),
                           0)),
              tblHorasSet[Horas Trabalhadas (2º Período)]+tblHorasSet[Horas Trabalhadas (1º Período)]),
         IF(AND(IF(ISERROR(VLOOKUP(tblHorasSet[Evento 
(1º Período)],tblEvento[[Evento]:[Libera o Período]],4,FALSE)),FALSE,IF(VLOOKUP(tblHorasSet[Evento 
(1º Período)],tblEvento[[Evento]:[Libera o Período]],4,FALSE)="Não",TRUE,FALSE)),IF(ISERROR(VLOOKUP(tblHorasSet[Evento 
(2º Período)],tblEvento[[Evento]:[Libera o Período]],4,FALSE)),FALSE,IF(VLOOKUP(tblHorasSet[Evento 
(2º Período)],tblEvento[[Evento]:[Libera o Período]],4,FALSE)="Não",TRUE,FALSE))),
-IF(VLOOKUP(tblHorasSet[Dia],tblDiaUtil[[Abreviatura]:[Total Jornada]],5,FALSE)&lt;&gt;"",VLOOKUP(tblHorasSet[Dia],tblDiaUtil[[Abreviatura]:[Total Jornada]],5,FALSE),JORNADA),
IF(IF(ISERROR(VLOOKUP(tblHorasSet[Evento 
(1º Período)],tblEvento[[Evento]:[Libera o Período]],4,FALSE)),FALSE,
IF(VLOOKUP(tblHorasSet[Evento 
(1º Período)],tblEvento[[Evento]:[Libera o Período]],4,FALSE)="Não",TRUE,FALSE)
),
-IF(VLOOKUP(tblHorasSet[Dia],tblDiaUtil[[Abreviatura]:[1º Período]],3,FALSE)&lt;&gt;"",VLOOKUP(tblHorasSet[Dia],tblDiaUtil[[Abreviatura]:[1º Período]],3,FALSE),JORNADA_PERIODO_1),
IF(IF(ISERROR(VLOOKUP(tblHorasSet[Evento 
(2º Período)],tblEvento[[Evento]:[Libera o Período]],4,FALSE)),FALSE,IF(VLOOKUP(tblHorasSet[Evento 
(2º Período)],tblEvento[[Evento]:[Libera o Período]],4,FALSE)="Não",TRUE,FALSE)),
-IF(VLOOKUP(tblHorasSet[Dia],tblDiaUtil[[Abreviatura]:[2º Período]],4,FALSE)&lt;&gt;"",VLOOKUP(tblHorasSet[Dia],tblDiaUtil[[Abreviatura]:[2º Período]],4,FALSE),JORNADA_PERIODO_2),0))))</f>
        <v>0</v>
      </c>
      <c r="O20" s="14">
        <f>IF(tblHorasSet[Horas Trabalhadas Além Jornada]&gt;0,
        IF(ISNUMBER(tblHorasSet[Jornada Diária]),
              IF(HOUR(tblHorasSet[Horas Trabalhadas Além Jornada])&gt;=VLOOKUP(LIMITE,tblLimiteHora[],Tabelas!$I$1,FALSE),
                    VLOOKUP(LIMITE,tblLimiteHora[],Tabelas!$J$1,FALSE),
                    tblHorasSet[Horas Trabalhadas Além Jornada]),
              tblHorasSet[Horas Trabalhadas Além Jornada]),
        tblHorasSet[Horas Trabalhadas Além Jornada])+O19</f>
        <v>0</v>
      </c>
      <c r="P20" s="14" t="str">
        <f>IF(tblHorasSet[Horas Trabalhadas Além Jornada]&lt;0,IF(OR(tblHorasSet[Evento 
(1º Período)]="",tblHorasSet[Evento 
(2º Período)]=""),tblHorasSet[Horas Trabalhadas Além Jornada],""),"")</f>
        <v/>
      </c>
      <c r="Q20" s="14" t="str">
        <f>IF(tblHorasSet[Jornada Diária]&lt;&gt;"",IF((N(tblHorasSet[Jornada Diária])-ABS(N(tblHorasSet[Horas Trabalhadas Além Jornada])))=0,1,""),"")</f>
        <v/>
      </c>
      <c r="R20" s="14" t="str">
        <f>IF(tblHorasSet[Horas Trabalhadas Além Jornada]&gt;0,
IF(AND(VLOOKUP(TEXT(tblHorasSet[Data],"dddd"),tblDiaUtil[],3,FALSE)="Sim",IF(tblHorasSet[Evento 
(1º Período)]&lt;&gt;"",IF(VLOOKUP(tblHorasSet[Evento 
(1º Período)],tblEvento[],Tabelas!$E$1,FALSE)="Sim",FALSE,TRUE),TRUE),IF(tblHorasSet[Evento 
(2º Período)]&lt;&gt;"",IF(VLOOKUP(tblHorasSet[Evento 
(2º Período)],tblEvento[],Tabelas!$E$1,FALSE)="Sim",FALSE,TRUE),TRUE)),
tblHorasSet[Horas Trabalhadas Além Jornada],""),"")</f>
        <v/>
      </c>
      <c r="S20" s="14" t="str">
        <f>IF(tblHorasSet[Horas Trabalhadas Além Jornada]&gt;0,
IF(OR(VLOOKUP(TEXT(tblHorasSet[Data],"dddd"),tblDiaUtil[],3,FALSE)="Não",IF(tblHorasSet[Evento 
(1º Período)]&lt;&gt;"",IF(VLOOKUP(tblHorasSet[Evento 
(1º Período)],tblEvento[],Tabelas!$E$1,FALSE)="Sim",TRUE,FALSE),FALSE),IF(tblHorasSet[Evento 
(2º Período)]&lt;&gt;"",IF(VLOOKUP(tblHorasSet[Evento 
(2º Período)],tblEvento[],Tabelas!$E$1,FALSE)="Sim",TRUE,FALSE),FALSE)),
tblHorasSet[Horas Trabalhadas Além Jornada],""),"")</f>
        <v/>
      </c>
      <c r="T20" s="15" t="str">
        <f>IF(tblHorasSet[Evento 
(1º Período)]&lt;&gt;""," - " &amp;VLOOKUP(tblHorasSet[Evento 
(1º Período)],tblEvento[],Tabelas!$F$1,FALSE),"")&amp;IF(AND(tblHorasSet[Evento 
(2º Período)]&lt;&gt;"",tblHorasSet[Evento 
(2º Período)]&lt;&gt;tblHorasSet[Evento 
(1º Período)])," - " &amp; VLOOKUP(tblHorasSet[Evento 
(2º Período)],tblEvento[],Tabelas!$F$1,FALSE),"")</f>
        <v/>
      </c>
    </row>
    <row r="21" spans="2:20" x14ac:dyDescent="0.25">
      <c r="B21" s="11" t="str">
        <f t="shared" si="0"/>
        <v/>
      </c>
      <c r="C21" s="12" t="str">
        <f>TEXT(tblHorasSet[Data],"ddd")</f>
        <v/>
      </c>
      <c r="D21" s="25"/>
      <c r="E21" s="1"/>
      <c r="F21" s="1"/>
      <c r="G21" s="1"/>
      <c r="H21" s="1"/>
      <c r="I21" s="53"/>
      <c r="J21" s="4">
        <f>IF($B$6&lt;&gt;"",
IF(AND(tblHorasSet[Evento 
(1º Período)]&lt;&gt;"",IF(ISERROR(VLOOKUP(tblHorasSet[Evento 
(1º Período)],tblEvento[],Tabelas!$D$1,FALSE)),FALSE,VLOOKUP(tblHorasSet[Evento 
(1º Período)],tblEvento[],Tabelas!$D$1,FALSE)="Sim")),
        IF(JORNADA_PERIODO_1&lt;&gt;"",
IF(VLOOKUP(tblHorasSet[Dia],tblDiaUtil[[Abreviatura]:[1º Período]],3,FALSE)&gt;0,VLOOKUP(tblHorasSet[Dia],tblDiaUtil[[Abreviatura]:[1º Período]],3,FALSE),JORNADA_PERIODO_1),
IF(VLOOKUP(tblHorasSet[Dia],tblDiaUtil[[Abreviatura]:[1º Período]],3,FALSE)&gt;0,VLOOKUP(tblHorasSet[Dia],tblDiaUtil[[Abreviatura]:[1º Período]],3,FALSE),JORNADA/2)),
        IF(AND(ISNUMBER(tblHorasSet[Saída - 1 (Almoço)]),ISNUMBER(tblHorasSet[Entrada - 1])),
              IF(OR(AND(tblHorasSet[Evento 
(1º Período)]&lt;&gt;"",IF(ISERROR(VLOOKUP(tblHorasSet[Evento 
(1º Período)],tblEvento[],Tabelas!$E$1,FALSE)),FALSE,VLOOKUP(tblHorasSet[Evento 
(1º Período)],tblEvento[],Tabelas!$E$1,FALSE)="Sim")),IF(VLOOKUP(TEXT(tblHorasSet[Data],"dddd"),tblDiaUtil[],2,FALSE)="Não",TRUE,FALSE)),
                   tblHorasSet[Saída - 1 (Almoço)]-tblHorasSet[Entrada - 1],
                   IF(OR(HOUR(tblHorasSet[Saída - 1 (Almoço)]-tblHorasSet[Entrada - 1])&gt;0,ROUND(tblHorasSet[Saída - 1 (Almoço)]-tblHorasSet[Entrada - 1],6)&gt;ROUND(CARENCIA,6)),
                          tblHorasSet[Saída - 1 (Almoço)]-tblHorasSet[Entrada - 1],
                          0)),
                    0)),0)</f>
        <v>0</v>
      </c>
      <c r="K21" s="4">
        <f>IF($B$6&lt;&gt;"",
IF(AND(tblHorasSet[Evento 
(2º Período)]&lt;&gt;"",IF(ISERROR(VLOOKUP(tblHorasSet[Evento 
(2º Período)],tblEvento[],Tabelas!$D$1,FALSE)),FALSE,VLOOKUP(tblHorasSet[Evento 
(2º Período)],tblEvento[],Tabelas!$D$1,FALSE)="Sim")),
        IF(JORNADA_PERIODO_2&lt;&gt;"",
IF(VLOOKUP(tblHorasSet[Dia],tblDiaUtil[[Abreviatura]:[2º Período]],4,FALSE)&gt;0,VLOOKUP(tblHorasSet[Dia],tblDiaUtil[[Abreviatura]:[2º Período]],4,FALSE),JORNADA_PERIODO_2),
IF(VLOOKUP(tblHorasSet[Dia],tblDiaUtil[[Abreviatura]:[2º Período]],4,FALSE)&gt;0,VLOOKUP(tblHorasSet[Dia],tblDiaUtil[[Abreviatura]:[2º Período]],4,FALSE),JORNADA/2)),
        IF(AND(ISNUMBER(tblHorasSet[Saída - 2]),ISNUMBER(tblHorasSet[Entrada - 2 (Almoço)])),
              IF(OR(AND(tblHorasSet[Evento 
(2º Período)]&lt;&gt;"",IF(ISERROR(VLOOKUP(tblHorasSet[Evento 
(2º Período)],tblEvento[],Tabelas!$E$1,FALSE)),FALSE,VLOOKUP(tblHorasSet[Evento 
(2º Período)],tblEvento[],Tabelas!$E$1,FALSE)="Sim")),IF(VLOOKUP(TEXT(tblHorasSet[Data],"dddd"),tblDiaUtil[],2,FALSE)="Não",TRUE,FALSE)),
                   tblHorasSet[Saída - 2]-tblHorasSet[Entrada - 2 (Almoço)],
                   IF(OR(HOUR(tblHorasSet[Saída - 2]-tblHorasSet[Entrada - 2 (Almoço)])&gt;0,MINUTE(tblHorasSet[Saída - 2]-tblHorasSet[Entrada - 2 (Almoço)])&gt;CARENCIA),
                         tblHorasSet[Saída - 2]-tblHorasSet[Entrada - 2 (Almoço)],
                         0)),
       0)),0)</f>
        <v>0</v>
      </c>
      <c r="L21" s="4">
        <f>tblHorasSet[Horas Trabalhadas (1º Período)]+tblHorasSet[Horas Trabalhadas (2º Período)]</f>
        <v>0</v>
      </c>
      <c r="M21" s="4" t="str">
        <f>IF(tblHorasSet[Data]&lt;&gt;"",
        IF(
AND(VLOOKUP(TEXT(tblHorasSet[Data],"dddd"),tblDiaUtil[],3,FALSE)="Sim",IF(tblHorasSet[Evento 
(1º Período)]&lt;&gt;"",IF(VLOOKUP(tblHorasSet[Evento 
(1º Período)],tblEvento[],Tabelas!$E$1,FALSE)="Sim",FALSE,TRUE),TRUE),IF(tblHorasSet[Evento 
(2º Período)]&lt;&gt;"",IF(VLOOKUP(tblHorasSet[Evento 
(2º Período)],tblEvento[],Tabelas!$E$1,FALSE)="Sim",FALSE,TRUE),TRUE)),
              IF(VLOOKUP(tblHorasSet[Dia],tblDiaUtil[[Abreviatura]:[1º Período]],3,FALSE)&gt;0,VLOOKUP(tblHorasSet[Dia],tblDiaUtil[[Abreviatura]:[1º Período]],3,FALSE),JORNADA),
              ""),
         "")</f>
        <v/>
      </c>
      <c r="N21" s="14">
        <f>IF(OR(tblHorasSet[Horas Trabalhadas (1º Período)]&lt;&gt;0,tblHorasSet[Horas Trabalhadas (2º Período)]&lt;&gt;0),
        IF(ISNUMBER(tblHorasSet[Jornada Diária]),
              IF(tblHorasSet[Jornada Diária]&gt;(tblHorasSet[Horas Trabalhadas (2º Período)]+tblHorasSet[Horas Trabalhadas (1º Período)]),
                     IF(ROUND((tblHorasSet[Jornada Diária]-(tblHorasSet[Horas Trabalhadas (2º Período)]+tblHorasSet[Horas Trabalhadas (1º Período)])),6)&gt;ROUND(CARENCIA,6),
                           -tblHorasSet[Jornada Diária]+(tblHorasSet[Horas Trabalhadas (2º Período)]+tblHorasSet[Horas Trabalhadas (1º Período)]),
                           0),
                      IF(ROUND((tblHorasSet[Jornada Diária]-(tblHorasSet[Horas Trabalhadas (2º Período)]+tblHorasSet[Horas Trabalhadas (1º Período)])),6)&lt;ROUND(-CARENCIA,6),
                           -tblHorasSet[Jornada Diária]+(tblHorasSet[Horas Trabalhadas (2º Período)]+tblHorasSet[Horas Trabalhadas (1º Período)]),
                           0)),
              tblHorasSet[Horas Trabalhadas (2º Período)]+tblHorasSet[Horas Trabalhadas (1º Período)]),
         IF(AND(IF(ISERROR(VLOOKUP(tblHorasSet[Evento 
(1º Período)],tblEvento[[Evento]:[Libera o Período]],4,FALSE)),FALSE,IF(VLOOKUP(tblHorasSet[Evento 
(1º Período)],tblEvento[[Evento]:[Libera o Período]],4,FALSE)="Não",TRUE,FALSE)),IF(ISERROR(VLOOKUP(tblHorasSet[Evento 
(2º Período)],tblEvento[[Evento]:[Libera o Período]],4,FALSE)),FALSE,IF(VLOOKUP(tblHorasSet[Evento 
(2º Período)],tblEvento[[Evento]:[Libera o Período]],4,FALSE)="Não",TRUE,FALSE))),
-IF(VLOOKUP(tblHorasSet[Dia],tblDiaUtil[[Abreviatura]:[Total Jornada]],5,FALSE)&lt;&gt;"",VLOOKUP(tblHorasSet[Dia],tblDiaUtil[[Abreviatura]:[Total Jornada]],5,FALSE),JORNADA),
IF(IF(ISERROR(VLOOKUP(tblHorasSet[Evento 
(1º Período)],tblEvento[[Evento]:[Libera o Período]],4,FALSE)),FALSE,
IF(VLOOKUP(tblHorasSet[Evento 
(1º Período)],tblEvento[[Evento]:[Libera o Período]],4,FALSE)="Não",TRUE,FALSE)
),
-IF(VLOOKUP(tblHorasSet[Dia],tblDiaUtil[[Abreviatura]:[1º Período]],3,FALSE)&lt;&gt;"",VLOOKUP(tblHorasSet[Dia],tblDiaUtil[[Abreviatura]:[1º Período]],3,FALSE),JORNADA_PERIODO_1),
IF(IF(ISERROR(VLOOKUP(tblHorasSet[Evento 
(2º Período)],tblEvento[[Evento]:[Libera o Período]],4,FALSE)),FALSE,IF(VLOOKUP(tblHorasSet[Evento 
(2º Período)],tblEvento[[Evento]:[Libera o Período]],4,FALSE)="Não",TRUE,FALSE)),
-IF(VLOOKUP(tblHorasSet[Dia],tblDiaUtil[[Abreviatura]:[2º Período]],4,FALSE)&lt;&gt;"",VLOOKUP(tblHorasSet[Dia],tblDiaUtil[[Abreviatura]:[2º Período]],4,FALSE),JORNADA_PERIODO_2),0))))</f>
        <v>0</v>
      </c>
      <c r="O21" s="14">
        <f>IF(tblHorasSet[Horas Trabalhadas Além Jornada]&gt;0,
        IF(ISNUMBER(tblHorasSet[Jornada Diária]),
              IF(HOUR(tblHorasSet[Horas Trabalhadas Além Jornada])&gt;=VLOOKUP(LIMITE,tblLimiteHora[],Tabelas!$I$1,FALSE),
                    VLOOKUP(LIMITE,tblLimiteHora[],Tabelas!$J$1,FALSE),
                    tblHorasSet[Horas Trabalhadas Além Jornada]),
              tblHorasSet[Horas Trabalhadas Além Jornada]),
        tblHorasSet[Horas Trabalhadas Além Jornada])+O20</f>
        <v>0</v>
      </c>
      <c r="P21" s="14" t="str">
        <f>IF(tblHorasSet[Horas Trabalhadas Além Jornada]&lt;0,IF(OR(tblHorasSet[Evento 
(1º Período)]="",tblHorasSet[Evento 
(2º Período)]=""),tblHorasSet[Horas Trabalhadas Além Jornada],""),"")</f>
        <v/>
      </c>
      <c r="Q21" s="14" t="str">
        <f>IF(tblHorasSet[Jornada Diária]&lt;&gt;"",IF((N(tblHorasSet[Jornada Diária])-ABS(N(tblHorasSet[Horas Trabalhadas Além Jornada])))=0,1,""),"")</f>
        <v/>
      </c>
      <c r="R21" s="14" t="str">
        <f>IF(tblHorasSet[Horas Trabalhadas Além Jornada]&gt;0,
IF(AND(VLOOKUP(TEXT(tblHorasSet[Data],"dddd"),tblDiaUtil[],3,FALSE)="Sim",IF(tblHorasSet[Evento 
(1º Período)]&lt;&gt;"",IF(VLOOKUP(tblHorasSet[Evento 
(1º Período)],tblEvento[],Tabelas!$E$1,FALSE)="Sim",FALSE,TRUE),TRUE),IF(tblHorasSet[Evento 
(2º Período)]&lt;&gt;"",IF(VLOOKUP(tblHorasSet[Evento 
(2º Período)],tblEvento[],Tabelas!$E$1,FALSE)="Sim",FALSE,TRUE),TRUE)),
tblHorasSet[Horas Trabalhadas Além Jornada],""),"")</f>
        <v/>
      </c>
      <c r="S21" s="14" t="str">
        <f>IF(tblHorasSet[Horas Trabalhadas Além Jornada]&gt;0,
IF(OR(VLOOKUP(TEXT(tblHorasSet[Data],"dddd"),tblDiaUtil[],3,FALSE)="Não",IF(tblHorasSet[Evento 
(1º Período)]&lt;&gt;"",IF(VLOOKUP(tblHorasSet[Evento 
(1º Período)],tblEvento[],Tabelas!$E$1,FALSE)="Sim",TRUE,FALSE),FALSE),IF(tblHorasSet[Evento 
(2º Período)]&lt;&gt;"",IF(VLOOKUP(tblHorasSet[Evento 
(2º Período)],tblEvento[],Tabelas!$E$1,FALSE)="Sim",TRUE,FALSE),FALSE)),
tblHorasSet[Horas Trabalhadas Além Jornada],""),"")</f>
        <v/>
      </c>
      <c r="T21" s="15" t="str">
        <f>IF(tblHorasSet[Evento 
(1º Período)]&lt;&gt;""," - " &amp;VLOOKUP(tblHorasSet[Evento 
(1º Período)],tblEvento[],Tabelas!$F$1,FALSE),"")&amp;IF(AND(tblHorasSet[Evento 
(2º Período)]&lt;&gt;"",tblHorasSet[Evento 
(2º Período)]&lt;&gt;tblHorasSet[Evento 
(1º Período)])," - " &amp; VLOOKUP(tblHorasSet[Evento 
(2º Período)],tblEvento[],Tabelas!$F$1,FALSE),"")</f>
        <v/>
      </c>
    </row>
    <row r="22" spans="2:20" x14ac:dyDescent="0.25">
      <c r="B22" s="11" t="str">
        <f t="shared" si="0"/>
        <v/>
      </c>
      <c r="C22" s="12" t="str">
        <f>TEXT(tblHorasSet[Data],"ddd")</f>
        <v/>
      </c>
      <c r="D22" s="25"/>
      <c r="E22" s="1"/>
      <c r="F22" s="1"/>
      <c r="G22" s="1"/>
      <c r="H22" s="1"/>
      <c r="I22" s="53"/>
      <c r="J22" s="4">
        <f>IF($B$6&lt;&gt;"",
IF(AND(tblHorasSet[Evento 
(1º Período)]&lt;&gt;"",IF(ISERROR(VLOOKUP(tblHorasSet[Evento 
(1º Período)],tblEvento[],Tabelas!$D$1,FALSE)),FALSE,VLOOKUP(tblHorasSet[Evento 
(1º Período)],tblEvento[],Tabelas!$D$1,FALSE)="Sim")),
        IF(JORNADA_PERIODO_1&lt;&gt;"",
IF(VLOOKUP(tblHorasSet[Dia],tblDiaUtil[[Abreviatura]:[1º Período]],3,FALSE)&gt;0,VLOOKUP(tblHorasSet[Dia],tblDiaUtil[[Abreviatura]:[1º Período]],3,FALSE),JORNADA_PERIODO_1),
IF(VLOOKUP(tblHorasSet[Dia],tblDiaUtil[[Abreviatura]:[1º Período]],3,FALSE)&gt;0,VLOOKUP(tblHorasSet[Dia],tblDiaUtil[[Abreviatura]:[1º Período]],3,FALSE),JORNADA/2)),
        IF(AND(ISNUMBER(tblHorasSet[Saída - 1 (Almoço)]),ISNUMBER(tblHorasSet[Entrada - 1])),
              IF(OR(AND(tblHorasSet[Evento 
(1º Período)]&lt;&gt;"",IF(ISERROR(VLOOKUP(tblHorasSet[Evento 
(1º Período)],tblEvento[],Tabelas!$E$1,FALSE)),FALSE,VLOOKUP(tblHorasSet[Evento 
(1º Período)],tblEvento[],Tabelas!$E$1,FALSE)="Sim")),IF(VLOOKUP(TEXT(tblHorasSet[Data],"dddd"),tblDiaUtil[],2,FALSE)="Não",TRUE,FALSE)),
                   tblHorasSet[Saída - 1 (Almoço)]-tblHorasSet[Entrada - 1],
                   IF(OR(HOUR(tblHorasSet[Saída - 1 (Almoço)]-tblHorasSet[Entrada - 1])&gt;0,ROUND(tblHorasSet[Saída - 1 (Almoço)]-tblHorasSet[Entrada - 1],6)&gt;ROUND(CARENCIA,6)),
                          tblHorasSet[Saída - 1 (Almoço)]-tblHorasSet[Entrada - 1],
                          0)),
                    0)),0)</f>
        <v>0</v>
      </c>
      <c r="K22" s="4">
        <f>IF($B$6&lt;&gt;"",
IF(AND(tblHorasSet[Evento 
(2º Período)]&lt;&gt;"",IF(ISERROR(VLOOKUP(tblHorasSet[Evento 
(2º Período)],tblEvento[],Tabelas!$D$1,FALSE)),FALSE,VLOOKUP(tblHorasSet[Evento 
(2º Período)],tblEvento[],Tabelas!$D$1,FALSE)="Sim")),
        IF(JORNADA_PERIODO_2&lt;&gt;"",
IF(VLOOKUP(tblHorasSet[Dia],tblDiaUtil[[Abreviatura]:[2º Período]],4,FALSE)&gt;0,VLOOKUP(tblHorasSet[Dia],tblDiaUtil[[Abreviatura]:[2º Período]],4,FALSE),JORNADA_PERIODO_2),
IF(VLOOKUP(tblHorasSet[Dia],tblDiaUtil[[Abreviatura]:[2º Período]],4,FALSE)&gt;0,VLOOKUP(tblHorasSet[Dia],tblDiaUtil[[Abreviatura]:[2º Período]],4,FALSE),JORNADA/2)),
        IF(AND(ISNUMBER(tblHorasSet[Saída - 2]),ISNUMBER(tblHorasSet[Entrada - 2 (Almoço)])),
              IF(OR(AND(tblHorasSet[Evento 
(2º Período)]&lt;&gt;"",IF(ISERROR(VLOOKUP(tblHorasSet[Evento 
(2º Período)],tblEvento[],Tabelas!$E$1,FALSE)),FALSE,VLOOKUP(tblHorasSet[Evento 
(2º Período)],tblEvento[],Tabelas!$E$1,FALSE)="Sim")),IF(VLOOKUP(TEXT(tblHorasSet[Data],"dddd"),tblDiaUtil[],2,FALSE)="Não",TRUE,FALSE)),
                   tblHorasSet[Saída - 2]-tblHorasSet[Entrada - 2 (Almoço)],
                   IF(OR(HOUR(tblHorasSet[Saída - 2]-tblHorasSet[Entrada - 2 (Almoço)])&gt;0,MINUTE(tblHorasSet[Saída - 2]-tblHorasSet[Entrada - 2 (Almoço)])&gt;CARENCIA),
                         tblHorasSet[Saída - 2]-tblHorasSet[Entrada - 2 (Almoço)],
                         0)),
       0)),0)</f>
        <v>0</v>
      </c>
      <c r="L22" s="4">
        <f>tblHorasSet[Horas Trabalhadas (1º Período)]+tblHorasSet[Horas Trabalhadas (2º Período)]</f>
        <v>0</v>
      </c>
      <c r="M22" s="4" t="str">
        <f>IF(tblHorasSet[Data]&lt;&gt;"",
        IF(
AND(VLOOKUP(TEXT(tblHorasSet[Data],"dddd"),tblDiaUtil[],3,FALSE)="Sim",IF(tblHorasSet[Evento 
(1º Período)]&lt;&gt;"",IF(VLOOKUP(tblHorasSet[Evento 
(1º Período)],tblEvento[],Tabelas!$E$1,FALSE)="Sim",FALSE,TRUE),TRUE),IF(tblHorasSet[Evento 
(2º Período)]&lt;&gt;"",IF(VLOOKUP(tblHorasSet[Evento 
(2º Período)],tblEvento[],Tabelas!$E$1,FALSE)="Sim",FALSE,TRUE),TRUE)),
              IF(VLOOKUP(tblHorasSet[Dia],tblDiaUtil[[Abreviatura]:[1º Período]],3,FALSE)&gt;0,VLOOKUP(tblHorasSet[Dia],tblDiaUtil[[Abreviatura]:[1º Período]],3,FALSE),JORNADA),
              ""),
         "")</f>
        <v/>
      </c>
      <c r="N22" s="14">
        <f>IF(OR(tblHorasSet[Horas Trabalhadas (1º Período)]&lt;&gt;0,tblHorasSet[Horas Trabalhadas (2º Período)]&lt;&gt;0),
        IF(ISNUMBER(tblHorasSet[Jornada Diária]),
              IF(tblHorasSet[Jornada Diária]&gt;(tblHorasSet[Horas Trabalhadas (2º Período)]+tblHorasSet[Horas Trabalhadas (1º Período)]),
                     IF(ROUND((tblHorasSet[Jornada Diária]-(tblHorasSet[Horas Trabalhadas (2º Período)]+tblHorasSet[Horas Trabalhadas (1º Período)])),6)&gt;ROUND(CARENCIA,6),
                           -tblHorasSet[Jornada Diária]+(tblHorasSet[Horas Trabalhadas (2º Período)]+tblHorasSet[Horas Trabalhadas (1º Período)]),
                           0),
                      IF(ROUND((tblHorasSet[Jornada Diária]-(tblHorasSet[Horas Trabalhadas (2º Período)]+tblHorasSet[Horas Trabalhadas (1º Período)])),6)&lt;ROUND(-CARENCIA,6),
                           -tblHorasSet[Jornada Diária]+(tblHorasSet[Horas Trabalhadas (2º Período)]+tblHorasSet[Horas Trabalhadas (1º Período)]),
                           0)),
              tblHorasSet[Horas Trabalhadas (2º Período)]+tblHorasSet[Horas Trabalhadas (1º Período)]),
         IF(AND(IF(ISERROR(VLOOKUP(tblHorasSet[Evento 
(1º Período)],tblEvento[[Evento]:[Libera o Período]],4,FALSE)),FALSE,IF(VLOOKUP(tblHorasSet[Evento 
(1º Período)],tblEvento[[Evento]:[Libera o Período]],4,FALSE)="Não",TRUE,FALSE)),IF(ISERROR(VLOOKUP(tblHorasSet[Evento 
(2º Período)],tblEvento[[Evento]:[Libera o Período]],4,FALSE)),FALSE,IF(VLOOKUP(tblHorasSet[Evento 
(2º Período)],tblEvento[[Evento]:[Libera o Período]],4,FALSE)="Não",TRUE,FALSE))),
-IF(VLOOKUP(tblHorasSet[Dia],tblDiaUtil[[Abreviatura]:[Total Jornada]],5,FALSE)&lt;&gt;"",VLOOKUP(tblHorasSet[Dia],tblDiaUtil[[Abreviatura]:[Total Jornada]],5,FALSE),JORNADA),
IF(IF(ISERROR(VLOOKUP(tblHorasSet[Evento 
(1º Período)],tblEvento[[Evento]:[Libera o Período]],4,FALSE)),FALSE,
IF(VLOOKUP(tblHorasSet[Evento 
(1º Período)],tblEvento[[Evento]:[Libera o Período]],4,FALSE)="Não",TRUE,FALSE)
),
-IF(VLOOKUP(tblHorasSet[Dia],tblDiaUtil[[Abreviatura]:[1º Período]],3,FALSE)&lt;&gt;"",VLOOKUP(tblHorasSet[Dia],tblDiaUtil[[Abreviatura]:[1º Período]],3,FALSE),JORNADA_PERIODO_1),
IF(IF(ISERROR(VLOOKUP(tblHorasSet[Evento 
(2º Período)],tblEvento[[Evento]:[Libera o Período]],4,FALSE)),FALSE,IF(VLOOKUP(tblHorasSet[Evento 
(2º Período)],tblEvento[[Evento]:[Libera o Período]],4,FALSE)="Não",TRUE,FALSE)),
-IF(VLOOKUP(tblHorasSet[Dia],tblDiaUtil[[Abreviatura]:[2º Período]],4,FALSE)&lt;&gt;"",VLOOKUP(tblHorasSet[Dia],tblDiaUtil[[Abreviatura]:[2º Período]],4,FALSE),JORNADA_PERIODO_2),0))))</f>
        <v>0</v>
      </c>
      <c r="O22" s="14">
        <f>IF(tblHorasSet[Horas Trabalhadas Além Jornada]&gt;0,
        IF(ISNUMBER(tblHorasSet[Jornada Diária]),
              IF(HOUR(tblHorasSet[Horas Trabalhadas Além Jornada])&gt;=VLOOKUP(LIMITE,tblLimiteHora[],Tabelas!$I$1,FALSE),
                    VLOOKUP(LIMITE,tblLimiteHora[],Tabelas!$J$1,FALSE),
                    tblHorasSet[Horas Trabalhadas Além Jornada]),
              tblHorasSet[Horas Trabalhadas Além Jornada]),
        tblHorasSet[Horas Trabalhadas Além Jornada])+O21</f>
        <v>0</v>
      </c>
      <c r="P22" s="14" t="str">
        <f>IF(tblHorasSet[Horas Trabalhadas Além Jornada]&lt;0,IF(OR(tblHorasSet[Evento 
(1º Período)]="",tblHorasSet[Evento 
(2º Período)]=""),tblHorasSet[Horas Trabalhadas Além Jornada],""),"")</f>
        <v/>
      </c>
      <c r="Q22" s="14" t="str">
        <f>IF(tblHorasSet[Jornada Diária]&lt;&gt;"",IF((N(tblHorasSet[Jornada Diária])-ABS(N(tblHorasSet[Horas Trabalhadas Além Jornada])))=0,1,""),"")</f>
        <v/>
      </c>
      <c r="R22" s="14" t="str">
        <f>IF(tblHorasSet[Horas Trabalhadas Além Jornada]&gt;0,
IF(AND(VLOOKUP(TEXT(tblHorasSet[Data],"dddd"),tblDiaUtil[],3,FALSE)="Sim",IF(tblHorasSet[Evento 
(1º Período)]&lt;&gt;"",IF(VLOOKUP(tblHorasSet[Evento 
(1º Período)],tblEvento[],Tabelas!$E$1,FALSE)="Sim",FALSE,TRUE),TRUE),IF(tblHorasSet[Evento 
(2º Período)]&lt;&gt;"",IF(VLOOKUP(tblHorasSet[Evento 
(2º Período)],tblEvento[],Tabelas!$E$1,FALSE)="Sim",FALSE,TRUE),TRUE)),
tblHorasSet[Horas Trabalhadas Além Jornada],""),"")</f>
        <v/>
      </c>
      <c r="S22" s="14" t="str">
        <f>IF(tblHorasSet[Horas Trabalhadas Além Jornada]&gt;0,
IF(OR(VLOOKUP(TEXT(tblHorasSet[Data],"dddd"),tblDiaUtil[],3,FALSE)="Não",IF(tblHorasSet[Evento 
(1º Período)]&lt;&gt;"",IF(VLOOKUP(tblHorasSet[Evento 
(1º Período)],tblEvento[],Tabelas!$E$1,FALSE)="Sim",TRUE,FALSE),FALSE),IF(tblHorasSet[Evento 
(2º Período)]&lt;&gt;"",IF(VLOOKUP(tblHorasSet[Evento 
(2º Período)],tblEvento[],Tabelas!$E$1,FALSE)="Sim",TRUE,FALSE),FALSE)),
tblHorasSet[Horas Trabalhadas Além Jornada],""),"")</f>
        <v/>
      </c>
      <c r="T22" s="15" t="str">
        <f>IF(tblHorasSet[Evento 
(1º Período)]&lt;&gt;""," - " &amp;VLOOKUP(tblHorasSet[Evento 
(1º Período)],tblEvento[],Tabelas!$F$1,FALSE),"")&amp;IF(AND(tblHorasSet[Evento 
(2º Período)]&lt;&gt;"",tblHorasSet[Evento 
(2º Período)]&lt;&gt;tblHorasSet[Evento 
(1º Período)])," - " &amp; VLOOKUP(tblHorasSet[Evento 
(2º Período)],tblEvento[],Tabelas!$F$1,FALSE),"")</f>
        <v/>
      </c>
    </row>
    <row r="23" spans="2:20" x14ac:dyDescent="0.25">
      <c r="B23" s="11" t="str">
        <f t="shared" si="0"/>
        <v/>
      </c>
      <c r="C23" s="12" t="str">
        <f>TEXT(tblHorasSet[Data],"ddd")</f>
        <v/>
      </c>
      <c r="D23" s="25"/>
      <c r="E23" s="1"/>
      <c r="F23" s="1"/>
      <c r="G23" s="1"/>
      <c r="H23" s="1"/>
      <c r="I23" s="53"/>
      <c r="J23" s="4">
        <f>IF($B$6&lt;&gt;"",
IF(AND(tblHorasSet[Evento 
(1º Período)]&lt;&gt;"",IF(ISERROR(VLOOKUP(tblHorasSet[Evento 
(1º Período)],tblEvento[],Tabelas!$D$1,FALSE)),FALSE,VLOOKUP(tblHorasSet[Evento 
(1º Período)],tblEvento[],Tabelas!$D$1,FALSE)="Sim")),
        IF(JORNADA_PERIODO_1&lt;&gt;"",
IF(VLOOKUP(tblHorasSet[Dia],tblDiaUtil[[Abreviatura]:[1º Período]],3,FALSE)&gt;0,VLOOKUP(tblHorasSet[Dia],tblDiaUtil[[Abreviatura]:[1º Período]],3,FALSE),JORNADA_PERIODO_1),
IF(VLOOKUP(tblHorasSet[Dia],tblDiaUtil[[Abreviatura]:[1º Período]],3,FALSE)&gt;0,VLOOKUP(tblHorasSet[Dia],tblDiaUtil[[Abreviatura]:[1º Período]],3,FALSE),JORNADA/2)),
        IF(AND(ISNUMBER(tblHorasSet[Saída - 1 (Almoço)]),ISNUMBER(tblHorasSet[Entrada - 1])),
              IF(OR(AND(tblHorasSet[Evento 
(1º Período)]&lt;&gt;"",IF(ISERROR(VLOOKUP(tblHorasSet[Evento 
(1º Período)],tblEvento[],Tabelas!$E$1,FALSE)),FALSE,VLOOKUP(tblHorasSet[Evento 
(1º Período)],tblEvento[],Tabelas!$E$1,FALSE)="Sim")),IF(VLOOKUP(TEXT(tblHorasSet[Data],"dddd"),tblDiaUtil[],2,FALSE)="Não",TRUE,FALSE)),
                   tblHorasSet[Saída - 1 (Almoço)]-tblHorasSet[Entrada - 1],
                   IF(OR(HOUR(tblHorasSet[Saída - 1 (Almoço)]-tblHorasSet[Entrada - 1])&gt;0,ROUND(tblHorasSet[Saída - 1 (Almoço)]-tblHorasSet[Entrada - 1],6)&gt;ROUND(CARENCIA,6)),
                          tblHorasSet[Saída - 1 (Almoço)]-tblHorasSet[Entrada - 1],
                          0)),
                    0)),0)</f>
        <v>0</v>
      </c>
      <c r="K23" s="4">
        <f>IF($B$6&lt;&gt;"",
IF(AND(tblHorasSet[Evento 
(2º Período)]&lt;&gt;"",IF(ISERROR(VLOOKUP(tblHorasSet[Evento 
(2º Período)],tblEvento[],Tabelas!$D$1,FALSE)),FALSE,VLOOKUP(tblHorasSet[Evento 
(2º Período)],tblEvento[],Tabelas!$D$1,FALSE)="Sim")),
        IF(JORNADA_PERIODO_2&lt;&gt;"",
IF(VLOOKUP(tblHorasSet[Dia],tblDiaUtil[[Abreviatura]:[2º Período]],4,FALSE)&gt;0,VLOOKUP(tblHorasSet[Dia],tblDiaUtil[[Abreviatura]:[2º Período]],4,FALSE),JORNADA_PERIODO_2),
IF(VLOOKUP(tblHorasSet[Dia],tblDiaUtil[[Abreviatura]:[2º Período]],4,FALSE)&gt;0,VLOOKUP(tblHorasSet[Dia],tblDiaUtil[[Abreviatura]:[2º Período]],4,FALSE),JORNADA/2)),
        IF(AND(ISNUMBER(tblHorasSet[Saída - 2]),ISNUMBER(tblHorasSet[Entrada - 2 (Almoço)])),
              IF(OR(AND(tblHorasSet[Evento 
(2º Período)]&lt;&gt;"",IF(ISERROR(VLOOKUP(tblHorasSet[Evento 
(2º Período)],tblEvento[],Tabelas!$E$1,FALSE)),FALSE,VLOOKUP(tblHorasSet[Evento 
(2º Período)],tblEvento[],Tabelas!$E$1,FALSE)="Sim")),IF(VLOOKUP(TEXT(tblHorasSet[Data],"dddd"),tblDiaUtil[],2,FALSE)="Não",TRUE,FALSE)),
                   tblHorasSet[Saída - 2]-tblHorasSet[Entrada - 2 (Almoço)],
                   IF(OR(HOUR(tblHorasSet[Saída - 2]-tblHorasSet[Entrada - 2 (Almoço)])&gt;0,MINUTE(tblHorasSet[Saída - 2]-tblHorasSet[Entrada - 2 (Almoço)])&gt;CARENCIA),
                         tblHorasSet[Saída - 2]-tblHorasSet[Entrada - 2 (Almoço)],
                         0)),
       0)),0)</f>
        <v>0</v>
      </c>
      <c r="L23" s="4">
        <f>tblHorasSet[Horas Trabalhadas (1º Período)]+tblHorasSet[Horas Trabalhadas (2º Período)]</f>
        <v>0</v>
      </c>
      <c r="M23" s="4" t="str">
        <f>IF(tblHorasSet[Data]&lt;&gt;"",
        IF(
AND(VLOOKUP(TEXT(tblHorasSet[Data],"dddd"),tblDiaUtil[],3,FALSE)="Sim",IF(tblHorasSet[Evento 
(1º Período)]&lt;&gt;"",IF(VLOOKUP(tblHorasSet[Evento 
(1º Período)],tblEvento[],Tabelas!$E$1,FALSE)="Sim",FALSE,TRUE),TRUE),IF(tblHorasSet[Evento 
(2º Período)]&lt;&gt;"",IF(VLOOKUP(tblHorasSet[Evento 
(2º Período)],tblEvento[],Tabelas!$E$1,FALSE)="Sim",FALSE,TRUE),TRUE)),
              IF(VLOOKUP(tblHorasSet[Dia],tblDiaUtil[[Abreviatura]:[1º Período]],3,FALSE)&gt;0,VLOOKUP(tblHorasSet[Dia],tblDiaUtil[[Abreviatura]:[1º Período]],3,FALSE),JORNADA),
              ""),
         "")</f>
        <v/>
      </c>
      <c r="N23" s="14">
        <f>IF(OR(tblHorasSet[Horas Trabalhadas (1º Período)]&lt;&gt;0,tblHorasSet[Horas Trabalhadas (2º Período)]&lt;&gt;0),
        IF(ISNUMBER(tblHorasSet[Jornada Diária]),
              IF(tblHorasSet[Jornada Diária]&gt;(tblHorasSet[Horas Trabalhadas (2º Período)]+tblHorasSet[Horas Trabalhadas (1º Período)]),
                     IF(ROUND((tblHorasSet[Jornada Diária]-(tblHorasSet[Horas Trabalhadas (2º Período)]+tblHorasSet[Horas Trabalhadas (1º Período)])),6)&gt;ROUND(CARENCIA,6),
                           -tblHorasSet[Jornada Diária]+(tblHorasSet[Horas Trabalhadas (2º Período)]+tblHorasSet[Horas Trabalhadas (1º Período)]),
                           0),
                      IF(ROUND((tblHorasSet[Jornada Diária]-(tblHorasSet[Horas Trabalhadas (2º Período)]+tblHorasSet[Horas Trabalhadas (1º Período)])),6)&lt;ROUND(-CARENCIA,6),
                           -tblHorasSet[Jornada Diária]+(tblHorasSet[Horas Trabalhadas (2º Período)]+tblHorasSet[Horas Trabalhadas (1º Período)]),
                           0)),
              tblHorasSet[Horas Trabalhadas (2º Período)]+tblHorasSet[Horas Trabalhadas (1º Período)]),
         IF(AND(IF(ISERROR(VLOOKUP(tblHorasSet[Evento 
(1º Período)],tblEvento[[Evento]:[Libera o Período]],4,FALSE)),FALSE,IF(VLOOKUP(tblHorasSet[Evento 
(1º Período)],tblEvento[[Evento]:[Libera o Período]],4,FALSE)="Não",TRUE,FALSE)),IF(ISERROR(VLOOKUP(tblHorasSet[Evento 
(2º Período)],tblEvento[[Evento]:[Libera o Período]],4,FALSE)),FALSE,IF(VLOOKUP(tblHorasSet[Evento 
(2º Período)],tblEvento[[Evento]:[Libera o Período]],4,FALSE)="Não",TRUE,FALSE))),
-IF(VLOOKUP(tblHorasSet[Dia],tblDiaUtil[[Abreviatura]:[Total Jornada]],5,FALSE)&lt;&gt;"",VLOOKUP(tblHorasSet[Dia],tblDiaUtil[[Abreviatura]:[Total Jornada]],5,FALSE),JORNADA),
IF(IF(ISERROR(VLOOKUP(tblHorasSet[Evento 
(1º Período)],tblEvento[[Evento]:[Libera o Período]],4,FALSE)),FALSE,
IF(VLOOKUP(tblHorasSet[Evento 
(1º Período)],tblEvento[[Evento]:[Libera o Período]],4,FALSE)="Não",TRUE,FALSE)
),
-IF(VLOOKUP(tblHorasSet[Dia],tblDiaUtil[[Abreviatura]:[1º Período]],3,FALSE)&lt;&gt;"",VLOOKUP(tblHorasSet[Dia],tblDiaUtil[[Abreviatura]:[1º Período]],3,FALSE),JORNADA_PERIODO_1),
IF(IF(ISERROR(VLOOKUP(tblHorasSet[Evento 
(2º Período)],tblEvento[[Evento]:[Libera o Período]],4,FALSE)),FALSE,IF(VLOOKUP(tblHorasSet[Evento 
(2º Período)],tblEvento[[Evento]:[Libera o Período]],4,FALSE)="Não",TRUE,FALSE)),
-IF(VLOOKUP(tblHorasSet[Dia],tblDiaUtil[[Abreviatura]:[2º Período]],4,FALSE)&lt;&gt;"",VLOOKUP(tblHorasSet[Dia],tblDiaUtil[[Abreviatura]:[2º Período]],4,FALSE),JORNADA_PERIODO_2),0))))</f>
        <v>0</v>
      </c>
      <c r="O23" s="14">
        <f>IF(tblHorasSet[Horas Trabalhadas Além Jornada]&gt;0,
        IF(ISNUMBER(tblHorasSet[Jornada Diária]),
              IF(HOUR(tblHorasSet[Horas Trabalhadas Além Jornada])&gt;=VLOOKUP(LIMITE,tblLimiteHora[],Tabelas!$I$1,FALSE),
                    VLOOKUP(LIMITE,tblLimiteHora[],Tabelas!$J$1,FALSE),
                    tblHorasSet[Horas Trabalhadas Além Jornada]),
              tblHorasSet[Horas Trabalhadas Além Jornada]),
        tblHorasSet[Horas Trabalhadas Além Jornada])+O22</f>
        <v>0</v>
      </c>
      <c r="P23" s="14" t="str">
        <f>IF(tblHorasSet[Horas Trabalhadas Além Jornada]&lt;0,IF(OR(tblHorasSet[Evento 
(1º Período)]="",tblHorasSet[Evento 
(2º Período)]=""),tblHorasSet[Horas Trabalhadas Além Jornada],""),"")</f>
        <v/>
      </c>
      <c r="Q23" s="14" t="str">
        <f>IF(tblHorasSet[Jornada Diária]&lt;&gt;"",IF((N(tblHorasSet[Jornada Diária])-ABS(N(tblHorasSet[Horas Trabalhadas Além Jornada])))=0,1,""),"")</f>
        <v/>
      </c>
      <c r="R23" s="14" t="str">
        <f>IF(tblHorasSet[Horas Trabalhadas Além Jornada]&gt;0,
IF(AND(VLOOKUP(TEXT(tblHorasSet[Data],"dddd"),tblDiaUtil[],3,FALSE)="Sim",IF(tblHorasSet[Evento 
(1º Período)]&lt;&gt;"",IF(VLOOKUP(tblHorasSet[Evento 
(1º Período)],tblEvento[],Tabelas!$E$1,FALSE)="Sim",FALSE,TRUE),TRUE),IF(tblHorasSet[Evento 
(2º Período)]&lt;&gt;"",IF(VLOOKUP(tblHorasSet[Evento 
(2º Período)],tblEvento[],Tabelas!$E$1,FALSE)="Sim",FALSE,TRUE),TRUE)),
tblHorasSet[Horas Trabalhadas Além Jornada],""),"")</f>
        <v/>
      </c>
      <c r="S23" s="14" t="str">
        <f>IF(tblHorasSet[Horas Trabalhadas Além Jornada]&gt;0,
IF(OR(VLOOKUP(TEXT(tblHorasSet[Data],"dddd"),tblDiaUtil[],3,FALSE)="Não",IF(tblHorasSet[Evento 
(1º Período)]&lt;&gt;"",IF(VLOOKUP(tblHorasSet[Evento 
(1º Período)],tblEvento[],Tabelas!$E$1,FALSE)="Sim",TRUE,FALSE),FALSE),IF(tblHorasSet[Evento 
(2º Período)]&lt;&gt;"",IF(VLOOKUP(tblHorasSet[Evento 
(2º Período)],tblEvento[],Tabelas!$E$1,FALSE)="Sim",TRUE,FALSE),FALSE)),
tblHorasSet[Horas Trabalhadas Além Jornada],""),"")</f>
        <v/>
      </c>
      <c r="T23" s="15" t="str">
        <f>IF(tblHorasSet[Evento 
(1º Período)]&lt;&gt;""," - " &amp;VLOOKUP(tblHorasSet[Evento 
(1º Período)],tblEvento[],Tabelas!$F$1,FALSE),"")&amp;IF(AND(tblHorasSet[Evento 
(2º Período)]&lt;&gt;"",tblHorasSet[Evento 
(2º Período)]&lt;&gt;tblHorasSet[Evento 
(1º Período)])," - " &amp; VLOOKUP(tblHorasSet[Evento 
(2º Período)],tblEvento[],Tabelas!$F$1,FALSE),"")</f>
        <v/>
      </c>
    </row>
    <row r="24" spans="2:20" x14ac:dyDescent="0.25">
      <c r="B24" s="11" t="str">
        <f t="shared" si="0"/>
        <v/>
      </c>
      <c r="C24" s="12" t="str">
        <f>TEXT(tblHorasSet[Data],"ddd")</f>
        <v/>
      </c>
      <c r="D24" s="25"/>
      <c r="E24" s="1"/>
      <c r="F24" s="1"/>
      <c r="G24" s="1"/>
      <c r="H24" s="1"/>
      <c r="I24" s="53"/>
      <c r="J24" s="4">
        <f>IF($B$6&lt;&gt;"",
IF(AND(tblHorasSet[Evento 
(1º Período)]&lt;&gt;"",IF(ISERROR(VLOOKUP(tblHorasSet[Evento 
(1º Período)],tblEvento[],Tabelas!$D$1,FALSE)),FALSE,VLOOKUP(tblHorasSet[Evento 
(1º Período)],tblEvento[],Tabelas!$D$1,FALSE)="Sim")),
        IF(JORNADA_PERIODO_1&lt;&gt;"",
IF(VLOOKUP(tblHorasSet[Dia],tblDiaUtil[[Abreviatura]:[1º Período]],3,FALSE)&gt;0,VLOOKUP(tblHorasSet[Dia],tblDiaUtil[[Abreviatura]:[1º Período]],3,FALSE),JORNADA_PERIODO_1),
IF(VLOOKUP(tblHorasSet[Dia],tblDiaUtil[[Abreviatura]:[1º Período]],3,FALSE)&gt;0,VLOOKUP(tblHorasSet[Dia],tblDiaUtil[[Abreviatura]:[1º Período]],3,FALSE),JORNADA/2)),
        IF(AND(ISNUMBER(tblHorasSet[Saída - 1 (Almoço)]),ISNUMBER(tblHorasSet[Entrada - 1])),
              IF(OR(AND(tblHorasSet[Evento 
(1º Período)]&lt;&gt;"",IF(ISERROR(VLOOKUP(tblHorasSet[Evento 
(1º Período)],tblEvento[],Tabelas!$E$1,FALSE)),FALSE,VLOOKUP(tblHorasSet[Evento 
(1º Período)],tblEvento[],Tabelas!$E$1,FALSE)="Sim")),IF(VLOOKUP(TEXT(tblHorasSet[Data],"dddd"),tblDiaUtil[],2,FALSE)="Não",TRUE,FALSE)),
                   tblHorasSet[Saída - 1 (Almoço)]-tblHorasSet[Entrada - 1],
                   IF(OR(HOUR(tblHorasSet[Saída - 1 (Almoço)]-tblHorasSet[Entrada - 1])&gt;0,ROUND(tblHorasSet[Saída - 1 (Almoço)]-tblHorasSet[Entrada - 1],6)&gt;ROUND(CARENCIA,6)),
                          tblHorasSet[Saída - 1 (Almoço)]-tblHorasSet[Entrada - 1],
                          0)),
                    0)),0)</f>
        <v>0</v>
      </c>
      <c r="K24" s="4">
        <f>IF($B$6&lt;&gt;"",
IF(AND(tblHorasSet[Evento 
(2º Período)]&lt;&gt;"",IF(ISERROR(VLOOKUP(tblHorasSet[Evento 
(2º Período)],tblEvento[],Tabelas!$D$1,FALSE)),FALSE,VLOOKUP(tblHorasSet[Evento 
(2º Período)],tblEvento[],Tabelas!$D$1,FALSE)="Sim")),
        IF(JORNADA_PERIODO_2&lt;&gt;"",
IF(VLOOKUP(tblHorasSet[Dia],tblDiaUtil[[Abreviatura]:[2º Período]],4,FALSE)&gt;0,VLOOKUP(tblHorasSet[Dia],tblDiaUtil[[Abreviatura]:[2º Período]],4,FALSE),JORNADA_PERIODO_2),
IF(VLOOKUP(tblHorasSet[Dia],tblDiaUtil[[Abreviatura]:[2º Período]],4,FALSE)&gt;0,VLOOKUP(tblHorasSet[Dia],tblDiaUtil[[Abreviatura]:[2º Período]],4,FALSE),JORNADA/2)),
        IF(AND(ISNUMBER(tblHorasSet[Saída - 2]),ISNUMBER(tblHorasSet[Entrada - 2 (Almoço)])),
              IF(OR(AND(tblHorasSet[Evento 
(2º Período)]&lt;&gt;"",IF(ISERROR(VLOOKUP(tblHorasSet[Evento 
(2º Período)],tblEvento[],Tabelas!$E$1,FALSE)),FALSE,VLOOKUP(tblHorasSet[Evento 
(2º Período)],tblEvento[],Tabelas!$E$1,FALSE)="Sim")),IF(VLOOKUP(TEXT(tblHorasSet[Data],"dddd"),tblDiaUtil[],2,FALSE)="Não",TRUE,FALSE)),
                   tblHorasSet[Saída - 2]-tblHorasSet[Entrada - 2 (Almoço)],
                   IF(OR(HOUR(tblHorasSet[Saída - 2]-tblHorasSet[Entrada - 2 (Almoço)])&gt;0,MINUTE(tblHorasSet[Saída - 2]-tblHorasSet[Entrada - 2 (Almoço)])&gt;CARENCIA),
                         tblHorasSet[Saída - 2]-tblHorasSet[Entrada - 2 (Almoço)],
                         0)),
       0)),0)</f>
        <v>0</v>
      </c>
      <c r="L24" s="4">
        <f>tblHorasSet[Horas Trabalhadas (1º Período)]+tblHorasSet[Horas Trabalhadas (2º Período)]</f>
        <v>0</v>
      </c>
      <c r="M24" s="4" t="str">
        <f>IF(tblHorasSet[Data]&lt;&gt;"",
        IF(
AND(VLOOKUP(TEXT(tblHorasSet[Data],"dddd"),tblDiaUtil[],3,FALSE)="Sim",IF(tblHorasSet[Evento 
(1º Período)]&lt;&gt;"",IF(VLOOKUP(tblHorasSet[Evento 
(1º Período)],tblEvento[],Tabelas!$E$1,FALSE)="Sim",FALSE,TRUE),TRUE),IF(tblHorasSet[Evento 
(2º Período)]&lt;&gt;"",IF(VLOOKUP(tblHorasSet[Evento 
(2º Período)],tblEvento[],Tabelas!$E$1,FALSE)="Sim",FALSE,TRUE),TRUE)),
              IF(VLOOKUP(tblHorasSet[Dia],tblDiaUtil[[Abreviatura]:[1º Período]],3,FALSE)&gt;0,VLOOKUP(tblHorasSet[Dia],tblDiaUtil[[Abreviatura]:[1º Período]],3,FALSE),JORNADA),
              ""),
         "")</f>
        <v/>
      </c>
      <c r="N24" s="14">
        <f>IF(OR(tblHorasSet[Horas Trabalhadas (1º Período)]&lt;&gt;0,tblHorasSet[Horas Trabalhadas (2º Período)]&lt;&gt;0),
        IF(ISNUMBER(tblHorasSet[Jornada Diária]),
              IF(tblHorasSet[Jornada Diária]&gt;(tblHorasSet[Horas Trabalhadas (2º Período)]+tblHorasSet[Horas Trabalhadas (1º Período)]),
                     IF(ROUND((tblHorasSet[Jornada Diária]-(tblHorasSet[Horas Trabalhadas (2º Período)]+tblHorasSet[Horas Trabalhadas (1º Período)])),6)&gt;ROUND(CARENCIA,6),
                           -tblHorasSet[Jornada Diária]+(tblHorasSet[Horas Trabalhadas (2º Período)]+tblHorasSet[Horas Trabalhadas (1º Período)]),
                           0),
                      IF(ROUND((tblHorasSet[Jornada Diária]-(tblHorasSet[Horas Trabalhadas (2º Período)]+tblHorasSet[Horas Trabalhadas (1º Período)])),6)&lt;ROUND(-CARENCIA,6),
                           -tblHorasSet[Jornada Diária]+(tblHorasSet[Horas Trabalhadas (2º Período)]+tblHorasSet[Horas Trabalhadas (1º Período)]),
                           0)),
              tblHorasSet[Horas Trabalhadas (2º Período)]+tblHorasSet[Horas Trabalhadas (1º Período)]),
         IF(AND(IF(ISERROR(VLOOKUP(tblHorasSet[Evento 
(1º Período)],tblEvento[[Evento]:[Libera o Período]],4,FALSE)),FALSE,IF(VLOOKUP(tblHorasSet[Evento 
(1º Período)],tblEvento[[Evento]:[Libera o Período]],4,FALSE)="Não",TRUE,FALSE)),IF(ISERROR(VLOOKUP(tblHorasSet[Evento 
(2º Período)],tblEvento[[Evento]:[Libera o Período]],4,FALSE)),FALSE,IF(VLOOKUP(tblHorasSet[Evento 
(2º Período)],tblEvento[[Evento]:[Libera o Período]],4,FALSE)="Não",TRUE,FALSE))),
-IF(VLOOKUP(tblHorasSet[Dia],tblDiaUtil[[Abreviatura]:[Total Jornada]],5,FALSE)&lt;&gt;"",VLOOKUP(tblHorasSet[Dia],tblDiaUtil[[Abreviatura]:[Total Jornada]],5,FALSE),JORNADA),
IF(IF(ISERROR(VLOOKUP(tblHorasSet[Evento 
(1º Período)],tblEvento[[Evento]:[Libera o Período]],4,FALSE)),FALSE,
IF(VLOOKUP(tblHorasSet[Evento 
(1º Período)],tblEvento[[Evento]:[Libera o Período]],4,FALSE)="Não",TRUE,FALSE)
),
-IF(VLOOKUP(tblHorasSet[Dia],tblDiaUtil[[Abreviatura]:[1º Período]],3,FALSE)&lt;&gt;"",VLOOKUP(tblHorasSet[Dia],tblDiaUtil[[Abreviatura]:[1º Período]],3,FALSE),JORNADA_PERIODO_1),
IF(IF(ISERROR(VLOOKUP(tblHorasSet[Evento 
(2º Período)],tblEvento[[Evento]:[Libera o Período]],4,FALSE)),FALSE,IF(VLOOKUP(tblHorasSet[Evento 
(2º Período)],tblEvento[[Evento]:[Libera o Período]],4,FALSE)="Não",TRUE,FALSE)),
-IF(VLOOKUP(tblHorasSet[Dia],tblDiaUtil[[Abreviatura]:[2º Período]],4,FALSE)&lt;&gt;"",VLOOKUP(tblHorasSet[Dia],tblDiaUtil[[Abreviatura]:[2º Período]],4,FALSE),JORNADA_PERIODO_2),0))))</f>
        <v>0</v>
      </c>
      <c r="O24" s="14">
        <f>IF(tblHorasSet[Horas Trabalhadas Além Jornada]&gt;0,
        IF(ISNUMBER(tblHorasSet[Jornada Diária]),
              IF(HOUR(tblHorasSet[Horas Trabalhadas Além Jornada])&gt;=VLOOKUP(LIMITE,tblLimiteHora[],Tabelas!$I$1,FALSE),
                    VLOOKUP(LIMITE,tblLimiteHora[],Tabelas!$J$1,FALSE),
                    tblHorasSet[Horas Trabalhadas Além Jornada]),
              tblHorasSet[Horas Trabalhadas Além Jornada]),
        tblHorasSet[Horas Trabalhadas Além Jornada])+O23</f>
        <v>0</v>
      </c>
      <c r="P24" s="14" t="str">
        <f>IF(tblHorasSet[Horas Trabalhadas Além Jornada]&lt;0,IF(OR(tblHorasSet[Evento 
(1º Período)]="",tblHorasSet[Evento 
(2º Período)]=""),tblHorasSet[Horas Trabalhadas Além Jornada],""),"")</f>
        <v/>
      </c>
      <c r="Q24" s="14" t="str">
        <f>IF(tblHorasSet[Jornada Diária]&lt;&gt;"",IF((N(tblHorasSet[Jornada Diária])-ABS(N(tblHorasSet[Horas Trabalhadas Além Jornada])))=0,1,""),"")</f>
        <v/>
      </c>
      <c r="R24" s="14" t="str">
        <f>IF(tblHorasSet[Horas Trabalhadas Além Jornada]&gt;0,
IF(AND(VLOOKUP(TEXT(tblHorasSet[Data],"dddd"),tblDiaUtil[],3,FALSE)="Sim",IF(tblHorasSet[Evento 
(1º Período)]&lt;&gt;"",IF(VLOOKUP(tblHorasSet[Evento 
(1º Período)],tblEvento[],Tabelas!$E$1,FALSE)="Sim",FALSE,TRUE),TRUE),IF(tblHorasSet[Evento 
(2º Período)]&lt;&gt;"",IF(VLOOKUP(tblHorasSet[Evento 
(2º Período)],tblEvento[],Tabelas!$E$1,FALSE)="Sim",FALSE,TRUE),TRUE)),
tblHorasSet[Horas Trabalhadas Além Jornada],""),"")</f>
        <v/>
      </c>
      <c r="S24" s="14" t="str">
        <f>IF(tblHorasSet[Horas Trabalhadas Além Jornada]&gt;0,
IF(OR(VLOOKUP(TEXT(tblHorasSet[Data],"dddd"),tblDiaUtil[],3,FALSE)="Não",IF(tblHorasSet[Evento 
(1º Período)]&lt;&gt;"",IF(VLOOKUP(tblHorasSet[Evento 
(1º Período)],tblEvento[],Tabelas!$E$1,FALSE)="Sim",TRUE,FALSE),FALSE),IF(tblHorasSet[Evento 
(2º Período)]&lt;&gt;"",IF(VLOOKUP(tblHorasSet[Evento 
(2º Período)],tblEvento[],Tabelas!$E$1,FALSE)="Sim",TRUE,FALSE),FALSE)),
tblHorasSet[Horas Trabalhadas Além Jornada],""),"")</f>
        <v/>
      </c>
      <c r="T24" s="15" t="str">
        <f>IF(tblHorasSet[Evento 
(1º Período)]&lt;&gt;""," - " &amp;VLOOKUP(tblHorasSet[Evento 
(1º Período)],tblEvento[],Tabelas!$F$1,FALSE),"")&amp;IF(AND(tblHorasSet[Evento 
(2º Período)]&lt;&gt;"",tblHorasSet[Evento 
(2º Período)]&lt;&gt;tblHorasSet[Evento 
(1º Período)])," - " &amp; VLOOKUP(tblHorasSet[Evento 
(2º Período)],tblEvento[],Tabelas!$F$1,FALSE),"")</f>
        <v/>
      </c>
    </row>
    <row r="25" spans="2:20" x14ac:dyDescent="0.25">
      <c r="B25" s="11" t="str">
        <f t="shared" si="0"/>
        <v/>
      </c>
      <c r="C25" s="12" t="str">
        <f>TEXT(tblHorasSet[Data],"ddd")</f>
        <v/>
      </c>
      <c r="D25" s="25"/>
      <c r="E25" s="1"/>
      <c r="F25" s="1"/>
      <c r="G25" s="1"/>
      <c r="H25" s="1"/>
      <c r="I25" s="53"/>
      <c r="J25" s="4">
        <f>IF($B$6&lt;&gt;"",
IF(AND(tblHorasSet[Evento 
(1º Período)]&lt;&gt;"",IF(ISERROR(VLOOKUP(tblHorasSet[Evento 
(1º Período)],tblEvento[],Tabelas!$D$1,FALSE)),FALSE,VLOOKUP(tblHorasSet[Evento 
(1º Período)],tblEvento[],Tabelas!$D$1,FALSE)="Sim")),
        IF(JORNADA_PERIODO_1&lt;&gt;"",
IF(VLOOKUP(tblHorasSet[Dia],tblDiaUtil[[Abreviatura]:[1º Período]],3,FALSE)&gt;0,VLOOKUP(tblHorasSet[Dia],tblDiaUtil[[Abreviatura]:[1º Período]],3,FALSE),JORNADA_PERIODO_1),
IF(VLOOKUP(tblHorasSet[Dia],tblDiaUtil[[Abreviatura]:[1º Período]],3,FALSE)&gt;0,VLOOKUP(tblHorasSet[Dia],tblDiaUtil[[Abreviatura]:[1º Período]],3,FALSE),JORNADA/2)),
        IF(AND(ISNUMBER(tblHorasSet[Saída - 1 (Almoço)]),ISNUMBER(tblHorasSet[Entrada - 1])),
              IF(OR(AND(tblHorasSet[Evento 
(1º Período)]&lt;&gt;"",IF(ISERROR(VLOOKUP(tblHorasSet[Evento 
(1º Período)],tblEvento[],Tabelas!$E$1,FALSE)),FALSE,VLOOKUP(tblHorasSet[Evento 
(1º Período)],tblEvento[],Tabelas!$E$1,FALSE)="Sim")),IF(VLOOKUP(TEXT(tblHorasSet[Data],"dddd"),tblDiaUtil[],2,FALSE)="Não",TRUE,FALSE)),
                   tblHorasSet[Saída - 1 (Almoço)]-tblHorasSet[Entrada - 1],
                   IF(OR(HOUR(tblHorasSet[Saída - 1 (Almoço)]-tblHorasSet[Entrada - 1])&gt;0,ROUND(tblHorasSet[Saída - 1 (Almoço)]-tblHorasSet[Entrada - 1],6)&gt;ROUND(CARENCIA,6)),
                          tblHorasSet[Saída - 1 (Almoço)]-tblHorasSet[Entrada - 1],
                          0)),
                    0)),0)</f>
        <v>0</v>
      </c>
      <c r="K25" s="4">
        <f>IF($B$6&lt;&gt;"",
IF(AND(tblHorasSet[Evento 
(2º Período)]&lt;&gt;"",IF(ISERROR(VLOOKUP(tblHorasSet[Evento 
(2º Período)],tblEvento[],Tabelas!$D$1,FALSE)),FALSE,VLOOKUP(tblHorasSet[Evento 
(2º Período)],tblEvento[],Tabelas!$D$1,FALSE)="Sim")),
        IF(JORNADA_PERIODO_2&lt;&gt;"",
IF(VLOOKUP(tblHorasSet[Dia],tblDiaUtil[[Abreviatura]:[2º Período]],4,FALSE)&gt;0,VLOOKUP(tblHorasSet[Dia],tblDiaUtil[[Abreviatura]:[2º Período]],4,FALSE),JORNADA_PERIODO_2),
IF(VLOOKUP(tblHorasSet[Dia],tblDiaUtil[[Abreviatura]:[2º Período]],4,FALSE)&gt;0,VLOOKUP(tblHorasSet[Dia],tblDiaUtil[[Abreviatura]:[2º Período]],4,FALSE),JORNADA/2)),
        IF(AND(ISNUMBER(tblHorasSet[Saída - 2]),ISNUMBER(tblHorasSet[Entrada - 2 (Almoço)])),
              IF(OR(AND(tblHorasSet[Evento 
(2º Período)]&lt;&gt;"",IF(ISERROR(VLOOKUP(tblHorasSet[Evento 
(2º Período)],tblEvento[],Tabelas!$E$1,FALSE)),FALSE,VLOOKUP(tblHorasSet[Evento 
(2º Período)],tblEvento[],Tabelas!$E$1,FALSE)="Sim")),IF(VLOOKUP(TEXT(tblHorasSet[Data],"dddd"),tblDiaUtil[],2,FALSE)="Não",TRUE,FALSE)),
                   tblHorasSet[Saída - 2]-tblHorasSet[Entrada - 2 (Almoço)],
                   IF(OR(HOUR(tblHorasSet[Saída - 2]-tblHorasSet[Entrada - 2 (Almoço)])&gt;0,MINUTE(tblHorasSet[Saída - 2]-tblHorasSet[Entrada - 2 (Almoço)])&gt;CARENCIA),
                         tblHorasSet[Saída - 2]-tblHorasSet[Entrada - 2 (Almoço)],
                         0)),
       0)),0)</f>
        <v>0</v>
      </c>
      <c r="L25" s="4">
        <f>tblHorasSet[Horas Trabalhadas (1º Período)]+tblHorasSet[Horas Trabalhadas (2º Período)]</f>
        <v>0</v>
      </c>
      <c r="M25" s="4" t="str">
        <f>IF(tblHorasSet[Data]&lt;&gt;"",
        IF(
AND(VLOOKUP(TEXT(tblHorasSet[Data],"dddd"),tblDiaUtil[],3,FALSE)="Sim",IF(tblHorasSet[Evento 
(1º Período)]&lt;&gt;"",IF(VLOOKUP(tblHorasSet[Evento 
(1º Período)],tblEvento[],Tabelas!$E$1,FALSE)="Sim",FALSE,TRUE),TRUE),IF(tblHorasSet[Evento 
(2º Período)]&lt;&gt;"",IF(VLOOKUP(tblHorasSet[Evento 
(2º Período)],tblEvento[],Tabelas!$E$1,FALSE)="Sim",FALSE,TRUE),TRUE)),
              IF(VLOOKUP(tblHorasSet[Dia],tblDiaUtil[[Abreviatura]:[1º Período]],3,FALSE)&gt;0,VLOOKUP(tblHorasSet[Dia],tblDiaUtil[[Abreviatura]:[1º Período]],3,FALSE),JORNADA),
              ""),
         "")</f>
        <v/>
      </c>
      <c r="N25" s="14">
        <f>IF(OR(tblHorasSet[Horas Trabalhadas (1º Período)]&lt;&gt;0,tblHorasSet[Horas Trabalhadas (2º Período)]&lt;&gt;0),
        IF(ISNUMBER(tblHorasSet[Jornada Diária]),
              IF(tblHorasSet[Jornada Diária]&gt;(tblHorasSet[Horas Trabalhadas (2º Período)]+tblHorasSet[Horas Trabalhadas (1º Período)]),
                     IF(ROUND((tblHorasSet[Jornada Diária]-(tblHorasSet[Horas Trabalhadas (2º Período)]+tblHorasSet[Horas Trabalhadas (1º Período)])),6)&gt;ROUND(CARENCIA,6),
                           -tblHorasSet[Jornada Diária]+(tblHorasSet[Horas Trabalhadas (2º Período)]+tblHorasSet[Horas Trabalhadas (1º Período)]),
                           0),
                      IF(ROUND((tblHorasSet[Jornada Diária]-(tblHorasSet[Horas Trabalhadas (2º Período)]+tblHorasSet[Horas Trabalhadas (1º Período)])),6)&lt;ROUND(-CARENCIA,6),
                           -tblHorasSet[Jornada Diária]+(tblHorasSet[Horas Trabalhadas (2º Período)]+tblHorasSet[Horas Trabalhadas (1º Período)]),
                           0)),
              tblHorasSet[Horas Trabalhadas (2º Período)]+tblHorasSet[Horas Trabalhadas (1º Período)]),
         IF(AND(IF(ISERROR(VLOOKUP(tblHorasSet[Evento 
(1º Período)],tblEvento[[Evento]:[Libera o Período]],4,FALSE)),FALSE,IF(VLOOKUP(tblHorasSet[Evento 
(1º Período)],tblEvento[[Evento]:[Libera o Período]],4,FALSE)="Não",TRUE,FALSE)),IF(ISERROR(VLOOKUP(tblHorasSet[Evento 
(2º Período)],tblEvento[[Evento]:[Libera o Período]],4,FALSE)),FALSE,IF(VLOOKUP(tblHorasSet[Evento 
(2º Período)],tblEvento[[Evento]:[Libera o Período]],4,FALSE)="Não",TRUE,FALSE))),
-IF(VLOOKUP(tblHorasSet[Dia],tblDiaUtil[[Abreviatura]:[Total Jornada]],5,FALSE)&lt;&gt;"",VLOOKUP(tblHorasSet[Dia],tblDiaUtil[[Abreviatura]:[Total Jornada]],5,FALSE),JORNADA),
IF(IF(ISERROR(VLOOKUP(tblHorasSet[Evento 
(1º Período)],tblEvento[[Evento]:[Libera o Período]],4,FALSE)),FALSE,
IF(VLOOKUP(tblHorasSet[Evento 
(1º Período)],tblEvento[[Evento]:[Libera o Período]],4,FALSE)="Não",TRUE,FALSE)
),
-IF(VLOOKUP(tblHorasSet[Dia],tblDiaUtil[[Abreviatura]:[1º Período]],3,FALSE)&lt;&gt;"",VLOOKUP(tblHorasSet[Dia],tblDiaUtil[[Abreviatura]:[1º Período]],3,FALSE),JORNADA_PERIODO_1),
IF(IF(ISERROR(VLOOKUP(tblHorasSet[Evento 
(2º Período)],tblEvento[[Evento]:[Libera o Período]],4,FALSE)),FALSE,IF(VLOOKUP(tblHorasSet[Evento 
(2º Período)],tblEvento[[Evento]:[Libera o Período]],4,FALSE)="Não",TRUE,FALSE)),
-IF(VLOOKUP(tblHorasSet[Dia],tblDiaUtil[[Abreviatura]:[2º Período]],4,FALSE)&lt;&gt;"",VLOOKUP(tblHorasSet[Dia],tblDiaUtil[[Abreviatura]:[2º Período]],4,FALSE),JORNADA_PERIODO_2),0))))</f>
        <v>0</v>
      </c>
      <c r="O25" s="14">
        <f>IF(tblHorasSet[Horas Trabalhadas Além Jornada]&gt;0,
        IF(ISNUMBER(tblHorasSet[Jornada Diária]),
              IF(HOUR(tblHorasSet[Horas Trabalhadas Além Jornada])&gt;=VLOOKUP(LIMITE,tblLimiteHora[],Tabelas!$I$1,FALSE),
                    VLOOKUP(LIMITE,tblLimiteHora[],Tabelas!$J$1,FALSE),
                    tblHorasSet[Horas Trabalhadas Além Jornada]),
              tblHorasSet[Horas Trabalhadas Além Jornada]),
        tblHorasSet[Horas Trabalhadas Além Jornada])+O24</f>
        <v>0</v>
      </c>
      <c r="P25" s="14" t="str">
        <f>IF(tblHorasSet[Horas Trabalhadas Além Jornada]&lt;0,IF(OR(tblHorasSet[Evento 
(1º Período)]="",tblHorasSet[Evento 
(2º Período)]=""),tblHorasSet[Horas Trabalhadas Além Jornada],""),"")</f>
        <v/>
      </c>
      <c r="Q25" s="14" t="str">
        <f>IF(tblHorasSet[Jornada Diária]&lt;&gt;"",IF((N(tblHorasSet[Jornada Diária])-ABS(N(tblHorasSet[Horas Trabalhadas Além Jornada])))=0,1,""),"")</f>
        <v/>
      </c>
      <c r="R25" s="14" t="str">
        <f>IF(tblHorasSet[Horas Trabalhadas Além Jornada]&gt;0,
IF(AND(VLOOKUP(TEXT(tblHorasSet[Data],"dddd"),tblDiaUtil[],3,FALSE)="Sim",IF(tblHorasSet[Evento 
(1º Período)]&lt;&gt;"",IF(VLOOKUP(tblHorasSet[Evento 
(1º Período)],tblEvento[],Tabelas!$E$1,FALSE)="Sim",FALSE,TRUE),TRUE),IF(tblHorasSet[Evento 
(2º Período)]&lt;&gt;"",IF(VLOOKUP(tblHorasSet[Evento 
(2º Período)],tblEvento[],Tabelas!$E$1,FALSE)="Sim",FALSE,TRUE),TRUE)),
tblHorasSet[Horas Trabalhadas Além Jornada],""),"")</f>
        <v/>
      </c>
      <c r="S25" s="14" t="str">
        <f>IF(tblHorasSet[Horas Trabalhadas Além Jornada]&gt;0,
IF(OR(VLOOKUP(TEXT(tblHorasSet[Data],"dddd"),tblDiaUtil[],3,FALSE)="Não",IF(tblHorasSet[Evento 
(1º Período)]&lt;&gt;"",IF(VLOOKUP(tblHorasSet[Evento 
(1º Período)],tblEvento[],Tabelas!$E$1,FALSE)="Sim",TRUE,FALSE),FALSE),IF(tblHorasSet[Evento 
(2º Período)]&lt;&gt;"",IF(VLOOKUP(tblHorasSet[Evento 
(2º Período)],tblEvento[],Tabelas!$E$1,FALSE)="Sim",TRUE,FALSE),FALSE)),
tblHorasSet[Horas Trabalhadas Além Jornada],""),"")</f>
        <v/>
      </c>
      <c r="T25" s="15" t="str">
        <f>IF(tblHorasSet[Evento 
(1º Período)]&lt;&gt;""," - " &amp;VLOOKUP(tblHorasSet[Evento 
(1º Período)],tblEvento[],Tabelas!$F$1,FALSE),"")&amp;IF(AND(tblHorasSet[Evento 
(2º Período)]&lt;&gt;"",tblHorasSet[Evento 
(2º Período)]&lt;&gt;tblHorasSet[Evento 
(1º Período)])," - " &amp; VLOOKUP(tblHorasSet[Evento 
(2º Período)],tblEvento[],Tabelas!$F$1,FALSE),"")</f>
        <v/>
      </c>
    </row>
    <row r="26" spans="2:20" x14ac:dyDescent="0.25">
      <c r="B26" s="11" t="str">
        <f t="shared" si="0"/>
        <v/>
      </c>
      <c r="C26" s="12" t="str">
        <f>TEXT(tblHorasSet[Data],"ddd")</f>
        <v/>
      </c>
      <c r="D26" s="25"/>
      <c r="E26" s="1"/>
      <c r="F26" s="1"/>
      <c r="G26" s="1"/>
      <c r="H26" s="1"/>
      <c r="I26" s="53"/>
      <c r="J26" s="4">
        <f>IF($B$6&lt;&gt;"",
IF(AND(tblHorasSet[Evento 
(1º Período)]&lt;&gt;"",IF(ISERROR(VLOOKUP(tblHorasSet[Evento 
(1º Período)],tblEvento[],Tabelas!$D$1,FALSE)),FALSE,VLOOKUP(tblHorasSet[Evento 
(1º Período)],tblEvento[],Tabelas!$D$1,FALSE)="Sim")),
        IF(JORNADA_PERIODO_1&lt;&gt;"",
IF(VLOOKUP(tblHorasSet[Dia],tblDiaUtil[[Abreviatura]:[1º Período]],3,FALSE)&gt;0,VLOOKUP(tblHorasSet[Dia],tblDiaUtil[[Abreviatura]:[1º Período]],3,FALSE),JORNADA_PERIODO_1),
IF(VLOOKUP(tblHorasSet[Dia],tblDiaUtil[[Abreviatura]:[1º Período]],3,FALSE)&gt;0,VLOOKUP(tblHorasSet[Dia],tblDiaUtil[[Abreviatura]:[1º Período]],3,FALSE),JORNADA/2)),
        IF(AND(ISNUMBER(tblHorasSet[Saída - 1 (Almoço)]),ISNUMBER(tblHorasSet[Entrada - 1])),
              IF(OR(AND(tblHorasSet[Evento 
(1º Período)]&lt;&gt;"",IF(ISERROR(VLOOKUP(tblHorasSet[Evento 
(1º Período)],tblEvento[],Tabelas!$E$1,FALSE)),FALSE,VLOOKUP(tblHorasSet[Evento 
(1º Período)],tblEvento[],Tabelas!$E$1,FALSE)="Sim")),IF(VLOOKUP(TEXT(tblHorasSet[Data],"dddd"),tblDiaUtil[],2,FALSE)="Não",TRUE,FALSE)),
                   tblHorasSet[Saída - 1 (Almoço)]-tblHorasSet[Entrada - 1],
                   IF(OR(HOUR(tblHorasSet[Saída - 1 (Almoço)]-tblHorasSet[Entrada - 1])&gt;0,ROUND(tblHorasSet[Saída - 1 (Almoço)]-tblHorasSet[Entrada - 1],6)&gt;ROUND(CARENCIA,6)),
                          tblHorasSet[Saída - 1 (Almoço)]-tblHorasSet[Entrada - 1],
                          0)),
                    0)),0)</f>
        <v>0</v>
      </c>
      <c r="K26" s="4">
        <f>IF($B$6&lt;&gt;"",
IF(AND(tblHorasSet[Evento 
(2º Período)]&lt;&gt;"",IF(ISERROR(VLOOKUP(tblHorasSet[Evento 
(2º Período)],tblEvento[],Tabelas!$D$1,FALSE)),FALSE,VLOOKUP(tblHorasSet[Evento 
(2º Período)],tblEvento[],Tabelas!$D$1,FALSE)="Sim")),
        IF(JORNADA_PERIODO_2&lt;&gt;"",
IF(VLOOKUP(tblHorasSet[Dia],tblDiaUtil[[Abreviatura]:[2º Período]],4,FALSE)&gt;0,VLOOKUP(tblHorasSet[Dia],tblDiaUtil[[Abreviatura]:[2º Período]],4,FALSE),JORNADA_PERIODO_2),
IF(VLOOKUP(tblHorasSet[Dia],tblDiaUtil[[Abreviatura]:[2º Período]],4,FALSE)&gt;0,VLOOKUP(tblHorasSet[Dia],tblDiaUtil[[Abreviatura]:[2º Período]],4,FALSE),JORNADA/2)),
        IF(AND(ISNUMBER(tblHorasSet[Saída - 2]),ISNUMBER(tblHorasSet[Entrada - 2 (Almoço)])),
              IF(OR(AND(tblHorasSet[Evento 
(2º Período)]&lt;&gt;"",IF(ISERROR(VLOOKUP(tblHorasSet[Evento 
(2º Período)],tblEvento[],Tabelas!$E$1,FALSE)),FALSE,VLOOKUP(tblHorasSet[Evento 
(2º Período)],tblEvento[],Tabelas!$E$1,FALSE)="Sim")),IF(VLOOKUP(TEXT(tblHorasSet[Data],"dddd"),tblDiaUtil[],2,FALSE)="Não",TRUE,FALSE)),
                   tblHorasSet[Saída - 2]-tblHorasSet[Entrada - 2 (Almoço)],
                   IF(OR(HOUR(tblHorasSet[Saída - 2]-tblHorasSet[Entrada - 2 (Almoço)])&gt;0,MINUTE(tblHorasSet[Saída - 2]-tblHorasSet[Entrada - 2 (Almoço)])&gt;CARENCIA),
                         tblHorasSet[Saída - 2]-tblHorasSet[Entrada - 2 (Almoço)],
                         0)),
       0)),0)</f>
        <v>0</v>
      </c>
      <c r="L26" s="4">
        <f>tblHorasSet[Horas Trabalhadas (1º Período)]+tblHorasSet[Horas Trabalhadas (2º Período)]</f>
        <v>0</v>
      </c>
      <c r="M26" s="4" t="str">
        <f>IF(tblHorasSet[Data]&lt;&gt;"",
        IF(
AND(VLOOKUP(TEXT(tblHorasSet[Data],"dddd"),tblDiaUtil[],3,FALSE)="Sim",IF(tblHorasSet[Evento 
(1º Período)]&lt;&gt;"",IF(VLOOKUP(tblHorasSet[Evento 
(1º Período)],tblEvento[],Tabelas!$E$1,FALSE)="Sim",FALSE,TRUE),TRUE),IF(tblHorasSet[Evento 
(2º Período)]&lt;&gt;"",IF(VLOOKUP(tblHorasSet[Evento 
(2º Período)],tblEvento[],Tabelas!$E$1,FALSE)="Sim",FALSE,TRUE),TRUE)),
              IF(VLOOKUP(tblHorasSet[Dia],tblDiaUtil[[Abreviatura]:[1º Período]],3,FALSE)&gt;0,VLOOKUP(tblHorasSet[Dia],tblDiaUtil[[Abreviatura]:[1º Período]],3,FALSE),JORNADA),
              ""),
         "")</f>
        <v/>
      </c>
      <c r="N26" s="14">
        <f>IF(OR(tblHorasSet[Horas Trabalhadas (1º Período)]&lt;&gt;0,tblHorasSet[Horas Trabalhadas (2º Período)]&lt;&gt;0),
        IF(ISNUMBER(tblHorasSet[Jornada Diária]),
              IF(tblHorasSet[Jornada Diária]&gt;(tblHorasSet[Horas Trabalhadas (2º Período)]+tblHorasSet[Horas Trabalhadas (1º Período)]),
                     IF(ROUND((tblHorasSet[Jornada Diária]-(tblHorasSet[Horas Trabalhadas (2º Período)]+tblHorasSet[Horas Trabalhadas (1º Período)])),6)&gt;ROUND(CARENCIA,6),
                           -tblHorasSet[Jornada Diária]+(tblHorasSet[Horas Trabalhadas (2º Período)]+tblHorasSet[Horas Trabalhadas (1º Período)]),
                           0),
                      IF(ROUND((tblHorasSet[Jornada Diária]-(tblHorasSet[Horas Trabalhadas (2º Período)]+tblHorasSet[Horas Trabalhadas (1º Período)])),6)&lt;ROUND(-CARENCIA,6),
                           -tblHorasSet[Jornada Diária]+(tblHorasSet[Horas Trabalhadas (2º Período)]+tblHorasSet[Horas Trabalhadas (1º Período)]),
                           0)),
              tblHorasSet[Horas Trabalhadas (2º Período)]+tblHorasSet[Horas Trabalhadas (1º Período)]),
         IF(AND(IF(ISERROR(VLOOKUP(tblHorasSet[Evento 
(1º Período)],tblEvento[[Evento]:[Libera o Período]],4,FALSE)),FALSE,IF(VLOOKUP(tblHorasSet[Evento 
(1º Período)],tblEvento[[Evento]:[Libera o Período]],4,FALSE)="Não",TRUE,FALSE)),IF(ISERROR(VLOOKUP(tblHorasSet[Evento 
(2º Período)],tblEvento[[Evento]:[Libera o Período]],4,FALSE)),FALSE,IF(VLOOKUP(tblHorasSet[Evento 
(2º Período)],tblEvento[[Evento]:[Libera o Período]],4,FALSE)="Não",TRUE,FALSE))),
-IF(VLOOKUP(tblHorasSet[Dia],tblDiaUtil[[Abreviatura]:[Total Jornada]],5,FALSE)&lt;&gt;"",VLOOKUP(tblHorasSet[Dia],tblDiaUtil[[Abreviatura]:[Total Jornada]],5,FALSE),JORNADA),
IF(IF(ISERROR(VLOOKUP(tblHorasSet[Evento 
(1º Período)],tblEvento[[Evento]:[Libera o Período]],4,FALSE)),FALSE,
IF(VLOOKUP(tblHorasSet[Evento 
(1º Período)],tblEvento[[Evento]:[Libera o Período]],4,FALSE)="Não",TRUE,FALSE)
),
-IF(VLOOKUP(tblHorasSet[Dia],tblDiaUtil[[Abreviatura]:[1º Período]],3,FALSE)&lt;&gt;"",VLOOKUP(tblHorasSet[Dia],tblDiaUtil[[Abreviatura]:[1º Período]],3,FALSE),JORNADA_PERIODO_1),
IF(IF(ISERROR(VLOOKUP(tblHorasSet[Evento 
(2º Período)],tblEvento[[Evento]:[Libera o Período]],4,FALSE)),FALSE,IF(VLOOKUP(tblHorasSet[Evento 
(2º Período)],tblEvento[[Evento]:[Libera o Período]],4,FALSE)="Não",TRUE,FALSE)),
-IF(VLOOKUP(tblHorasSet[Dia],tblDiaUtil[[Abreviatura]:[2º Período]],4,FALSE)&lt;&gt;"",VLOOKUP(tblHorasSet[Dia],tblDiaUtil[[Abreviatura]:[2º Período]],4,FALSE),JORNADA_PERIODO_2),0))))</f>
        <v>0</v>
      </c>
      <c r="O26" s="14">
        <f>IF(tblHorasSet[Horas Trabalhadas Além Jornada]&gt;0,
        IF(ISNUMBER(tblHorasSet[Jornada Diária]),
              IF(HOUR(tblHorasSet[Horas Trabalhadas Além Jornada])&gt;=VLOOKUP(LIMITE,tblLimiteHora[],Tabelas!$I$1,FALSE),
                    VLOOKUP(LIMITE,tblLimiteHora[],Tabelas!$J$1,FALSE),
                    tblHorasSet[Horas Trabalhadas Além Jornada]),
              tblHorasSet[Horas Trabalhadas Além Jornada]),
        tblHorasSet[Horas Trabalhadas Além Jornada])+O25</f>
        <v>0</v>
      </c>
      <c r="P26" s="14" t="str">
        <f>IF(tblHorasSet[Horas Trabalhadas Além Jornada]&lt;0,IF(OR(tblHorasSet[Evento 
(1º Período)]="",tblHorasSet[Evento 
(2º Período)]=""),tblHorasSet[Horas Trabalhadas Além Jornada],""),"")</f>
        <v/>
      </c>
      <c r="Q26" s="14" t="str">
        <f>IF(tblHorasSet[Jornada Diária]&lt;&gt;"",IF((N(tblHorasSet[Jornada Diária])-ABS(N(tblHorasSet[Horas Trabalhadas Além Jornada])))=0,1,""),"")</f>
        <v/>
      </c>
      <c r="R26" s="14" t="str">
        <f>IF(tblHorasSet[Horas Trabalhadas Além Jornada]&gt;0,
IF(AND(VLOOKUP(TEXT(tblHorasSet[Data],"dddd"),tblDiaUtil[],3,FALSE)="Sim",IF(tblHorasSet[Evento 
(1º Período)]&lt;&gt;"",IF(VLOOKUP(tblHorasSet[Evento 
(1º Período)],tblEvento[],Tabelas!$E$1,FALSE)="Sim",FALSE,TRUE),TRUE),IF(tblHorasSet[Evento 
(2º Período)]&lt;&gt;"",IF(VLOOKUP(tblHorasSet[Evento 
(2º Período)],tblEvento[],Tabelas!$E$1,FALSE)="Sim",FALSE,TRUE),TRUE)),
tblHorasSet[Horas Trabalhadas Além Jornada],""),"")</f>
        <v/>
      </c>
      <c r="S26" s="14" t="str">
        <f>IF(tblHorasSet[Horas Trabalhadas Além Jornada]&gt;0,
IF(OR(VLOOKUP(TEXT(tblHorasSet[Data],"dddd"),tblDiaUtil[],3,FALSE)="Não",IF(tblHorasSet[Evento 
(1º Período)]&lt;&gt;"",IF(VLOOKUP(tblHorasSet[Evento 
(1º Período)],tblEvento[],Tabelas!$E$1,FALSE)="Sim",TRUE,FALSE),FALSE),IF(tblHorasSet[Evento 
(2º Período)]&lt;&gt;"",IF(VLOOKUP(tblHorasSet[Evento 
(2º Período)],tblEvento[],Tabelas!$E$1,FALSE)="Sim",TRUE,FALSE),FALSE)),
tblHorasSet[Horas Trabalhadas Além Jornada],""),"")</f>
        <v/>
      </c>
      <c r="T26" s="15" t="str">
        <f>IF(tblHorasSet[Evento 
(1º Período)]&lt;&gt;""," - " &amp;VLOOKUP(tblHorasSet[Evento 
(1º Período)],tblEvento[],Tabelas!$F$1,FALSE),"")&amp;IF(AND(tblHorasSet[Evento 
(2º Período)]&lt;&gt;"",tblHorasSet[Evento 
(2º Período)]&lt;&gt;tblHorasSet[Evento 
(1º Período)])," - " &amp; VLOOKUP(tblHorasSet[Evento 
(2º Período)],tblEvento[],Tabelas!$F$1,FALSE),"")</f>
        <v/>
      </c>
    </row>
    <row r="27" spans="2:20" x14ac:dyDescent="0.25">
      <c r="B27" s="11" t="str">
        <f t="shared" si="0"/>
        <v/>
      </c>
      <c r="C27" s="12" t="str">
        <f>TEXT(tblHorasSet[Data],"ddd")</f>
        <v/>
      </c>
      <c r="D27" s="25"/>
      <c r="E27" s="1"/>
      <c r="F27" s="1"/>
      <c r="G27" s="1"/>
      <c r="H27" s="1"/>
      <c r="I27" s="53"/>
      <c r="J27" s="4">
        <f>IF($B$6&lt;&gt;"",
IF(AND(tblHorasSet[Evento 
(1º Período)]&lt;&gt;"",IF(ISERROR(VLOOKUP(tblHorasSet[Evento 
(1º Período)],tblEvento[],Tabelas!$D$1,FALSE)),FALSE,VLOOKUP(tblHorasSet[Evento 
(1º Período)],tblEvento[],Tabelas!$D$1,FALSE)="Sim")),
        IF(JORNADA_PERIODO_1&lt;&gt;"",
IF(VLOOKUP(tblHorasSet[Dia],tblDiaUtil[[Abreviatura]:[1º Período]],3,FALSE)&gt;0,VLOOKUP(tblHorasSet[Dia],tblDiaUtil[[Abreviatura]:[1º Período]],3,FALSE),JORNADA_PERIODO_1),
IF(VLOOKUP(tblHorasSet[Dia],tblDiaUtil[[Abreviatura]:[1º Período]],3,FALSE)&gt;0,VLOOKUP(tblHorasSet[Dia],tblDiaUtil[[Abreviatura]:[1º Período]],3,FALSE),JORNADA/2)),
        IF(AND(ISNUMBER(tblHorasSet[Saída - 1 (Almoço)]),ISNUMBER(tblHorasSet[Entrada - 1])),
              IF(OR(AND(tblHorasSet[Evento 
(1º Período)]&lt;&gt;"",IF(ISERROR(VLOOKUP(tblHorasSet[Evento 
(1º Período)],tblEvento[],Tabelas!$E$1,FALSE)),FALSE,VLOOKUP(tblHorasSet[Evento 
(1º Período)],tblEvento[],Tabelas!$E$1,FALSE)="Sim")),IF(VLOOKUP(TEXT(tblHorasSet[Data],"dddd"),tblDiaUtil[],2,FALSE)="Não",TRUE,FALSE)),
                   tblHorasSet[Saída - 1 (Almoço)]-tblHorasSet[Entrada - 1],
                   IF(OR(HOUR(tblHorasSet[Saída - 1 (Almoço)]-tblHorasSet[Entrada - 1])&gt;0,ROUND(tblHorasSet[Saída - 1 (Almoço)]-tblHorasSet[Entrada - 1],6)&gt;ROUND(CARENCIA,6)),
                          tblHorasSet[Saída - 1 (Almoço)]-tblHorasSet[Entrada - 1],
                          0)),
                    0)),0)</f>
        <v>0</v>
      </c>
      <c r="K27" s="4">
        <f>IF($B$6&lt;&gt;"",
IF(AND(tblHorasSet[Evento 
(2º Período)]&lt;&gt;"",IF(ISERROR(VLOOKUP(tblHorasSet[Evento 
(2º Período)],tblEvento[],Tabelas!$D$1,FALSE)),FALSE,VLOOKUP(tblHorasSet[Evento 
(2º Período)],tblEvento[],Tabelas!$D$1,FALSE)="Sim")),
        IF(JORNADA_PERIODO_2&lt;&gt;"",
IF(VLOOKUP(tblHorasSet[Dia],tblDiaUtil[[Abreviatura]:[2º Período]],4,FALSE)&gt;0,VLOOKUP(tblHorasSet[Dia],tblDiaUtil[[Abreviatura]:[2º Período]],4,FALSE),JORNADA_PERIODO_2),
IF(VLOOKUP(tblHorasSet[Dia],tblDiaUtil[[Abreviatura]:[2º Período]],4,FALSE)&gt;0,VLOOKUP(tblHorasSet[Dia],tblDiaUtil[[Abreviatura]:[2º Período]],4,FALSE),JORNADA/2)),
        IF(AND(ISNUMBER(tblHorasSet[Saída - 2]),ISNUMBER(tblHorasSet[Entrada - 2 (Almoço)])),
              IF(OR(AND(tblHorasSet[Evento 
(2º Período)]&lt;&gt;"",IF(ISERROR(VLOOKUP(tblHorasSet[Evento 
(2º Período)],tblEvento[],Tabelas!$E$1,FALSE)),FALSE,VLOOKUP(tblHorasSet[Evento 
(2º Período)],tblEvento[],Tabelas!$E$1,FALSE)="Sim")),IF(VLOOKUP(TEXT(tblHorasSet[Data],"dddd"),tblDiaUtil[],2,FALSE)="Não",TRUE,FALSE)),
                   tblHorasSet[Saída - 2]-tblHorasSet[Entrada - 2 (Almoço)],
                   IF(OR(HOUR(tblHorasSet[Saída - 2]-tblHorasSet[Entrada - 2 (Almoço)])&gt;0,MINUTE(tblHorasSet[Saída - 2]-tblHorasSet[Entrada - 2 (Almoço)])&gt;CARENCIA),
                         tblHorasSet[Saída - 2]-tblHorasSet[Entrada - 2 (Almoço)],
                         0)),
       0)),0)</f>
        <v>0</v>
      </c>
      <c r="L27" s="4">
        <f>tblHorasSet[Horas Trabalhadas (1º Período)]+tblHorasSet[Horas Trabalhadas (2º Período)]</f>
        <v>0</v>
      </c>
      <c r="M27" s="4" t="str">
        <f>IF(tblHorasSet[Data]&lt;&gt;"",
        IF(
AND(VLOOKUP(TEXT(tblHorasSet[Data],"dddd"),tblDiaUtil[],3,FALSE)="Sim",IF(tblHorasSet[Evento 
(1º Período)]&lt;&gt;"",IF(VLOOKUP(tblHorasSet[Evento 
(1º Período)],tblEvento[],Tabelas!$E$1,FALSE)="Sim",FALSE,TRUE),TRUE),IF(tblHorasSet[Evento 
(2º Período)]&lt;&gt;"",IF(VLOOKUP(tblHorasSet[Evento 
(2º Período)],tblEvento[],Tabelas!$E$1,FALSE)="Sim",FALSE,TRUE),TRUE)),
              IF(VLOOKUP(tblHorasSet[Dia],tblDiaUtil[[Abreviatura]:[1º Período]],3,FALSE)&gt;0,VLOOKUP(tblHorasSet[Dia],tblDiaUtil[[Abreviatura]:[1º Período]],3,FALSE),JORNADA),
              ""),
         "")</f>
        <v/>
      </c>
      <c r="N27" s="14">
        <f>IF(OR(tblHorasSet[Horas Trabalhadas (1º Período)]&lt;&gt;0,tblHorasSet[Horas Trabalhadas (2º Período)]&lt;&gt;0),
        IF(ISNUMBER(tblHorasSet[Jornada Diária]),
              IF(tblHorasSet[Jornada Diária]&gt;(tblHorasSet[Horas Trabalhadas (2º Período)]+tblHorasSet[Horas Trabalhadas (1º Período)]),
                     IF(ROUND((tblHorasSet[Jornada Diária]-(tblHorasSet[Horas Trabalhadas (2º Período)]+tblHorasSet[Horas Trabalhadas (1º Período)])),6)&gt;ROUND(CARENCIA,6),
                           -tblHorasSet[Jornada Diária]+(tblHorasSet[Horas Trabalhadas (2º Período)]+tblHorasSet[Horas Trabalhadas (1º Período)]),
                           0),
                      IF(ROUND((tblHorasSet[Jornada Diária]-(tblHorasSet[Horas Trabalhadas (2º Período)]+tblHorasSet[Horas Trabalhadas (1º Período)])),6)&lt;ROUND(-CARENCIA,6),
                           -tblHorasSet[Jornada Diária]+(tblHorasSet[Horas Trabalhadas (2º Período)]+tblHorasSet[Horas Trabalhadas (1º Período)]),
                           0)),
              tblHorasSet[Horas Trabalhadas (2º Período)]+tblHorasSet[Horas Trabalhadas (1º Período)]),
         IF(AND(IF(ISERROR(VLOOKUP(tblHorasSet[Evento 
(1º Período)],tblEvento[[Evento]:[Libera o Período]],4,FALSE)),FALSE,IF(VLOOKUP(tblHorasSet[Evento 
(1º Período)],tblEvento[[Evento]:[Libera o Período]],4,FALSE)="Não",TRUE,FALSE)),IF(ISERROR(VLOOKUP(tblHorasSet[Evento 
(2º Período)],tblEvento[[Evento]:[Libera o Período]],4,FALSE)),FALSE,IF(VLOOKUP(tblHorasSet[Evento 
(2º Período)],tblEvento[[Evento]:[Libera o Período]],4,FALSE)="Não",TRUE,FALSE))),
-IF(VLOOKUP(tblHorasSet[Dia],tblDiaUtil[[Abreviatura]:[Total Jornada]],5,FALSE)&lt;&gt;"",VLOOKUP(tblHorasSet[Dia],tblDiaUtil[[Abreviatura]:[Total Jornada]],5,FALSE),JORNADA),
IF(IF(ISERROR(VLOOKUP(tblHorasSet[Evento 
(1º Período)],tblEvento[[Evento]:[Libera o Período]],4,FALSE)),FALSE,
IF(VLOOKUP(tblHorasSet[Evento 
(1º Período)],tblEvento[[Evento]:[Libera o Período]],4,FALSE)="Não",TRUE,FALSE)
),
-IF(VLOOKUP(tblHorasSet[Dia],tblDiaUtil[[Abreviatura]:[1º Período]],3,FALSE)&lt;&gt;"",VLOOKUP(tblHorasSet[Dia],tblDiaUtil[[Abreviatura]:[1º Período]],3,FALSE),JORNADA_PERIODO_1),
IF(IF(ISERROR(VLOOKUP(tblHorasSet[Evento 
(2º Período)],tblEvento[[Evento]:[Libera o Período]],4,FALSE)),FALSE,IF(VLOOKUP(tblHorasSet[Evento 
(2º Período)],tblEvento[[Evento]:[Libera o Período]],4,FALSE)="Não",TRUE,FALSE)),
-IF(VLOOKUP(tblHorasSet[Dia],tblDiaUtil[[Abreviatura]:[2º Período]],4,FALSE)&lt;&gt;"",VLOOKUP(tblHorasSet[Dia],tblDiaUtil[[Abreviatura]:[2º Período]],4,FALSE),JORNADA_PERIODO_2),0))))</f>
        <v>0</v>
      </c>
      <c r="O27" s="14">
        <f>IF(tblHorasSet[Horas Trabalhadas Além Jornada]&gt;0,
        IF(ISNUMBER(tblHorasSet[Jornada Diária]),
              IF(HOUR(tblHorasSet[Horas Trabalhadas Além Jornada])&gt;=VLOOKUP(LIMITE,tblLimiteHora[],Tabelas!$I$1,FALSE),
                    VLOOKUP(LIMITE,tblLimiteHora[],Tabelas!$J$1,FALSE),
                    tblHorasSet[Horas Trabalhadas Além Jornada]),
              tblHorasSet[Horas Trabalhadas Além Jornada]),
        tblHorasSet[Horas Trabalhadas Além Jornada])+O26</f>
        <v>0</v>
      </c>
      <c r="P27" s="14" t="str">
        <f>IF(tblHorasSet[Horas Trabalhadas Além Jornada]&lt;0,IF(OR(tblHorasSet[Evento 
(1º Período)]="",tblHorasSet[Evento 
(2º Período)]=""),tblHorasSet[Horas Trabalhadas Além Jornada],""),"")</f>
        <v/>
      </c>
      <c r="Q27" s="14" t="str">
        <f>IF(tblHorasSet[Jornada Diária]&lt;&gt;"",IF((N(tblHorasSet[Jornada Diária])-ABS(N(tblHorasSet[Horas Trabalhadas Além Jornada])))=0,1,""),"")</f>
        <v/>
      </c>
      <c r="R27" s="14" t="str">
        <f>IF(tblHorasSet[Horas Trabalhadas Além Jornada]&gt;0,
IF(AND(VLOOKUP(TEXT(tblHorasSet[Data],"dddd"),tblDiaUtil[],3,FALSE)="Sim",IF(tblHorasSet[Evento 
(1º Período)]&lt;&gt;"",IF(VLOOKUP(tblHorasSet[Evento 
(1º Período)],tblEvento[],Tabelas!$E$1,FALSE)="Sim",FALSE,TRUE),TRUE),IF(tblHorasSet[Evento 
(2º Período)]&lt;&gt;"",IF(VLOOKUP(tblHorasSet[Evento 
(2º Período)],tblEvento[],Tabelas!$E$1,FALSE)="Sim",FALSE,TRUE),TRUE)),
tblHorasSet[Horas Trabalhadas Além Jornada],""),"")</f>
        <v/>
      </c>
      <c r="S27" s="14" t="str">
        <f>IF(tblHorasSet[Horas Trabalhadas Além Jornada]&gt;0,
IF(OR(VLOOKUP(TEXT(tblHorasSet[Data],"dddd"),tblDiaUtil[],3,FALSE)="Não",IF(tblHorasSet[Evento 
(1º Período)]&lt;&gt;"",IF(VLOOKUP(tblHorasSet[Evento 
(1º Período)],tblEvento[],Tabelas!$E$1,FALSE)="Sim",TRUE,FALSE),FALSE),IF(tblHorasSet[Evento 
(2º Período)]&lt;&gt;"",IF(VLOOKUP(tblHorasSet[Evento 
(2º Período)],tblEvento[],Tabelas!$E$1,FALSE)="Sim",TRUE,FALSE),FALSE)),
tblHorasSet[Horas Trabalhadas Além Jornada],""),"")</f>
        <v/>
      </c>
      <c r="T27" s="15" t="str">
        <f>IF(tblHorasSet[Evento 
(1º Período)]&lt;&gt;""," - " &amp;VLOOKUP(tblHorasSet[Evento 
(1º Período)],tblEvento[],Tabelas!$F$1,FALSE),"")&amp;IF(AND(tblHorasSet[Evento 
(2º Período)]&lt;&gt;"",tblHorasSet[Evento 
(2º Período)]&lt;&gt;tblHorasSet[Evento 
(1º Período)])," - " &amp; VLOOKUP(tblHorasSet[Evento 
(2º Período)],tblEvento[],Tabelas!$F$1,FALSE),"")</f>
        <v/>
      </c>
    </row>
    <row r="28" spans="2:20" x14ac:dyDescent="0.25">
      <c r="B28" s="11" t="str">
        <f t="shared" si="0"/>
        <v/>
      </c>
      <c r="C28" s="12" t="str">
        <f>TEXT(tblHorasSet[Data],"ddd")</f>
        <v/>
      </c>
      <c r="D28" s="25"/>
      <c r="E28" s="1"/>
      <c r="F28" s="1"/>
      <c r="G28" s="1"/>
      <c r="H28" s="1"/>
      <c r="I28" s="53"/>
      <c r="J28" s="4">
        <f>IF($B$6&lt;&gt;"",
IF(AND(tblHorasSet[Evento 
(1º Período)]&lt;&gt;"",IF(ISERROR(VLOOKUP(tblHorasSet[Evento 
(1º Período)],tblEvento[],Tabelas!$D$1,FALSE)),FALSE,VLOOKUP(tblHorasSet[Evento 
(1º Período)],tblEvento[],Tabelas!$D$1,FALSE)="Sim")),
        IF(JORNADA_PERIODO_1&lt;&gt;"",
IF(VLOOKUP(tblHorasSet[Dia],tblDiaUtil[[Abreviatura]:[1º Período]],3,FALSE)&gt;0,VLOOKUP(tblHorasSet[Dia],tblDiaUtil[[Abreviatura]:[1º Período]],3,FALSE),JORNADA_PERIODO_1),
IF(VLOOKUP(tblHorasSet[Dia],tblDiaUtil[[Abreviatura]:[1º Período]],3,FALSE)&gt;0,VLOOKUP(tblHorasSet[Dia],tblDiaUtil[[Abreviatura]:[1º Período]],3,FALSE),JORNADA/2)),
        IF(AND(ISNUMBER(tblHorasSet[Saída - 1 (Almoço)]),ISNUMBER(tblHorasSet[Entrada - 1])),
              IF(OR(AND(tblHorasSet[Evento 
(1º Período)]&lt;&gt;"",IF(ISERROR(VLOOKUP(tblHorasSet[Evento 
(1º Período)],tblEvento[],Tabelas!$E$1,FALSE)),FALSE,VLOOKUP(tblHorasSet[Evento 
(1º Período)],tblEvento[],Tabelas!$E$1,FALSE)="Sim")),IF(VLOOKUP(TEXT(tblHorasSet[Data],"dddd"),tblDiaUtil[],2,FALSE)="Não",TRUE,FALSE)),
                   tblHorasSet[Saída - 1 (Almoço)]-tblHorasSet[Entrada - 1],
                   IF(OR(HOUR(tblHorasSet[Saída - 1 (Almoço)]-tblHorasSet[Entrada - 1])&gt;0,ROUND(tblHorasSet[Saída - 1 (Almoço)]-tblHorasSet[Entrada - 1],6)&gt;ROUND(CARENCIA,6)),
                          tblHorasSet[Saída - 1 (Almoço)]-tblHorasSet[Entrada - 1],
                          0)),
                    0)),0)</f>
        <v>0</v>
      </c>
      <c r="K28" s="4">
        <f>IF($B$6&lt;&gt;"",
IF(AND(tblHorasSet[Evento 
(2º Período)]&lt;&gt;"",IF(ISERROR(VLOOKUP(tblHorasSet[Evento 
(2º Período)],tblEvento[],Tabelas!$D$1,FALSE)),FALSE,VLOOKUP(tblHorasSet[Evento 
(2º Período)],tblEvento[],Tabelas!$D$1,FALSE)="Sim")),
        IF(JORNADA_PERIODO_2&lt;&gt;"",
IF(VLOOKUP(tblHorasSet[Dia],tblDiaUtil[[Abreviatura]:[2º Período]],4,FALSE)&gt;0,VLOOKUP(tblHorasSet[Dia],tblDiaUtil[[Abreviatura]:[2º Período]],4,FALSE),JORNADA_PERIODO_2),
IF(VLOOKUP(tblHorasSet[Dia],tblDiaUtil[[Abreviatura]:[2º Período]],4,FALSE)&gt;0,VLOOKUP(tblHorasSet[Dia],tblDiaUtil[[Abreviatura]:[2º Período]],4,FALSE),JORNADA/2)),
        IF(AND(ISNUMBER(tblHorasSet[Saída - 2]),ISNUMBER(tblHorasSet[Entrada - 2 (Almoço)])),
              IF(OR(AND(tblHorasSet[Evento 
(2º Período)]&lt;&gt;"",IF(ISERROR(VLOOKUP(tblHorasSet[Evento 
(2º Período)],tblEvento[],Tabelas!$E$1,FALSE)),FALSE,VLOOKUP(tblHorasSet[Evento 
(2º Período)],tblEvento[],Tabelas!$E$1,FALSE)="Sim")),IF(VLOOKUP(TEXT(tblHorasSet[Data],"dddd"),tblDiaUtil[],2,FALSE)="Não",TRUE,FALSE)),
                   tblHorasSet[Saída - 2]-tblHorasSet[Entrada - 2 (Almoço)],
                   IF(OR(HOUR(tblHorasSet[Saída - 2]-tblHorasSet[Entrada - 2 (Almoço)])&gt;0,MINUTE(tblHorasSet[Saída - 2]-tblHorasSet[Entrada - 2 (Almoço)])&gt;CARENCIA),
                         tblHorasSet[Saída - 2]-tblHorasSet[Entrada - 2 (Almoço)],
                         0)),
       0)),0)</f>
        <v>0</v>
      </c>
      <c r="L28" s="4">
        <f>tblHorasSet[Horas Trabalhadas (1º Período)]+tblHorasSet[Horas Trabalhadas (2º Período)]</f>
        <v>0</v>
      </c>
      <c r="M28" s="4" t="str">
        <f>IF(tblHorasSet[Data]&lt;&gt;"",
        IF(
AND(VLOOKUP(TEXT(tblHorasSet[Data],"dddd"),tblDiaUtil[],3,FALSE)="Sim",IF(tblHorasSet[Evento 
(1º Período)]&lt;&gt;"",IF(VLOOKUP(tblHorasSet[Evento 
(1º Período)],tblEvento[],Tabelas!$E$1,FALSE)="Sim",FALSE,TRUE),TRUE),IF(tblHorasSet[Evento 
(2º Período)]&lt;&gt;"",IF(VLOOKUP(tblHorasSet[Evento 
(2º Período)],tblEvento[],Tabelas!$E$1,FALSE)="Sim",FALSE,TRUE),TRUE)),
              IF(VLOOKUP(tblHorasSet[Dia],tblDiaUtil[[Abreviatura]:[1º Período]],3,FALSE)&gt;0,VLOOKUP(tblHorasSet[Dia],tblDiaUtil[[Abreviatura]:[1º Período]],3,FALSE),JORNADA),
              ""),
         "")</f>
        <v/>
      </c>
      <c r="N28" s="14">
        <f>IF(OR(tblHorasSet[Horas Trabalhadas (1º Período)]&lt;&gt;0,tblHorasSet[Horas Trabalhadas (2º Período)]&lt;&gt;0),
        IF(ISNUMBER(tblHorasSet[Jornada Diária]),
              IF(tblHorasSet[Jornada Diária]&gt;(tblHorasSet[Horas Trabalhadas (2º Período)]+tblHorasSet[Horas Trabalhadas (1º Período)]),
                     IF(ROUND((tblHorasSet[Jornada Diária]-(tblHorasSet[Horas Trabalhadas (2º Período)]+tblHorasSet[Horas Trabalhadas (1º Período)])),6)&gt;ROUND(CARENCIA,6),
                           -tblHorasSet[Jornada Diária]+(tblHorasSet[Horas Trabalhadas (2º Período)]+tblHorasSet[Horas Trabalhadas (1º Período)]),
                           0),
                      IF(ROUND((tblHorasSet[Jornada Diária]-(tblHorasSet[Horas Trabalhadas (2º Período)]+tblHorasSet[Horas Trabalhadas (1º Período)])),6)&lt;ROUND(-CARENCIA,6),
                           -tblHorasSet[Jornada Diária]+(tblHorasSet[Horas Trabalhadas (2º Período)]+tblHorasSet[Horas Trabalhadas (1º Período)]),
                           0)),
              tblHorasSet[Horas Trabalhadas (2º Período)]+tblHorasSet[Horas Trabalhadas (1º Período)]),
         IF(AND(IF(ISERROR(VLOOKUP(tblHorasSet[Evento 
(1º Período)],tblEvento[[Evento]:[Libera o Período]],4,FALSE)),FALSE,IF(VLOOKUP(tblHorasSet[Evento 
(1º Período)],tblEvento[[Evento]:[Libera o Período]],4,FALSE)="Não",TRUE,FALSE)),IF(ISERROR(VLOOKUP(tblHorasSet[Evento 
(2º Período)],tblEvento[[Evento]:[Libera o Período]],4,FALSE)),FALSE,IF(VLOOKUP(tblHorasSet[Evento 
(2º Período)],tblEvento[[Evento]:[Libera o Período]],4,FALSE)="Não",TRUE,FALSE))),
-IF(VLOOKUP(tblHorasSet[Dia],tblDiaUtil[[Abreviatura]:[Total Jornada]],5,FALSE)&lt;&gt;"",VLOOKUP(tblHorasSet[Dia],tblDiaUtil[[Abreviatura]:[Total Jornada]],5,FALSE),JORNADA),
IF(IF(ISERROR(VLOOKUP(tblHorasSet[Evento 
(1º Período)],tblEvento[[Evento]:[Libera o Período]],4,FALSE)),FALSE,
IF(VLOOKUP(tblHorasSet[Evento 
(1º Período)],tblEvento[[Evento]:[Libera o Período]],4,FALSE)="Não",TRUE,FALSE)
),
-IF(VLOOKUP(tblHorasSet[Dia],tblDiaUtil[[Abreviatura]:[1º Período]],3,FALSE)&lt;&gt;"",VLOOKUP(tblHorasSet[Dia],tblDiaUtil[[Abreviatura]:[1º Período]],3,FALSE),JORNADA_PERIODO_1),
IF(IF(ISERROR(VLOOKUP(tblHorasSet[Evento 
(2º Período)],tblEvento[[Evento]:[Libera o Período]],4,FALSE)),FALSE,IF(VLOOKUP(tblHorasSet[Evento 
(2º Período)],tblEvento[[Evento]:[Libera o Período]],4,FALSE)="Não",TRUE,FALSE)),
-IF(VLOOKUP(tblHorasSet[Dia],tblDiaUtil[[Abreviatura]:[2º Período]],4,FALSE)&lt;&gt;"",VLOOKUP(tblHorasSet[Dia],tblDiaUtil[[Abreviatura]:[2º Período]],4,FALSE),JORNADA_PERIODO_2),0))))</f>
        <v>0</v>
      </c>
      <c r="O28" s="14">
        <f>IF(tblHorasSet[Horas Trabalhadas Além Jornada]&gt;0,
        IF(ISNUMBER(tblHorasSet[Jornada Diária]),
              IF(HOUR(tblHorasSet[Horas Trabalhadas Além Jornada])&gt;=VLOOKUP(LIMITE,tblLimiteHora[],Tabelas!$I$1,FALSE),
                    VLOOKUP(LIMITE,tblLimiteHora[],Tabelas!$J$1,FALSE),
                    tblHorasSet[Horas Trabalhadas Além Jornada]),
              tblHorasSet[Horas Trabalhadas Além Jornada]),
        tblHorasSet[Horas Trabalhadas Além Jornada])+O27</f>
        <v>0</v>
      </c>
      <c r="P28" s="14" t="str">
        <f>IF(tblHorasSet[Horas Trabalhadas Além Jornada]&lt;0,IF(OR(tblHorasSet[Evento 
(1º Período)]="",tblHorasSet[Evento 
(2º Período)]=""),tblHorasSet[Horas Trabalhadas Além Jornada],""),"")</f>
        <v/>
      </c>
      <c r="Q28" s="14" t="str">
        <f>IF(tblHorasSet[Jornada Diária]&lt;&gt;"",IF((N(tblHorasSet[Jornada Diária])-ABS(N(tblHorasSet[Horas Trabalhadas Além Jornada])))=0,1,""),"")</f>
        <v/>
      </c>
      <c r="R28" s="14" t="str">
        <f>IF(tblHorasSet[Horas Trabalhadas Além Jornada]&gt;0,
IF(AND(VLOOKUP(TEXT(tblHorasSet[Data],"dddd"),tblDiaUtil[],3,FALSE)="Sim",IF(tblHorasSet[Evento 
(1º Período)]&lt;&gt;"",IF(VLOOKUP(tblHorasSet[Evento 
(1º Período)],tblEvento[],Tabelas!$E$1,FALSE)="Sim",FALSE,TRUE),TRUE),IF(tblHorasSet[Evento 
(2º Período)]&lt;&gt;"",IF(VLOOKUP(tblHorasSet[Evento 
(2º Período)],tblEvento[],Tabelas!$E$1,FALSE)="Sim",FALSE,TRUE),TRUE)),
tblHorasSet[Horas Trabalhadas Além Jornada],""),"")</f>
        <v/>
      </c>
      <c r="S28" s="14" t="str">
        <f>IF(tblHorasSet[Horas Trabalhadas Além Jornada]&gt;0,
IF(OR(VLOOKUP(TEXT(tblHorasSet[Data],"dddd"),tblDiaUtil[],3,FALSE)="Não",IF(tblHorasSet[Evento 
(1º Período)]&lt;&gt;"",IF(VLOOKUP(tblHorasSet[Evento 
(1º Período)],tblEvento[],Tabelas!$E$1,FALSE)="Sim",TRUE,FALSE),FALSE),IF(tblHorasSet[Evento 
(2º Período)]&lt;&gt;"",IF(VLOOKUP(tblHorasSet[Evento 
(2º Período)],tblEvento[],Tabelas!$E$1,FALSE)="Sim",TRUE,FALSE),FALSE)),
tblHorasSet[Horas Trabalhadas Além Jornada],""),"")</f>
        <v/>
      </c>
      <c r="T28" s="15" t="str">
        <f>IF(tblHorasSet[Evento 
(1º Período)]&lt;&gt;""," - " &amp;VLOOKUP(tblHorasSet[Evento 
(1º Período)],tblEvento[],Tabelas!$F$1,FALSE),"")&amp;IF(AND(tblHorasSet[Evento 
(2º Período)]&lt;&gt;"",tblHorasSet[Evento 
(2º Período)]&lt;&gt;tblHorasSet[Evento 
(1º Período)])," - " &amp; VLOOKUP(tblHorasSet[Evento 
(2º Período)],tblEvento[],Tabelas!$F$1,FALSE),"")</f>
        <v/>
      </c>
    </row>
    <row r="29" spans="2:20" x14ac:dyDescent="0.25">
      <c r="B29" s="11" t="str">
        <f t="shared" si="0"/>
        <v/>
      </c>
      <c r="C29" s="12" t="str">
        <f>TEXT(tblHorasSet[Data],"ddd")</f>
        <v/>
      </c>
      <c r="D29" s="25"/>
      <c r="E29" s="1"/>
      <c r="F29" s="1"/>
      <c r="G29" s="1"/>
      <c r="H29" s="1"/>
      <c r="I29" s="53"/>
      <c r="J29" s="4">
        <f>IF($B$6&lt;&gt;"",
IF(AND(tblHorasSet[Evento 
(1º Período)]&lt;&gt;"",IF(ISERROR(VLOOKUP(tblHorasSet[Evento 
(1º Período)],tblEvento[],Tabelas!$D$1,FALSE)),FALSE,VLOOKUP(tblHorasSet[Evento 
(1º Período)],tblEvento[],Tabelas!$D$1,FALSE)="Sim")),
        IF(JORNADA_PERIODO_1&lt;&gt;"",
IF(VLOOKUP(tblHorasSet[Dia],tblDiaUtil[[Abreviatura]:[1º Período]],3,FALSE)&gt;0,VLOOKUP(tblHorasSet[Dia],tblDiaUtil[[Abreviatura]:[1º Período]],3,FALSE),JORNADA_PERIODO_1),
IF(VLOOKUP(tblHorasSet[Dia],tblDiaUtil[[Abreviatura]:[1º Período]],3,FALSE)&gt;0,VLOOKUP(tblHorasSet[Dia],tblDiaUtil[[Abreviatura]:[1º Período]],3,FALSE),JORNADA/2)),
        IF(AND(ISNUMBER(tblHorasSet[Saída - 1 (Almoço)]),ISNUMBER(tblHorasSet[Entrada - 1])),
              IF(OR(AND(tblHorasSet[Evento 
(1º Período)]&lt;&gt;"",IF(ISERROR(VLOOKUP(tblHorasSet[Evento 
(1º Período)],tblEvento[],Tabelas!$E$1,FALSE)),FALSE,VLOOKUP(tblHorasSet[Evento 
(1º Período)],tblEvento[],Tabelas!$E$1,FALSE)="Sim")),IF(VLOOKUP(TEXT(tblHorasSet[Data],"dddd"),tblDiaUtil[],2,FALSE)="Não",TRUE,FALSE)),
                   tblHorasSet[Saída - 1 (Almoço)]-tblHorasSet[Entrada - 1],
                   IF(OR(HOUR(tblHorasSet[Saída - 1 (Almoço)]-tblHorasSet[Entrada - 1])&gt;0,ROUND(tblHorasSet[Saída - 1 (Almoço)]-tblHorasSet[Entrada - 1],6)&gt;ROUND(CARENCIA,6)),
                          tblHorasSet[Saída - 1 (Almoço)]-tblHorasSet[Entrada - 1],
                          0)),
                    0)),0)</f>
        <v>0</v>
      </c>
      <c r="K29" s="4">
        <f>IF($B$6&lt;&gt;"",
IF(AND(tblHorasSet[Evento 
(2º Período)]&lt;&gt;"",IF(ISERROR(VLOOKUP(tblHorasSet[Evento 
(2º Período)],tblEvento[],Tabelas!$D$1,FALSE)),FALSE,VLOOKUP(tblHorasSet[Evento 
(2º Período)],tblEvento[],Tabelas!$D$1,FALSE)="Sim")),
        IF(JORNADA_PERIODO_2&lt;&gt;"",
IF(VLOOKUP(tblHorasSet[Dia],tblDiaUtil[[Abreviatura]:[2º Período]],4,FALSE)&gt;0,VLOOKUP(tblHorasSet[Dia],tblDiaUtil[[Abreviatura]:[2º Período]],4,FALSE),JORNADA_PERIODO_2),
IF(VLOOKUP(tblHorasSet[Dia],tblDiaUtil[[Abreviatura]:[2º Período]],4,FALSE)&gt;0,VLOOKUP(tblHorasSet[Dia],tblDiaUtil[[Abreviatura]:[2º Período]],4,FALSE),JORNADA/2)),
        IF(AND(ISNUMBER(tblHorasSet[Saída - 2]),ISNUMBER(tblHorasSet[Entrada - 2 (Almoço)])),
              IF(OR(AND(tblHorasSet[Evento 
(2º Período)]&lt;&gt;"",IF(ISERROR(VLOOKUP(tblHorasSet[Evento 
(2º Período)],tblEvento[],Tabelas!$E$1,FALSE)),FALSE,VLOOKUP(tblHorasSet[Evento 
(2º Período)],tblEvento[],Tabelas!$E$1,FALSE)="Sim")),IF(VLOOKUP(TEXT(tblHorasSet[Data],"dddd"),tblDiaUtil[],2,FALSE)="Não",TRUE,FALSE)),
                   tblHorasSet[Saída - 2]-tblHorasSet[Entrada - 2 (Almoço)],
                   IF(OR(HOUR(tblHorasSet[Saída - 2]-tblHorasSet[Entrada - 2 (Almoço)])&gt;0,MINUTE(tblHorasSet[Saída - 2]-tblHorasSet[Entrada - 2 (Almoço)])&gt;CARENCIA),
                         tblHorasSet[Saída - 2]-tblHorasSet[Entrada - 2 (Almoço)],
                         0)),
       0)),0)</f>
        <v>0</v>
      </c>
      <c r="L29" s="4">
        <f>tblHorasSet[Horas Trabalhadas (1º Período)]+tblHorasSet[Horas Trabalhadas (2º Período)]</f>
        <v>0</v>
      </c>
      <c r="M29" s="4" t="str">
        <f>IF(tblHorasSet[Data]&lt;&gt;"",
        IF(
AND(VLOOKUP(TEXT(tblHorasSet[Data],"dddd"),tblDiaUtil[],3,FALSE)="Sim",IF(tblHorasSet[Evento 
(1º Período)]&lt;&gt;"",IF(VLOOKUP(tblHorasSet[Evento 
(1º Período)],tblEvento[],Tabelas!$E$1,FALSE)="Sim",FALSE,TRUE),TRUE),IF(tblHorasSet[Evento 
(2º Período)]&lt;&gt;"",IF(VLOOKUP(tblHorasSet[Evento 
(2º Período)],tblEvento[],Tabelas!$E$1,FALSE)="Sim",FALSE,TRUE),TRUE)),
              IF(VLOOKUP(tblHorasSet[Dia],tblDiaUtil[[Abreviatura]:[1º Período]],3,FALSE)&gt;0,VLOOKUP(tblHorasSet[Dia],tblDiaUtil[[Abreviatura]:[1º Período]],3,FALSE),JORNADA),
              ""),
         "")</f>
        <v/>
      </c>
      <c r="N29" s="14">
        <f>IF(OR(tblHorasSet[Horas Trabalhadas (1º Período)]&lt;&gt;0,tblHorasSet[Horas Trabalhadas (2º Período)]&lt;&gt;0),
        IF(ISNUMBER(tblHorasSet[Jornada Diária]),
              IF(tblHorasSet[Jornada Diária]&gt;(tblHorasSet[Horas Trabalhadas (2º Período)]+tblHorasSet[Horas Trabalhadas (1º Período)]),
                     IF(ROUND((tblHorasSet[Jornada Diária]-(tblHorasSet[Horas Trabalhadas (2º Período)]+tblHorasSet[Horas Trabalhadas (1º Período)])),6)&gt;ROUND(CARENCIA,6),
                           -tblHorasSet[Jornada Diária]+(tblHorasSet[Horas Trabalhadas (2º Período)]+tblHorasSet[Horas Trabalhadas (1º Período)]),
                           0),
                      IF(ROUND((tblHorasSet[Jornada Diária]-(tblHorasSet[Horas Trabalhadas (2º Período)]+tblHorasSet[Horas Trabalhadas (1º Período)])),6)&lt;ROUND(-CARENCIA,6),
                           -tblHorasSet[Jornada Diária]+(tblHorasSet[Horas Trabalhadas (2º Período)]+tblHorasSet[Horas Trabalhadas (1º Período)]),
                           0)),
              tblHorasSet[Horas Trabalhadas (2º Período)]+tblHorasSet[Horas Trabalhadas (1º Período)]),
         IF(AND(IF(ISERROR(VLOOKUP(tblHorasSet[Evento 
(1º Período)],tblEvento[[Evento]:[Libera o Período]],4,FALSE)),FALSE,IF(VLOOKUP(tblHorasSet[Evento 
(1º Período)],tblEvento[[Evento]:[Libera o Período]],4,FALSE)="Não",TRUE,FALSE)),IF(ISERROR(VLOOKUP(tblHorasSet[Evento 
(2º Período)],tblEvento[[Evento]:[Libera o Período]],4,FALSE)),FALSE,IF(VLOOKUP(tblHorasSet[Evento 
(2º Período)],tblEvento[[Evento]:[Libera o Período]],4,FALSE)="Não",TRUE,FALSE))),
-IF(VLOOKUP(tblHorasSet[Dia],tblDiaUtil[[Abreviatura]:[Total Jornada]],5,FALSE)&lt;&gt;"",VLOOKUP(tblHorasSet[Dia],tblDiaUtil[[Abreviatura]:[Total Jornada]],5,FALSE),JORNADA),
IF(IF(ISERROR(VLOOKUP(tblHorasSet[Evento 
(1º Período)],tblEvento[[Evento]:[Libera o Período]],4,FALSE)),FALSE,
IF(VLOOKUP(tblHorasSet[Evento 
(1º Período)],tblEvento[[Evento]:[Libera o Período]],4,FALSE)="Não",TRUE,FALSE)
),
-IF(VLOOKUP(tblHorasSet[Dia],tblDiaUtil[[Abreviatura]:[1º Período]],3,FALSE)&lt;&gt;"",VLOOKUP(tblHorasSet[Dia],tblDiaUtil[[Abreviatura]:[1º Período]],3,FALSE),JORNADA_PERIODO_1),
IF(IF(ISERROR(VLOOKUP(tblHorasSet[Evento 
(2º Período)],tblEvento[[Evento]:[Libera o Período]],4,FALSE)),FALSE,IF(VLOOKUP(tblHorasSet[Evento 
(2º Período)],tblEvento[[Evento]:[Libera o Período]],4,FALSE)="Não",TRUE,FALSE)),
-IF(VLOOKUP(tblHorasSet[Dia],tblDiaUtil[[Abreviatura]:[2º Período]],4,FALSE)&lt;&gt;"",VLOOKUP(tblHorasSet[Dia],tblDiaUtil[[Abreviatura]:[2º Período]],4,FALSE),JORNADA_PERIODO_2),0))))</f>
        <v>0</v>
      </c>
      <c r="O29" s="14">
        <f>IF(tblHorasSet[Horas Trabalhadas Além Jornada]&gt;0,
        IF(ISNUMBER(tblHorasSet[Jornada Diária]),
              IF(HOUR(tblHorasSet[Horas Trabalhadas Além Jornada])&gt;=VLOOKUP(LIMITE,tblLimiteHora[],Tabelas!$I$1,FALSE),
                    VLOOKUP(LIMITE,tblLimiteHora[],Tabelas!$J$1,FALSE),
                    tblHorasSet[Horas Trabalhadas Além Jornada]),
              tblHorasSet[Horas Trabalhadas Além Jornada]),
        tblHorasSet[Horas Trabalhadas Além Jornada])+O28</f>
        <v>0</v>
      </c>
      <c r="P29" s="14" t="str">
        <f>IF(tblHorasSet[Horas Trabalhadas Além Jornada]&lt;0,IF(OR(tblHorasSet[Evento 
(1º Período)]="",tblHorasSet[Evento 
(2º Período)]=""),tblHorasSet[Horas Trabalhadas Além Jornada],""),"")</f>
        <v/>
      </c>
      <c r="Q29" s="14" t="str">
        <f>IF(tblHorasSet[Jornada Diária]&lt;&gt;"",IF((N(tblHorasSet[Jornada Diária])-ABS(N(tblHorasSet[Horas Trabalhadas Além Jornada])))=0,1,""),"")</f>
        <v/>
      </c>
      <c r="R29" s="14" t="str">
        <f>IF(tblHorasSet[Horas Trabalhadas Além Jornada]&gt;0,
IF(AND(VLOOKUP(TEXT(tblHorasSet[Data],"dddd"),tblDiaUtil[],3,FALSE)="Sim",IF(tblHorasSet[Evento 
(1º Período)]&lt;&gt;"",IF(VLOOKUP(tblHorasSet[Evento 
(1º Período)],tblEvento[],Tabelas!$E$1,FALSE)="Sim",FALSE,TRUE),TRUE),IF(tblHorasSet[Evento 
(2º Período)]&lt;&gt;"",IF(VLOOKUP(tblHorasSet[Evento 
(2º Período)],tblEvento[],Tabelas!$E$1,FALSE)="Sim",FALSE,TRUE),TRUE)),
tblHorasSet[Horas Trabalhadas Além Jornada],""),"")</f>
        <v/>
      </c>
      <c r="S29" s="14" t="str">
        <f>IF(tblHorasSet[Horas Trabalhadas Além Jornada]&gt;0,
IF(OR(VLOOKUP(TEXT(tblHorasSet[Data],"dddd"),tblDiaUtil[],3,FALSE)="Não",IF(tblHorasSet[Evento 
(1º Período)]&lt;&gt;"",IF(VLOOKUP(tblHorasSet[Evento 
(1º Período)],tblEvento[],Tabelas!$E$1,FALSE)="Sim",TRUE,FALSE),FALSE),IF(tblHorasSet[Evento 
(2º Período)]&lt;&gt;"",IF(VLOOKUP(tblHorasSet[Evento 
(2º Período)],tblEvento[],Tabelas!$E$1,FALSE)="Sim",TRUE,FALSE),FALSE)),
tblHorasSet[Horas Trabalhadas Além Jornada],""),"")</f>
        <v/>
      </c>
      <c r="T29" s="15" t="str">
        <f>IF(tblHorasSet[Evento 
(1º Período)]&lt;&gt;""," - " &amp;VLOOKUP(tblHorasSet[Evento 
(1º Período)],tblEvento[],Tabelas!$F$1,FALSE),"")&amp;IF(AND(tblHorasSet[Evento 
(2º Período)]&lt;&gt;"",tblHorasSet[Evento 
(2º Período)]&lt;&gt;tblHorasSet[Evento 
(1º Período)])," - " &amp; VLOOKUP(tblHorasSet[Evento 
(2º Período)],tblEvento[],Tabelas!$F$1,FALSE),"")</f>
        <v/>
      </c>
    </row>
    <row r="30" spans="2:20" x14ac:dyDescent="0.25">
      <c r="B30" s="11" t="str">
        <f t="shared" si="0"/>
        <v/>
      </c>
      <c r="C30" s="12" t="str">
        <f>TEXT(tblHorasSet[Data],"ddd")</f>
        <v/>
      </c>
      <c r="D30" s="25"/>
      <c r="E30" s="1"/>
      <c r="F30" s="1"/>
      <c r="G30" s="1"/>
      <c r="H30" s="1"/>
      <c r="I30" s="53"/>
      <c r="J30" s="4">
        <f>IF($B$6&lt;&gt;"",
IF(AND(tblHorasSet[Evento 
(1º Período)]&lt;&gt;"",IF(ISERROR(VLOOKUP(tblHorasSet[Evento 
(1º Período)],tblEvento[],Tabelas!$D$1,FALSE)),FALSE,VLOOKUP(tblHorasSet[Evento 
(1º Período)],tblEvento[],Tabelas!$D$1,FALSE)="Sim")),
        IF(JORNADA_PERIODO_1&lt;&gt;"",
IF(VLOOKUP(tblHorasSet[Dia],tblDiaUtil[[Abreviatura]:[1º Período]],3,FALSE)&gt;0,VLOOKUP(tblHorasSet[Dia],tblDiaUtil[[Abreviatura]:[1º Período]],3,FALSE),JORNADA_PERIODO_1),
IF(VLOOKUP(tblHorasSet[Dia],tblDiaUtil[[Abreviatura]:[1º Período]],3,FALSE)&gt;0,VLOOKUP(tblHorasSet[Dia],tblDiaUtil[[Abreviatura]:[1º Período]],3,FALSE),JORNADA/2)),
        IF(AND(ISNUMBER(tblHorasSet[Saída - 1 (Almoço)]),ISNUMBER(tblHorasSet[Entrada - 1])),
              IF(OR(AND(tblHorasSet[Evento 
(1º Período)]&lt;&gt;"",IF(ISERROR(VLOOKUP(tblHorasSet[Evento 
(1º Período)],tblEvento[],Tabelas!$E$1,FALSE)),FALSE,VLOOKUP(tblHorasSet[Evento 
(1º Período)],tblEvento[],Tabelas!$E$1,FALSE)="Sim")),IF(VLOOKUP(TEXT(tblHorasSet[Data],"dddd"),tblDiaUtil[],2,FALSE)="Não",TRUE,FALSE)),
                   tblHorasSet[Saída - 1 (Almoço)]-tblHorasSet[Entrada - 1],
                   IF(OR(HOUR(tblHorasSet[Saída - 1 (Almoço)]-tblHorasSet[Entrada - 1])&gt;0,ROUND(tblHorasSet[Saída - 1 (Almoço)]-tblHorasSet[Entrada - 1],6)&gt;ROUND(CARENCIA,6)),
                          tblHorasSet[Saída - 1 (Almoço)]-tblHorasSet[Entrada - 1],
                          0)),
                    0)),0)</f>
        <v>0</v>
      </c>
      <c r="K30" s="4">
        <f>IF($B$6&lt;&gt;"",
IF(AND(tblHorasSet[Evento 
(2º Período)]&lt;&gt;"",IF(ISERROR(VLOOKUP(tblHorasSet[Evento 
(2º Período)],tblEvento[],Tabelas!$D$1,FALSE)),FALSE,VLOOKUP(tblHorasSet[Evento 
(2º Período)],tblEvento[],Tabelas!$D$1,FALSE)="Sim")),
        IF(JORNADA_PERIODO_2&lt;&gt;"",
IF(VLOOKUP(tblHorasSet[Dia],tblDiaUtil[[Abreviatura]:[2º Período]],4,FALSE)&gt;0,VLOOKUP(tblHorasSet[Dia],tblDiaUtil[[Abreviatura]:[2º Período]],4,FALSE),JORNADA_PERIODO_2),
IF(VLOOKUP(tblHorasSet[Dia],tblDiaUtil[[Abreviatura]:[2º Período]],4,FALSE)&gt;0,VLOOKUP(tblHorasSet[Dia],tblDiaUtil[[Abreviatura]:[2º Período]],4,FALSE),JORNADA/2)),
        IF(AND(ISNUMBER(tblHorasSet[Saída - 2]),ISNUMBER(tblHorasSet[Entrada - 2 (Almoço)])),
              IF(OR(AND(tblHorasSet[Evento 
(2º Período)]&lt;&gt;"",IF(ISERROR(VLOOKUP(tblHorasSet[Evento 
(2º Período)],tblEvento[],Tabelas!$E$1,FALSE)),FALSE,VLOOKUP(tblHorasSet[Evento 
(2º Período)],tblEvento[],Tabelas!$E$1,FALSE)="Sim")),IF(VLOOKUP(TEXT(tblHorasSet[Data],"dddd"),tblDiaUtil[],2,FALSE)="Não",TRUE,FALSE)),
                   tblHorasSet[Saída - 2]-tblHorasSet[Entrada - 2 (Almoço)],
                   IF(OR(HOUR(tblHorasSet[Saída - 2]-tblHorasSet[Entrada - 2 (Almoço)])&gt;0,MINUTE(tblHorasSet[Saída - 2]-tblHorasSet[Entrada - 2 (Almoço)])&gt;CARENCIA),
                         tblHorasSet[Saída - 2]-tblHorasSet[Entrada - 2 (Almoço)],
                         0)),
       0)),0)</f>
        <v>0</v>
      </c>
      <c r="L30" s="4">
        <f>tblHorasSet[Horas Trabalhadas (1º Período)]+tblHorasSet[Horas Trabalhadas (2º Período)]</f>
        <v>0</v>
      </c>
      <c r="M30" s="4" t="str">
        <f>IF(tblHorasSet[Data]&lt;&gt;"",
        IF(
AND(VLOOKUP(TEXT(tblHorasSet[Data],"dddd"),tblDiaUtil[],3,FALSE)="Sim",IF(tblHorasSet[Evento 
(1º Período)]&lt;&gt;"",IF(VLOOKUP(tblHorasSet[Evento 
(1º Período)],tblEvento[],Tabelas!$E$1,FALSE)="Sim",FALSE,TRUE),TRUE),IF(tblHorasSet[Evento 
(2º Período)]&lt;&gt;"",IF(VLOOKUP(tblHorasSet[Evento 
(2º Período)],tblEvento[],Tabelas!$E$1,FALSE)="Sim",FALSE,TRUE),TRUE)),
              IF(VLOOKUP(tblHorasSet[Dia],tblDiaUtil[[Abreviatura]:[1º Período]],3,FALSE)&gt;0,VLOOKUP(tblHorasSet[Dia],tblDiaUtil[[Abreviatura]:[1º Período]],3,FALSE),JORNADA),
              ""),
         "")</f>
        <v/>
      </c>
      <c r="N30" s="14">
        <f>IF(OR(tblHorasSet[Horas Trabalhadas (1º Período)]&lt;&gt;0,tblHorasSet[Horas Trabalhadas (2º Período)]&lt;&gt;0),
        IF(ISNUMBER(tblHorasSet[Jornada Diária]),
              IF(tblHorasSet[Jornada Diária]&gt;(tblHorasSet[Horas Trabalhadas (2º Período)]+tblHorasSet[Horas Trabalhadas (1º Período)]),
                     IF(ROUND((tblHorasSet[Jornada Diária]-(tblHorasSet[Horas Trabalhadas (2º Período)]+tblHorasSet[Horas Trabalhadas (1º Período)])),6)&gt;ROUND(CARENCIA,6),
                           -tblHorasSet[Jornada Diária]+(tblHorasSet[Horas Trabalhadas (2º Período)]+tblHorasSet[Horas Trabalhadas (1º Período)]),
                           0),
                      IF(ROUND((tblHorasSet[Jornada Diária]-(tblHorasSet[Horas Trabalhadas (2º Período)]+tblHorasSet[Horas Trabalhadas (1º Período)])),6)&lt;ROUND(-CARENCIA,6),
                           -tblHorasSet[Jornada Diária]+(tblHorasSet[Horas Trabalhadas (2º Período)]+tblHorasSet[Horas Trabalhadas (1º Período)]),
                           0)),
              tblHorasSet[Horas Trabalhadas (2º Período)]+tblHorasSet[Horas Trabalhadas (1º Período)]),
         IF(AND(IF(ISERROR(VLOOKUP(tblHorasSet[Evento 
(1º Período)],tblEvento[[Evento]:[Libera o Período]],4,FALSE)),FALSE,IF(VLOOKUP(tblHorasSet[Evento 
(1º Período)],tblEvento[[Evento]:[Libera o Período]],4,FALSE)="Não",TRUE,FALSE)),IF(ISERROR(VLOOKUP(tblHorasSet[Evento 
(2º Período)],tblEvento[[Evento]:[Libera o Período]],4,FALSE)),FALSE,IF(VLOOKUP(tblHorasSet[Evento 
(2º Período)],tblEvento[[Evento]:[Libera o Período]],4,FALSE)="Não",TRUE,FALSE))),
-IF(VLOOKUP(tblHorasSet[Dia],tblDiaUtil[[Abreviatura]:[Total Jornada]],5,FALSE)&lt;&gt;"",VLOOKUP(tblHorasSet[Dia],tblDiaUtil[[Abreviatura]:[Total Jornada]],5,FALSE),JORNADA),
IF(IF(ISERROR(VLOOKUP(tblHorasSet[Evento 
(1º Período)],tblEvento[[Evento]:[Libera o Período]],4,FALSE)),FALSE,
IF(VLOOKUP(tblHorasSet[Evento 
(1º Período)],tblEvento[[Evento]:[Libera o Período]],4,FALSE)="Não",TRUE,FALSE)
),
-IF(VLOOKUP(tblHorasSet[Dia],tblDiaUtil[[Abreviatura]:[1º Período]],3,FALSE)&lt;&gt;"",VLOOKUP(tblHorasSet[Dia],tblDiaUtil[[Abreviatura]:[1º Período]],3,FALSE),JORNADA_PERIODO_1),
IF(IF(ISERROR(VLOOKUP(tblHorasSet[Evento 
(2º Período)],tblEvento[[Evento]:[Libera o Período]],4,FALSE)),FALSE,IF(VLOOKUP(tblHorasSet[Evento 
(2º Período)],tblEvento[[Evento]:[Libera o Período]],4,FALSE)="Não",TRUE,FALSE)),
-IF(VLOOKUP(tblHorasSet[Dia],tblDiaUtil[[Abreviatura]:[2º Período]],4,FALSE)&lt;&gt;"",VLOOKUP(tblHorasSet[Dia],tblDiaUtil[[Abreviatura]:[2º Período]],4,FALSE),JORNADA_PERIODO_2),0))))</f>
        <v>0</v>
      </c>
      <c r="O30" s="14">
        <f>IF(tblHorasSet[Horas Trabalhadas Além Jornada]&gt;0,
        IF(ISNUMBER(tblHorasSet[Jornada Diária]),
              IF(HOUR(tblHorasSet[Horas Trabalhadas Além Jornada])&gt;=VLOOKUP(LIMITE,tblLimiteHora[],Tabelas!$I$1,FALSE),
                    VLOOKUP(LIMITE,tblLimiteHora[],Tabelas!$J$1,FALSE),
                    tblHorasSet[Horas Trabalhadas Além Jornada]),
              tblHorasSet[Horas Trabalhadas Além Jornada]),
        tblHorasSet[Horas Trabalhadas Além Jornada])+O29</f>
        <v>0</v>
      </c>
      <c r="P30" s="14" t="str">
        <f>IF(tblHorasSet[Horas Trabalhadas Além Jornada]&lt;0,IF(OR(tblHorasSet[Evento 
(1º Período)]="",tblHorasSet[Evento 
(2º Período)]=""),tblHorasSet[Horas Trabalhadas Além Jornada],""),"")</f>
        <v/>
      </c>
      <c r="Q30" s="14" t="str">
        <f>IF(tblHorasSet[Jornada Diária]&lt;&gt;"",IF((N(tblHorasSet[Jornada Diária])-ABS(N(tblHorasSet[Horas Trabalhadas Além Jornada])))=0,1,""),"")</f>
        <v/>
      </c>
      <c r="R30" s="14" t="str">
        <f>IF(tblHorasSet[Horas Trabalhadas Além Jornada]&gt;0,
IF(AND(VLOOKUP(TEXT(tblHorasSet[Data],"dddd"),tblDiaUtil[],3,FALSE)="Sim",IF(tblHorasSet[Evento 
(1º Período)]&lt;&gt;"",IF(VLOOKUP(tblHorasSet[Evento 
(1º Período)],tblEvento[],Tabelas!$E$1,FALSE)="Sim",FALSE,TRUE),TRUE),IF(tblHorasSet[Evento 
(2º Período)]&lt;&gt;"",IF(VLOOKUP(tblHorasSet[Evento 
(2º Período)],tblEvento[],Tabelas!$E$1,FALSE)="Sim",FALSE,TRUE),TRUE)),
tblHorasSet[Horas Trabalhadas Além Jornada],""),"")</f>
        <v/>
      </c>
      <c r="S30" s="14" t="str">
        <f>IF(tblHorasSet[Horas Trabalhadas Além Jornada]&gt;0,
IF(OR(VLOOKUP(TEXT(tblHorasSet[Data],"dddd"),tblDiaUtil[],3,FALSE)="Não",IF(tblHorasSet[Evento 
(1º Período)]&lt;&gt;"",IF(VLOOKUP(tblHorasSet[Evento 
(1º Período)],tblEvento[],Tabelas!$E$1,FALSE)="Sim",TRUE,FALSE),FALSE),IF(tblHorasSet[Evento 
(2º Período)]&lt;&gt;"",IF(VLOOKUP(tblHorasSet[Evento 
(2º Período)],tblEvento[],Tabelas!$E$1,FALSE)="Sim",TRUE,FALSE),FALSE)),
tblHorasSet[Horas Trabalhadas Além Jornada],""),"")</f>
        <v/>
      </c>
      <c r="T30" s="15" t="str">
        <f>IF(tblHorasSet[Evento 
(1º Período)]&lt;&gt;""," - " &amp;VLOOKUP(tblHorasSet[Evento 
(1º Período)],tblEvento[],Tabelas!$F$1,FALSE),"")&amp;IF(AND(tblHorasSet[Evento 
(2º Período)]&lt;&gt;"",tblHorasSet[Evento 
(2º Período)]&lt;&gt;tblHorasSet[Evento 
(1º Período)])," - " &amp; VLOOKUP(tblHorasSet[Evento 
(2º Período)],tblEvento[],Tabelas!$F$1,FALSE),"")</f>
        <v/>
      </c>
    </row>
    <row r="31" spans="2:20" x14ac:dyDescent="0.25">
      <c r="B31" s="11" t="str">
        <f t="shared" si="0"/>
        <v/>
      </c>
      <c r="C31" s="12" t="str">
        <f>TEXT(tblHorasSet[Data],"ddd")</f>
        <v/>
      </c>
      <c r="D31" s="25"/>
      <c r="E31" s="1"/>
      <c r="F31" s="1"/>
      <c r="G31" s="1"/>
      <c r="H31" s="1"/>
      <c r="I31" s="53"/>
      <c r="J31" s="4">
        <f>IF($B$6&lt;&gt;"",
IF(AND(tblHorasSet[Evento 
(1º Período)]&lt;&gt;"",IF(ISERROR(VLOOKUP(tblHorasSet[Evento 
(1º Período)],tblEvento[],Tabelas!$D$1,FALSE)),FALSE,VLOOKUP(tblHorasSet[Evento 
(1º Período)],tblEvento[],Tabelas!$D$1,FALSE)="Sim")),
        IF(JORNADA_PERIODO_1&lt;&gt;"",
IF(VLOOKUP(tblHorasSet[Dia],tblDiaUtil[[Abreviatura]:[1º Período]],3,FALSE)&gt;0,VLOOKUP(tblHorasSet[Dia],tblDiaUtil[[Abreviatura]:[1º Período]],3,FALSE),JORNADA_PERIODO_1),
IF(VLOOKUP(tblHorasSet[Dia],tblDiaUtil[[Abreviatura]:[1º Período]],3,FALSE)&gt;0,VLOOKUP(tblHorasSet[Dia],tblDiaUtil[[Abreviatura]:[1º Período]],3,FALSE),JORNADA/2)),
        IF(AND(ISNUMBER(tblHorasSet[Saída - 1 (Almoço)]),ISNUMBER(tblHorasSet[Entrada - 1])),
              IF(OR(AND(tblHorasSet[Evento 
(1º Período)]&lt;&gt;"",IF(ISERROR(VLOOKUP(tblHorasSet[Evento 
(1º Período)],tblEvento[],Tabelas!$E$1,FALSE)),FALSE,VLOOKUP(tblHorasSet[Evento 
(1º Período)],tblEvento[],Tabelas!$E$1,FALSE)="Sim")),IF(VLOOKUP(TEXT(tblHorasSet[Data],"dddd"),tblDiaUtil[],2,FALSE)="Não",TRUE,FALSE)),
                   tblHorasSet[Saída - 1 (Almoço)]-tblHorasSet[Entrada - 1],
                   IF(OR(HOUR(tblHorasSet[Saída - 1 (Almoço)]-tblHorasSet[Entrada - 1])&gt;0,ROUND(tblHorasSet[Saída - 1 (Almoço)]-tblHorasSet[Entrada - 1],6)&gt;ROUND(CARENCIA,6)),
                          tblHorasSet[Saída - 1 (Almoço)]-tblHorasSet[Entrada - 1],
                          0)),
                    0)),0)</f>
        <v>0</v>
      </c>
      <c r="K31" s="4">
        <f>IF($B$6&lt;&gt;"",
IF(AND(tblHorasSet[Evento 
(2º Período)]&lt;&gt;"",IF(ISERROR(VLOOKUP(tblHorasSet[Evento 
(2º Período)],tblEvento[],Tabelas!$D$1,FALSE)),FALSE,VLOOKUP(tblHorasSet[Evento 
(2º Período)],tblEvento[],Tabelas!$D$1,FALSE)="Sim")),
        IF(JORNADA_PERIODO_2&lt;&gt;"",
IF(VLOOKUP(tblHorasSet[Dia],tblDiaUtil[[Abreviatura]:[2º Período]],4,FALSE)&gt;0,VLOOKUP(tblHorasSet[Dia],tblDiaUtil[[Abreviatura]:[2º Período]],4,FALSE),JORNADA_PERIODO_2),
IF(VLOOKUP(tblHorasSet[Dia],tblDiaUtil[[Abreviatura]:[2º Período]],4,FALSE)&gt;0,VLOOKUP(tblHorasSet[Dia],tblDiaUtil[[Abreviatura]:[2º Período]],4,FALSE),JORNADA/2)),
        IF(AND(ISNUMBER(tblHorasSet[Saída - 2]),ISNUMBER(tblHorasSet[Entrada - 2 (Almoço)])),
              IF(OR(AND(tblHorasSet[Evento 
(2º Período)]&lt;&gt;"",IF(ISERROR(VLOOKUP(tblHorasSet[Evento 
(2º Período)],tblEvento[],Tabelas!$E$1,FALSE)),FALSE,VLOOKUP(tblHorasSet[Evento 
(2º Período)],tblEvento[],Tabelas!$E$1,FALSE)="Sim")),IF(VLOOKUP(TEXT(tblHorasSet[Data],"dddd"),tblDiaUtil[],2,FALSE)="Não",TRUE,FALSE)),
                   tblHorasSet[Saída - 2]-tblHorasSet[Entrada - 2 (Almoço)],
                   IF(OR(HOUR(tblHorasSet[Saída - 2]-tblHorasSet[Entrada - 2 (Almoço)])&gt;0,MINUTE(tblHorasSet[Saída - 2]-tblHorasSet[Entrada - 2 (Almoço)])&gt;CARENCIA),
                         tblHorasSet[Saída - 2]-tblHorasSet[Entrada - 2 (Almoço)],
                         0)),
       0)),0)</f>
        <v>0</v>
      </c>
      <c r="L31" s="4">
        <f>tblHorasSet[Horas Trabalhadas (1º Período)]+tblHorasSet[Horas Trabalhadas (2º Período)]</f>
        <v>0</v>
      </c>
      <c r="M31" s="4" t="str">
        <f>IF(tblHorasSet[Data]&lt;&gt;"",
        IF(
AND(VLOOKUP(TEXT(tblHorasSet[Data],"dddd"),tblDiaUtil[],3,FALSE)="Sim",IF(tblHorasSet[Evento 
(1º Período)]&lt;&gt;"",IF(VLOOKUP(tblHorasSet[Evento 
(1º Período)],tblEvento[],Tabelas!$E$1,FALSE)="Sim",FALSE,TRUE),TRUE),IF(tblHorasSet[Evento 
(2º Período)]&lt;&gt;"",IF(VLOOKUP(tblHorasSet[Evento 
(2º Período)],tblEvento[],Tabelas!$E$1,FALSE)="Sim",FALSE,TRUE),TRUE)),
              IF(VLOOKUP(tblHorasSet[Dia],tblDiaUtil[[Abreviatura]:[1º Período]],3,FALSE)&gt;0,VLOOKUP(tblHorasSet[Dia],tblDiaUtil[[Abreviatura]:[1º Período]],3,FALSE),JORNADA),
              ""),
         "")</f>
        <v/>
      </c>
      <c r="N31" s="14">
        <f>IF(OR(tblHorasSet[Horas Trabalhadas (1º Período)]&lt;&gt;0,tblHorasSet[Horas Trabalhadas (2º Período)]&lt;&gt;0),
        IF(ISNUMBER(tblHorasSet[Jornada Diária]),
              IF(tblHorasSet[Jornada Diária]&gt;(tblHorasSet[Horas Trabalhadas (2º Período)]+tblHorasSet[Horas Trabalhadas (1º Período)]),
                     IF(ROUND((tblHorasSet[Jornada Diária]-(tblHorasSet[Horas Trabalhadas (2º Período)]+tblHorasSet[Horas Trabalhadas (1º Período)])),6)&gt;ROUND(CARENCIA,6),
                           -tblHorasSet[Jornada Diária]+(tblHorasSet[Horas Trabalhadas (2º Período)]+tblHorasSet[Horas Trabalhadas (1º Período)]),
                           0),
                      IF(ROUND((tblHorasSet[Jornada Diária]-(tblHorasSet[Horas Trabalhadas (2º Período)]+tblHorasSet[Horas Trabalhadas (1º Período)])),6)&lt;ROUND(-CARENCIA,6),
                           -tblHorasSet[Jornada Diária]+(tblHorasSet[Horas Trabalhadas (2º Período)]+tblHorasSet[Horas Trabalhadas (1º Período)]),
                           0)),
              tblHorasSet[Horas Trabalhadas (2º Período)]+tblHorasSet[Horas Trabalhadas (1º Período)]),
         IF(AND(IF(ISERROR(VLOOKUP(tblHorasSet[Evento 
(1º Período)],tblEvento[[Evento]:[Libera o Período]],4,FALSE)),FALSE,IF(VLOOKUP(tblHorasSet[Evento 
(1º Período)],tblEvento[[Evento]:[Libera o Período]],4,FALSE)="Não",TRUE,FALSE)),IF(ISERROR(VLOOKUP(tblHorasSet[Evento 
(2º Período)],tblEvento[[Evento]:[Libera o Período]],4,FALSE)),FALSE,IF(VLOOKUP(tblHorasSet[Evento 
(2º Período)],tblEvento[[Evento]:[Libera o Período]],4,FALSE)="Não",TRUE,FALSE))),
-IF(VLOOKUP(tblHorasSet[Dia],tblDiaUtil[[Abreviatura]:[Total Jornada]],5,FALSE)&lt;&gt;"",VLOOKUP(tblHorasSet[Dia],tblDiaUtil[[Abreviatura]:[Total Jornada]],5,FALSE),JORNADA),
IF(IF(ISERROR(VLOOKUP(tblHorasSet[Evento 
(1º Período)],tblEvento[[Evento]:[Libera o Período]],4,FALSE)),FALSE,
IF(VLOOKUP(tblHorasSet[Evento 
(1º Período)],tblEvento[[Evento]:[Libera o Período]],4,FALSE)="Não",TRUE,FALSE)
),
-IF(VLOOKUP(tblHorasSet[Dia],tblDiaUtil[[Abreviatura]:[1º Período]],3,FALSE)&lt;&gt;"",VLOOKUP(tblHorasSet[Dia],tblDiaUtil[[Abreviatura]:[1º Período]],3,FALSE),JORNADA_PERIODO_1),
IF(IF(ISERROR(VLOOKUP(tblHorasSet[Evento 
(2º Período)],tblEvento[[Evento]:[Libera o Período]],4,FALSE)),FALSE,IF(VLOOKUP(tblHorasSet[Evento 
(2º Período)],tblEvento[[Evento]:[Libera o Período]],4,FALSE)="Não",TRUE,FALSE)),
-IF(VLOOKUP(tblHorasSet[Dia],tblDiaUtil[[Abreviatura]:[2º Período]],4,FALSE)&lt;&gt;"",VLOOKUP(tblHorasSet[Dia],tblDiaUtil[[Abreviatura]:[2º Período]],4,FALSE),JORNADA_PERIODO_2),0))))</f>
        <v>0</v>
      </c>
      <c r="O31" s="14">
        <f>IF(tblHorasSet[Horas Trabalhadas Além Jornada]&gt;0,
        IF(ISNUMBER(tblHorasSet[Jornada Diária]),
              IF(HOUR(tblHorasSet[Horas Trabalhadas Além Jornada])&gt;=VLOOKUP(LIMITE,tblLimiteHora[],Tabelas!$I$1,FALSE),
                    VLOOKUP(LIMITE,tblLimiteHora[],Tabelas!$J$1,FALSE),
                    tblHorasSet[Horas Trabalhadas Além Jornada]),
              tblHorasSet[Horas Trabalhadas Além Jornada]),
        tblHorasSet[Horas Trabalhadas Além Jornada])+O30</f>
        <v>0</v>
      </c>
      <c r="P31" s="14" t="str">
        <f>IF(tblHorasSet[Horas Trabalhadas Além Jornada]&lt;0,IF(OR(tblHorasSet[Evento 
(1º Período)]="",tblHorasSet[Evento 
(2º Período)]=""),tblHorasSet[Horas Trabalhadas Além Jornada],""),"")</f>
        <v/>
      </c>
      <c r="Q31" s="14" t="str">
        <f>IF(tblHorasSet[Jornada Diária]&lt;&gt;"",IF((N(tblHorasSet[Jornada Diária])-ABS(N(tblHorasSet[Horas Trabalhadas Além Jornada])))=0,1,""),"")</f>
        <v/>
      </c>
      <c r="R31" s="14" t="str">
        <f>IF(tblHorasSet[Horas Trabalhadas Além Jornada]&gt;0,
IF(AND(VLOOKUP(TEXT(tblHorasSet[Data],"dddd"),tblDiaUtil[],3,FALSE)="Sim",IF(tblHorasSet[Evento 
(1º Período)]&lt;&gt;"",IF(VLOOKUP(tblHorasSet[Evento 
(1º Período)],tblEvento[],Tabelas!$E$1,FALSE)="Sim",FALSE,TRUE),TRUE),IF(tblHorasSet[Evento 
(2º Período)]&lt;&gt;"",IF(VLOOKUP(tblHorasSet[Evento 
(2º Período)],tblEvento[],Tabelas!$E$1,FALSE)="Sim",FALSE,TRUE),TRUE)),
tblHorasSet[Horas Trabalhadas Além Jornada],""),"")</f>
        <v/>
      </c>
      <c r="S31" s="14" t="str">
        <f>IF(tblHorasSet[Horas Trabalhadas Além Jornada]&gt;0,
IF(OR(VLOOKUP(TEXT(tblHorasSet[Data],"dddd"),tblDiaUtil[],3,FALSE)="Não",IF(tblHorasSet[Evento 
(1º Período)]&lt;&gt;"",IF(VLOOKUP(tblHorasSet[Evento 
(1º Período)],tblEvento[],Tabelas!$E$1,FALSE)="Sim",TRUE,FALSE),FALSE),IF(tblHorasSet[Evento 
(2º Período)]&lt;&gt;"",IF(VLOOKUP(tblHorasSet[Evento 
(2º Período)],tblEvento[],Tabelas!$E$1,FALSE)="Sim",TRUE,FALSE),FALSE)),
tblHorasSet[Horas Trabalhadas Além Jornada],""),"")</f>
        <v/>
      </c>
      <c r="T31" s="15" t="str">
        <f>IF(tblHorasSet[Evento 
(1º Período)]&lt;&gt;""," - " &amp;VLOOKUP(tblHorasSet[Evento 
(1º Período)],tblEvento[],Tabelas!$F$1,FALSE),"")&amp;IF(AND(tblHorasSet[Evento 
(2º Período)]&lt;&gt;"",tblHorasSet[Evento 
(2º Período)]&lt;&gt;tblHorasSet[Evento 
(1º Período)])," - " &amp; VLOOKUP(tblHorasSet[Evento 
(2º Período)],tblEvento[],Tabelas!$F$1,FALSE),"")</f>
        <v/>
      </c>
    </row>
    <row r="32" spans="2:20" x14ac:dyDescent="0.25">
      <c r="B32" s="11" t="str">
        <f t="shared" si="0"/>
        <v/>
      </c>
      <c r="C32" s="12" t="str">
        <f>TEXT(tblHorasSet[Data],"ddd")</f>
        <v/>
      </c>
      <c r="D32" s="25"/>
      <c r="E32" s="1"/>
      <c r="F32" s="1"/>
      <c r="G32" s="1"/>
      <c r="H32" s="1"/>
      <c r="I32" s="53"/>
      <c r="J32" s="4">
        <f>IF($B$6&lt;&gt;"",
IF(AND(tblHorasSet[Evento 
(1º Período)]&lt;&gt;"",IF(ISERROR(VLOOKUP(tblHorasSet[Evento 
(1º Período)],tblEvento[],Tabelas!$D$1,FALSE)),FALSE,VLOOKUP(tblHorasSet[Evento 
(1º Período)],tblEvento[],Tabelas!$D$1,FALSE)="Sim")),
        IF(JORNADA_PERIODO_1&lt;&gt;"",
IF(VLOOKUP(tblHorasSet[Dia],tblDiaUtil[[Abreviatura]:[1º Período]],3,FALSE)&gt;0,VLOOKUP(tblHorasSet[Dia],tblDiaUtil[[Abreviatura]:[1º Período]],3,FALSE),JORNADA_PERIODO_1),
IF(VLOOKUP(tblHorasSet[Dia],tblDiaUtil[[Abreviatura]:[1º Período]],3,FALSE)&gt;0,VLOOKUP(tblHorasSet[Dia],tblDiaUtil[[Abreviatura]:[1º Período]],3,FALSE),JORNADA/2)),
        IF(AND(ISNUMBER(tblHorasSet[Saída - 1 (Almoço)]),ISNUMBER(tblHorasSet[Entrada - 1])),
              IF(OR(AND(tblHorasSet[Evento 
(1º Período)]&lt;&gt;"",IF(ISERROR(VLOOKUP(tblHorasSet[Evento 
(1º Período)],tblEvento[],Tabelas!$E$1,FALSE)),FALSE,VLOOKUP(tblHorasSet[Evento 
(1º Período)],tblEvento[],Tabelas!$E$1,FALSE)="Sim")),IF(VLOOKUP(TEXT(tblHorasSet[Data],"dddd"),tblDiaUtil[],2,FALSE)="Não",TRUE,FALSE)),
                   tblHorasSet[Saída - 1 (Almoço)]-tblHorasSet[Entrada - 1],
                   IF(OR(HOUR(tblHorasSet[Saída - 1 (Almoço)]-tblHorasSet[Entrada - 1])&gt;0,ROUND(tblHorasSet[Saída - 1 (Almoço)]-tblHorasSet[Entrada - 1],6)&gt;ROUND(CARENCIA,6)),
                          tblHorasSet[Saída - 1 (Almoço)]-tblHorasSet[Entrada - 1],
                          0)),
                    0)),0)</f>
        <v>0</v>
      </c>
      <c r="K32" s="4">
        <f>IF($B$6&lt;&gt;"",
IF(AND(tblHorasSet[Evento 
(2º Período)]&lt;&gt;"",IF(ISERROR(VLOOKUP(tblHorasSet[Evento 
(2º Período)],tblEvento[],Tabelas!$D$1,FALSE)),FALSE,VLOOKUP(tblHorasSet[Evento 
(2º Período)],tblEvento[],Tabelas!$D$1,FALSE)="Sim")),
        IF(JORNADA_PERIODO_2&lt;&gt;"",
IF(VLOOKUP(tblHorasSet[Dia],tblDiaUtil[[Abreviatura]:[2º Período]],4,FALSE)&gt;0,VLOOKUP(tblHorasSet[Dia],tblDiaUtil[[Abreviatura]:[2º Período]],4,FALSE),JORNADA_PERIODO_2),
IF(VLOOKUP(tblHorasSet[Dia],tblDiaUtil[[Abreviatura]:[2º Período]],4,FALSE)&gt;0,VLOOKUP(tblHorasSet[Dia],tblDiaUtil[[Abreviatura]:[2º Período]],4,FALSE),JORNADA/2)),
        IF(AND(ISNUMBER(tblHorasSet[Saída - 2]),ISNUMBER(tblHorasSet[Entrada - 2 (Almoço)])),
              IF(OR(AND(tblHorasSet[Evento 
(2º Período)]&lt;&gt;"",IF(ISERROR(VLOOKUP(tblHorasSet[Evento 
(2º Período)],tblEvento[],Tabelas!$E$1,FALSE)),FALSE,VLOOKUP(tblHorasSet[Evento 
(2º Período)],tblEvento[],Tabelas!$E$1,FALSE)="Sim")),IF(VLOOKUP(TEXT(tblHorasSet[Data],"dddd"),tblDiaUtil[],2,FALSE)="Não",TRUE,FALSE)),
                   tblHorasSet[Saída - 2]-tblHorasSet[Entrada - 2 (Almoço)],
                   IF(OR(HOUR(tblHorasSet[Saída - 2]-tblHorasSet[Entrada - 2 (Almoço)])&gt;0,MINUTE(tblHorasSet[Saída - 2]-tblHorasSet[Entrada - 2 (Almoço)])&gt;CARENCIA),
                         tblHorasSet[Saída - 2]-tblHorasSet[Entrada - 2 (Almoço)],
                         0)),
       0)),0)</f>
        <v>0</v>
      </c>
      <c r="L32" s="4">
        <f>tblHorasSet[Horas Trabalhadas (1º Período)]+tblHorasSet[Horas Trabalhadas (2º Período)]</f>
        <v>0</v>
      </c>
      <c r="M32" s="4" t="str">
        <f>IF(tblHorasSet[Data]&lt;&gt;"",
        IF(
AND(VLOOKUP(TEXT(tblHorasSet[Data],"dddd"),tblDiaUtil[],3,FALSE)="Sim",IF(tblHorasSet[Evento 
(1º Período)]&lt;&gt;"",IF(VLOOKUP(tblHorasSet[Evento 
(1º Período)],tblEvento[],Tabelas!$E$1,FALSE)="Sim",FALSE,TRUE),TRUE),IF(tblHorasSet[Evento 
(2º Período)]&lt;&gt;"",IF(VLOOKUP(tblHorasSet[Evento 
(2º Período)],tblEvento[],Tabelas!$E$1,FALSE)="Sim",FALSE,TRUE),TRUE)),
              IF(VLOOKUP(tblHorasSet[Dia],tblDiaUtil[[Abreviatura]:[1º Período]],3,FALSE)&gt;0,VLOOKUP(tblHorasSet[Dia],tblDiaUtil[[Abreviatura]:[1º Período]],3,FALSE),JORNADA),
              ""),
         "")</f>
        <v/>
      </c>
      <c r="N32" s="14">
        <f>IF(OR(tblHorasSet[Horas Trabalhadas (1º Período)]&lt;&gt;0,tblHorasSet[Horas Trabalhadas (2º Período)]&lt;&gt;0),
        IF(ISNUMBER(tblHorasSet[Jornada Diária]),
              IF(tblHorasSet[Jornada Diária]&gt;(tblHorasSet[Horas Trabalhadas (2º Período)]+tblHorasSet[Horas Trabalhadas (1º Período)]),
                     IF(ROUND((tblHorasSet[Jornada Diária]-(tblHorasSet[Horas Trabalhadas (2º Período)]+tblHorasSet[Horas Trabalhadas (1º Período)])),6)&gt;ROUND(CARENCIA,6),
                           -tblHorasSet[Jornada Diária]+(tblHorasSet[Horas Trabalhadas (2º Período)]+tblHorasSet[Horas Trabalhadas (1º Período)]),
                           0),
                      IF(ROUND((tblHorasSet[Jornada Diária]-(tblHorasSet[Horas Trabalhadas (2º Período)]+tblHorasSet[Horas Trabalhadas (1º Período)])),6)&lt;ROUND(-CARENCIA,6),
                           -tblHorasSet[Jornada Diária]+(tblHorasSet[Horas Trabalhadas (2º Período)]+tblHorasSet[Horas Trabalhadas (1º Período)]),
                           0)),
              tblHorasSet[Horas Trabalhadas (2º Período)]+tblHorasSet[Horas Trabalhadas (1º Período)]),
         IF(AND(IF(ISERROR(VLOOKUP(tblHorasSet[Evento 
(1º Período)],tblEvento[[Evento]:[Libera o Período]],4,FALSE)),FALSE,IF(VLOOKUP(tblHorasSet[Evento 
(1º Período)],tblEvento[[Evento]:[Libera o Período]],4,FALSE)="Não",TRUE,FALSE)),IF(ISERROR(VLOOKUP(tblHorasSet[Evento 
(2º Período)],tblEvento[[Evento]:[Libera o Período]],4,FALSE)),FALSE,IF(VLOOKUP(tblHorasSet[Evento 
(2º Período)],tblEvento[[Evento]:[Libera o Período]],4,FALSE)="Não",TRUE,FALSE))),
-IF(VLOOKUP(tblHorasSet[Dia],tblDiaUtil[[Abreviatura]:[Total Jornada]],5,FALSE)&lt;&gt;"",VLOOKUP(tblHorasSet[Dia],tblDiaUtil[[Abreviatura]:[Total Jornada]],5,FALSE),JORNADA),
IF(IF(ISERROR(VLOOKUP(tblHorasSet[Evento 
(1º Período)],tblEvento[[Evento]:[Libera o Período]],4,FALSE)),FALSE,
IF(VLOOKUP(tblHorasSet[Evento 
(1º Período)],tblEvento[[Evento]:[Libera o Período]],4,FALSE)="Não",TRUE,FALSE)
),
-IF(VLOOKUP(tblHorasSet[Dia],tblDiaUtil[[Abreviatura]:[1º Período]],3,FALSE)&lt;&gt;"",VLOOKUP(tblHorasSet[Dia],tblDiaUtil[[Abreviatura]:[1º Período]],3,FALSE),JORNADA_PERIODO_1),
IF(IF(ISERROR(VLOOKUP(tblHorasSet[Evento 
(2º Período)],tblEvento[[Evento]:[Libera o Período]],4,FALSE)),FALSE,IF(VLOOKUP(tblHorasSet[Evento 
(2º Período)],tblEvento[[Evento]:[Libera o Período]],4,FALSE)="Não",TRUE,FALSE)),
-IF(VLOOKUP(tblHorasSet[Dia],tblDiaUtil[[Abreviatura]:[2º Período]],4,FALSE)&lt;&gt;"",VLOOKUP(tblHorasSet[Dia],tblDiaUtil[[Abreviatura]:[2º Período]],4,FALSE),JORNADA_PERIODO_2),0))))</f>
        <v>0</v>
      </c>
      <c r="O32" s="14">
        <f>IF(tblHorasSet[Horas Trabalhadas Além Jornada]&gt;0,
        IF(ISNUMBER(tblHorasSet[Jornada Diária]),
              IF(HOUR(tblHorasSet[Horas Trabalhadas Além Jornada])&gt;=VLOOKUP(LIMITE,tblLimiteHora[],Tabelas!$I$1,FALSE),
                    VLOOKUP(LIMITE,tblLimiteHora[],Tabelas!$J$1,FALSE),
                    tblHorasSet[Horas Trabalhadas Além Jornada]),
              tblHorasSet[Horas Trabalhadas Além Jornada]),
        tblHorasSet[Horas Trabalhadas Além Jornada])+O31</f>
        <v>0</v>
      </c>
      <c r="P32" s="14" t="str">
        <f>IF(tblHorasSet[Horas Trabalhadas Além Jornada]&lt;0,IF(OR(tblHorasSet[Evento 
(1º Período)]="",tblHorasSet[Evento 
(2º Período)]=""),tblHorasSet[Horas Trabalhadas Além Jornada],""),"")</f>
        <v/>
      </c>
      <c r="Q32" s="14" t="str">
        <f>IF(tblHorasSet[Jornada Diária]&lt;&gt;"",IF((N(tblHorasSet[Jornada Diária])-ABS(N(tblHorasSet[Horas Trabalhadas Além Jornada])))=0,1,""),"")</f>
        <v/>
      </c>
      <c r="R32" s="14" t="str">
        <f>IF(tblHorasSet[Horas Trabalhadas Além Jornada]&gt;0,
IF(AND(VLOOKUP(TEXT(tblHorasSet[Data],"dddd"),tblDiaUtil[],3,FALSE)="Sim",IF(tblHorasSet[Evento 
(1º Período)]&lt;&gt;"",IF(VLOOKUP(tblHorasSet[Evento 
(1º Período)],tblEvento[],Tabelas!$E$1,FALSE)="Sim",FALSE,TRUE),TRUE),IF(tblHorasSet[Evento 
(2º Período)]&lt;&gt;"",IF(VLOOKUP(tblHorasSet[Evento 
(2º Período)],tblEvento[],Tabelas!$E$1,FALSE)="Sim",FALSE,TRUE),TRUE)),
tblHorasSet[Horas Trabalhadas Além Jornada],""),"")</f>
        <v/>
      </c>
      <c r="S32" s="14" t="str">
        <f>IF(tblHorasSet[Horas Trabalhadas Além Jornada]&gt;0,
IF(OR(VLOOKUP(TEXT(tblHorasSet[Data],"dddd"),tblDiaUtil[],3,FALSE)="Não",IF(tblHorasSet[Evento 
(1º Período)]&lt;&gt;"",IF(VLOOKUP(tblHorasSet[Evento 
(1º Período)],tblEvento[],Tabelas!$E$1,FALSE)="Sim",TRUE,FALSE),FALSE),IF(tblHorasSet[Evento 
(2º Período)]&lt;&gt;"",IF(VLOOKUP(tblHorasSet[Evento 
(2º Período)],tblEvento[],Tabelas!$E$1,FALSE)="Sim",TRUE,FALSE),FALSE)),
tblHorasSet[Horas Trabalhadas Além Jornada],""),"")</f>
        <v/>
      </c>
      <c r="T32" s="15" t="str">
        <f>IF(tblHorasSet[Evento 
(1º Período)]&lt;&gt;""," - " &amp;VLOOKUP(tblHorasSet[Evento 
(1º Período)],tblEvento[],Tabelas!$F$1,FALSE),"")&amp;IF(AND(tblHorasSet[Evento 
(2º Período)]&lt;&gt;"",tblHorasSet[Evento 
(2º Período)]&lt;&gt;tblHorasSet[Evento 
(1º Período)])," - " &amp; VLOOKUP(tblHorasSet[Evento 
(2º Período)],tblEvento[],Tabelas!$F$1,FALSE),"")</f>
        <v/>
      </c>
    </row>
    <row r="33" spans="2:21" x14ac:dyDescent="0.25">
      <c r="B33" s="11" t="str">
        <f t="shared" si="0"/>
        <v/>
      </c>
      <c r="C33" s="12" t="str">
        <f>TEXT(tblHorasSet[Data],"ddd")</f>
        <v/>
      </c>
      <c r="D33" s="25"/>
      <c r="E33" s="1"/>
      <c r="F33" s="1"/>
      <c r="G33" s="1"/>
      <c r="H33" s="1"/>
      <c r="I33" s="53"/>
      <c r="J33" s="4">
        <f>IF($B$6&lt;&gt;"",
IF(AND(tblHorasSet[Evento 
(1º Período)]&lt;&gt;"",IF(ISERROR(VLOOKUP(tblHorasSet[Evento 
(1º Período)],tblEvento[],Tabelas!$D$1,FALSE)),FALSE,VLOOKUP(tblHorasSet[Evento 
(1º Período)],tblEvento[],Tabelas!$D$1,FALSE)="Sim")),
        IF(JORNADA_PERIODO_1&lt;&gt;"",
IF(VLOOKUP(tblHorasSet[Dia],tblDiaUtil[[Abreviatura]:[1º Período]],3,FALSE)&gt;0,VLOOKUP(tblHorasSet[Dia],tblDiaUtil[[Abreviatura]:[1º Período]],3,FALSE),JORNADA_PERIODO_1),
IF(VLOOKUP(tblHorasSet[Dia],tblDiaUtil[[Abreviatura]:[1º Período]],3,FALSE)&gt;0,VLOOKUP(tblHorasSet[Dia],tblDiaUtil[[Abreviatura]:[1º Período]],3,FALSE),JORNADA/2)),
        IF(AND(ISNUMBER(tblHorasSet[Saída - 1 (Almoço)]),ISNUMBER(tblHorasSet[Entrada - 1])),
              IF(OR(AND(tblHorasSet[Evento 
(1º Período)]&lt;&gt;"",IF(ISERROR(VLOOKUP(tblHorasSet[Evento 
(1º Período)],tblEvento[],Tabelas!$E$1,FALSE)),FALSE,VLOOKUP(tblHorasSet[Evento 
(1º Período)],tblEvento[],Tabelas!$E$1,FALSE)="Sim")),IF(VLOOKUP(TEXT(tblHorasSet[Data],"dddd"),tblDiaUtil[],2,FALSE)="Não",TRUE,FALSE)),
                   tblHorasSet[Saída - 1 (Almoço)]-tblHorasSet[Entrada - 1],
                   IF(OR(HOUR(tblHorasSet[Saída - 1 (Almoço)]-tblHorasSet[Entrada - 1])&gt;0,ROUND(tblHorasSet[Saída - 1 (Almoço)]-tblHorasSet[Entrada - 1],6)&gt;ROUND(CARENCIA,6)),
                          tblHorasSet[Saída - 1 (Almoço)]-tblHorasSet[Entrada - 1],
                          0)),
                    0)),0)</f>
        <v>0</v>
      </c>
      <c r="K33" s="4">
        <f>IF($B$6&lt;&gt;"",
IF(AND(tblHorasSet[Evento 
(2º Período)]&lt;&gt;"",IF(ISERROR(VLOOKUP(tblHorasSet[Evento 
(2º Período)],tblEvento[],Tabelas!$D$1,FALSE)),FALSE,VLOOKUP(tblHorasSet[Evento 
(2º Período)],tblEvento[],Tabelas!$D$1,FALSE)="Sim")),
        IF(JORNADA_PERIODO_2&lt;&gt;"",
IF(VLOOKUP(tblHorasSet[Dia],tblDiaUtil[[Abreviatura]:[2º Período]],4,FALSE)&gt;0,VLOOKUP(tblHorasSet[Dia],tblDiaUtil[[Abreviatura]:[2º Período]],4,FALSE),JORNADA_PERIODO_2),
IF(VLOOKUP(tblHorasSet[Dia],tblDiaUtil[[Abreviatura]:[2º Período]],4,FALSE)&gt;0,VLOOKUP(tblHorasSet[Dia],tblDiaUtil[[Abreviatura]:[2º Período]],4,FALSE),JORNADA/2)),
        IF(AND(ISNUMBER(tblHorasSet[Saída - 2]),ISNUMBER(tblHorasSet[Entrada - 2 (Almoço)])),
              IF(OR(AND(tblHorasSet[Evento 
(2º Período)]&lt;&gt;"",IF(ISERROR(VLOOKUP(tblHorasSet[Evento 
(2º Período)],tblEvento[],Tabelas!$E$1,FALSE)),FALSE,VLOOKUP(tblHorasSet[Evento 
(2º Período)],tblEvento[],Tabelas!$E$1,FALSE)="Sim")),IF(VLOOKUP(TEXT(tblHorasSet[Data],"dddd"),tblDiaUtil[],2,FALSE)="Não",TRUE,FALSE)),
                   tblHorasSet[Saída - 2]-tblHorasSet[Entrada - 2 (Almoço)],
                   IF(OR(HOUR(tblHorasSet[Saída - 2]-tblHorasSet[Entrada - 2 (Almoço)])&gt;0,MINUTE(tblHorasSet[Saída - 2]-tblHorasSet[Entrada - 2 (Almoço)])&gt;CARENCIA),
                         tblHorasSet[Saída - 2]-tblHorasSet[Entrada - 2 (Almoço)],
                         0)),
       0)),0)</f>
        <v>0</v>
      </c>
      <c r="L33" s="4">
        <f>tblHorasSet[Horas Trabalhadas (1º Período)]+tblHorasSet[Horas Trabalhadas (2º Período)]</f>
        <v>0</v>
      </c>
      <c r="M33" s="4" t="str">
        <f>IF(tblHorasSet[Data]&lt;&gt;"",
        IF(
AND(VLOOKUP(TEXT(tblHorasSet[Data],"dddd"),tblDiaUtil[],3,FALSE)="Sim",IF(tblHorasSet[Evento 
(1º Período)]&lt;&gt;"",IF(VLOOKUP(tblHorasSet[Evento 
(1º Período)],tblEvento[],Tabelas!$E$1,FALSE)="Sim",FALSE,TRUE),TRUE),IF(tblHorasSet[Evento 
(2º Período)]&lt;&gt;"",IF(VLOOKUP(tblHorasSet[Evento 
(2º Período)],tblEvento[],Tabelas!$E$1,FALSE)="Sim",FALSE,TRUE),TRUE)),
              IF(VLOOKUP(tblHorasSet[Dia],tblDiaUtil[[Abreviatura]:[1º Período]],3,FALSE)&gt;0,VLOOKUP(tblHorasSet[Dia],tblDiaUtil[[Abreviatura]:[1º Período]],3,FALSE),JORNADA),
              ""),
         "")</f>
        <v/>
      </c>
      <c r="N33" s="14">
        <f>IF(OR(tblHorasSet[Horas Trabalhadas (1º Período)]&lt;&gt;0,tblHorasSet[Horas Trabalhadas (2º Período)]&lt;&gt;0),
        IF(ISNUMBER(tblHorasSet[Jornada Diária]),
              IF(tblHorasSet[Jornada Diária]&gt;(tblHorasSet[Horas Trabalhadas (2º Período)]+tblHorasSet[Horas Trabalhadas (1º Período)]),
                     IF(ROUND((tblHorasSet[Jornada Diária]-(tblHorasSet[Horas Trabalhadas (2º Período)]+tblHorasSet[Horas Trabalhadas (1º Período)])),6)&gt;ROUND(CARENCIA,6),
                           -tblHorasSet[Jornada Diária]+(tblHorasSet[Horas Trabalhadas (2º Período)]+tblHorasSet[Horas Trabalhadas (1º Período)]),
                           0),
                      IF(ROUND((tblHorasSet[Jornada Diária]-(tblHorasSet[Horas Trabalhadas (2º Período)]+tblHorasSet[Horas Trabalhadas (1º Período)])),6)&lt;ROUND(-CARENCIA,6),
                           -tblHorasSet[Jornada Diária]+(tblHorasSet[Horas Trabalhadas (2º Período)]+tblHorasSet[Horas Trabalhadas (1º Período)]),
                           0)),
              tblHorasSet[Horas Trabalhadas (2º Período)]+tblHorasSet[Horas Trabalhadas (1º Período)]),
         IF(AND(IF(ISERROR(VLOOKUP(tblHorasSet[Evento 
(1º Período)],tblEvento[[Evento]:[Libera o Período]],4,FALSE)),FALSE,IF(VLOOKUP(tblHorasSet[Evento 
(1º Período)],tblEvento[[Evento]:[Libera o Período]],4,FALSE)="Não",TRUE,FALSE)),IF(ISERROR(VLOOKUP(tblHorasSet[Evento 
(2º Período)],tblEvento[[Evento]:[Libera o Período]],4,FALSE)),FALSE,IF(VLOOKUP(tblHorasSet[Evento 
(2º Período)],tblEvento[[Evento]:[Libera o Período]],4,FALSE)="Não",TRUE,FALSE))),
-IF(VLOOKUP(tblHorasSet[Dia],tblDiaUtil[[Abreviatura]:[Total Jornada]],5,FALSE)&lt;&gt;"",VLOOKUP(tblHorasSet[Dia],tblDiaUtil[[Abreviatura]:[Total Jornada]],5,FALSE),JORNADA),
IF(IF(ISERROR(VLOOKUP(tblHorasSet[Evento 
(1º Período)],tblEvento[[Evento]:[Libera o Período]],4,FALSE)),FALSE,
IF(VLOOKUP(tblHorasSet[Evento 
(1º Período)],tblEvento[[Evento]:[Libera o Período]],4,FALSE)="Não",TRUE,FALSE)
),
-IF(VLOOKUP(tblHorasSet[Dia],tblDiaUtil[[Abreviatura]:[1º Período]],3,FALSE)&lt;&gt;"",VLOOKUP(tblHorasSet[Dia],tblDiaUtil[[Abreviatura]:[1º Período]],3,FALSE),JORNADA_PERIODO_1),
IF(IF(ISERROR(VLOOKUP(tblHorasSet[Evento 
(2º Período)],tblEvento[[Evento]:[Libera o Período]],4,FALSE)),FALSE,IF(VLOOKUP(tblHorasSet[Evento 
(2º Período)],tblEvento[[Evento]:[Libera o Período]],4,FALSE)="Não",TRUE,FALSE)),
-IF(VLOOKUP(tblHorasSet[Dia],tblDiaUtil[[Abreviatura]:[2º Período]],4,FALSE)&lt;&gt;"",VLOOKUP(tblHorasSet[Dia],tblDiaUtil[[Abreviatura]:[2º Período]],4,FALSE),JORNADA_PERIODO_2),0))))</f>
        <v>0</v>
      </c>
      <c r="O33" s="14">
        <f>IF(tblHorasSet[Horas Trabalhadas Além Jornada]&gt;0,
        IF(ISNUMBER(tblHorasSet[Jornada Diária]),
              IF(HOUR(tblHorasSet[Horas Trabalhadas Além Jornada])&gt;=VLOOKUP(LIMITE,tblLimiteHora[],Tabelas!$I$1,FALSE),
                    VLOOKUP(LIMITE,tblLimiteHora[],Tabelas!$J$1,FALSE),
                    tblHorasSet[Horas Trabalhadas Além Jornada]),
              tblHorasSet[Horas Trabalhadas Além Jornada]),
        tblHorasSet[Horas Trabalhadas Além Jornada])+O32</f>
        <v>0</v>
      </c>
      <c r="P33" s="14" t="str">
        <f>IF(tblHorasSet[Horas Trabalhadas Além Jornada]&lt;0,IF(OR(tblHorasSet[Evento 
(1º Período)]="",tblHorasSet[Evento 
(2º Período)]=""),tblHorasSet[Horas Trabalhadas Além Jornada],""),"")</f>
        <v/>
      </c>
      <c r="Q33" s="14" t="str">
        <f>IF(tblHorasSet[Jornada Diária]&lt;&gt;"",IF((N(tblHorasSet[Jornada Diária])-ABS(N(tblHorasSet[Horas Trabalhadas Além Jornada])))=0,1,""),"")</f>
        <v/>
      </c>
      <c r="R33" s="14" t="str">
        <f>IF(tblHorasSet[Horas Trabalhadas Além Jornada]&gt;0,
IF(AND(VLOOKUP(TEXT(tblHorasSet[Data],"dddd"),tblDiaUtil[],3,FALSE)="Sim",IF(tblHorasSet[Evento 
(1º Período)]&lt;&gt;"",IF(VLOOKUP(tblHorasSet[Evento 
(1º Período)],tblEvento[],Tabelas!$E$1,FALSE)="Sim",FALSE,TRUE),TRUE),IF(tblHorasSet[Evento 
(2º Período)]&lt;&gt;"",IF(VLOOKUP(tblHorasSet[Evento 
(2º Período)],tblEvento[],Tabelas!$E$1,FALSE)="Sim",FALSE,TRUE),TRUE)),
tblHorasSet[Horas Trabalhadas Além Jornada],""),"")</f>
        <v/>
      </c>
      <c r="S33" s="14" t="str">
        <f>IF(tblHorasSet[Horas Trabalhadas Além Jornada]&gt;0,
IF(OR(VLOOKUP(TEXT(tblHorasSet[Data],"dddd"),tblDiaUtil[],3,FALSE)="Não",IF(tblHorasSet[Evento 
(1º Período)]&lt;&gt;"",IF(VLOOKUP(tblHorasSet[Evento 
(1º Período)],tblEvento[],Tabelas!$E$1,FALSE)="Sim",TRUE,FALSE),FALSE),IF(tblHorasSet[Evento 
(2º Período)]&lt;&gt;"",IF(VLOOKUP(tblHorasSet[Evento 
(2º Período)],tblEvento[],Tabelas!$E$1,FALSE)="Sim",TRUE,FALSE),FALSE)),
tblHorasSet[Horas Trabalhadas Além Jornada],""),"")</f>
        <v/>
      </c>
      <c r="T33" s="15" t="str">
        <f>IF(tblHorasSet[Evento 
(1º Período)]&lt;&gt;""," - " &amp;VLOOKUP(tblHorasSet[Evento 
(1º Período)],tblEvento[],Tabelas!$F$1,FALSE),"")&amp;IF(AND(tblHorasSet[Evento 
(2º Período)]&lt;&gt;"",tblHorasSet[Evento 
(2º Período)]&lt;&gt;tblHorasSet[Evento 
(1º Período)])," - " &amp; VLOOKUP(tblHorasSet[Evento 
(2º Período)],tblEvento[],Tabelas!$F$1,FALSE),"")</f>
        <v/>
      </c>
    </row>
    <row r="34" spans="2:21" x14ac:dyDescent="0.25">
      <c r="B34" s="11" t="str">
        <f t="shared" si="0"/>
        <v/>
      </c>
      <c r="C34" s="12" t="str">
        <f>TEXT(tblHorasSet[Data],"ddd")</f>
        <v/>
      </c>
      <c r="D34" s="25"/>
      <c r="E34" s="1"/>
      <c r="F34" s="1"/>
      <c r="G34" s="1"/>
      <c r="H34" s="1"/>
      <c r="I34" s="53"/>
      <c r="J34" s="4">
        <f>IF($B$6&lt;&gt;"",
IF(AND(tblHorasSet[Evento 
(1º Período)]&lt;&gt;"",IF(ISERROR(VLOOKUP(tblHorasSet[Evento 
(1º Período)],tblEvento[],Tabelas!$D$1,FALSE)),FALSE,VLOOKUP(tblHorasSet[Evento 
(1º Período)],tblEvento[],Tabelas!$D$1,FALSE)="Sim")),
        IF(JORNADA_PERIODO_1&lt;&gt;"",
IF(VLOOKUP(tblHorasSet[Dia],tblDiaUtil[[Abreviatura]:[1º Período]],3,FALSE)&gt;0,VLOOKUP(tblHorasSet[Dia],tblDiaUtil[[Abreviatura]:[1º Período]],3,FALSE),JORNADA_PERIODO_1),
IF(VLOOKUP(tblHorasSet[Dia],tblDiaUtil[[Abreviatura]:[1º Período]],3,FALSE)&gt;0,VLOOKUP(tblHorasSet[Dia],tblDiaUtil[[Abreviatura]:[1º Período]],3,FALSE),JORNADA/2)),
        IF(AND(ISNUMBER(tblHorasSet[Saída - 1 (Almoço)]),ISNUMBER(tblHorasSet[Entrada - 1])),
              IF(OR(AND(tblHorasSet[Evento 
(1º Período)]&lt;&gt;"",IF(ISERROR(VLOOKUP(tblHorasSet[Evento 
(1º Período)],tblEvento[],Tabelas!$E$1,FALSE)),FALSE,VLOOKUP(tblHorasSet[Evento 
(1º Período)],tblEvento[],Tabelas!$E$1,FALSE)="Sim")),IF(VLOOKUP(TEXT(tblHorasSet[Data],"dddd"),tblDiaUtil[],2,FALSE)="Não",TRUE,FALSE)),
                   tblHorasSet[Saída - 1 (Almoço)]-tblHorasSet[Entrada - 1],
                   IF(OR(HOUR(tblHorasSet[Saída - 1 (Almoço)]-tblHorasSet[Entrada - 1])&gt;0,ROUND(tblHorasSet[Saída - 1 (Almoço)]-tblHorasSet[Entrada - 1],6)&gt;ROUND(CARENCIA,6)),
                          tblHorasSet[Saída - 1 (Almoço)]-tblHorasSet[Entrada - 1],
                          0)),
                    0)),0)</f>
        <v>0</v>
      </c>
      <c r="K34" s="4">
        <f>IF($B$6&lt;&gt;"",
IF(AND(tblHorasSet[Evento 
(2º Período)]&lt;&gt;"",IF(ISERROR(VLOOKUP(tblHorasSet[Evento 
(2º Período)],tblEvento[],Tabelas!$D$1,FALSE)),FALSE,VLOOKUP(tblHorasSet[Evento 
(2º Período)],tblEvento[],Tabelas!$D$1,FALSE)="Sim")),
        IF(JORNADA_PERIODO_2&lt;&gt;"",
IF(VLOOKUP(tblHorasSet[Dia],tblDiaUtil[[Abreviatura]:[2º Período]],4,FALSE)&gt;0,VLOOKUP(tblHorasSet[Dia],tblDiaUtil[[Abreviatura]:[2º Período]],4,FALSE),JORNADA_PERIODO_2),
IF(VLOOKUP(tblHorasSet[Dia],tblDiaUtil[[Abreviatura]:[2º Período]],4,FALSE)&gt;0,VLOOKUP(tblHorasSet[Dia],tblDiaUtil[[Abreviatura]:[2º Período]],4,FALSE),JORNADA/2)),
        IF(AND(ISNUMBER(tblHorasSet[Saída - 2]),ISNUMBER(tblHorasSet[Entrada - 2 (Almoço)])),
              IF(OR(AND(tblHorasSet[Evento 
(2º Período)]&lt;&gt;"",IF(ISERROR(VLOOKUP(tblHorasSet[Evento 
(2º Período)],tblEvento[],Tabelas!$E$1,FALSE)),FALSE,VLOOKUP(tblHorasSet[Evento 
(2º Período)],tblEvento[],Tabelas!$E$1,FALSE)="Sim")),IF(VLOOKUP(TEXT(tblHorasSet[Data],"dddd"),tblDiaUtil[],2,FALSE)="Não",TRUE,FALSE)),
                   tblHorasSet[Saída - 2]-tblHorasSet[Entrada - 2 (Almoço)],
                   IF(OR(HOUR(tblHorasSet[Saída - 2]-tblHorasSet[Entrada - 2 (Almoço)])&gt;0,MINUTE(tblHorasSet[Saída - 2]-tblHorasSet[Entrada - 2 (Almoço)])&gt;CARENCIA),
                         tblHorasSet[Saída - 2]-tblHorasSet[Entrada - 2 (Almoço)],
                         0)),
       0)),0)</f>
        <v>0</v>
      </c>
      <c r="L34" s="4">
        <f>tblHorasSet[Horas Trabalhadas (1º Período)]+tblHorasSet[Horas Trabalhadas (2º Período)]</f>
        <v>0</v>
      </c>
      <c r="M34" s="4" t="str">
        <f>IF(tblHorasSet[Data]&lt;&gt;"",
        IF(
AND(VLOOKUP(TEXT(tblHorasSet[Data],"dddd"),tblDiaUtil[],3,FALSE)="Sim",IF(tblHorasSet[Evento 
(1º Período)]&lt;&gt;"",IF(VLOOKUP(tblHorasSet[Evento 
(1º Período)],tblEvento[],Tabelas!$E$1,FALSE)="Sim",FALSE,TRUE),TRUE),IF(tblHorasSet[Evento 
(2º Período)]&lt;&gt;"",IF(VLOOKUP(tblHorasSet[Evento 
(2º Período)],tblEvento[],Tabelas!$E$1,FALSE)="Sim",FALSE,TRUE),TRUE)),
              IF(VLOOKUP(tblHorasSet[Dia],tblDiaUtil[[Abreviatura]:[1º Período]],3,FALSE)&gt;0,VLOOKUP(tblHorasSet[Dia],tblDiaUtil[[Abreviatura]:[1º Período]],3,FALSE),JORNADA),
              ""),
         "")</f>
        <v/>
      </c>
      <c r="N34" s="14">
        <f>IF(OR(tblHorasSet[Horas Trabalhadas (1º Período)]&lt;&gt;0,tblHorasSet[Horas Trabalhadas (2º Período)]&lt;&gt;0),
        IF(ISNUMBER(tblHorasSet[Jornada Diária]),
              IF(tblHorasSet[Jornada Diária]&gt;(tblHorasSet[Horas Trabalhadas (2º Período)]+tblHorasSet[Horas Trabalhadas (1º Período)]),
                     IF(ROUND((tblHorasSet[Jornada Diária]-(tblHorasSet[Horas Trabalhadas (2º Período)]+tblHorasSet[Horas Trabalhadas (1º Período)])),6)&gt;ROUND(CARENCIA,6),
                           -tblHorasSet[Jornada Diária]+(tblHorasSet[Horas Trabalhadas (2º Período)]+tblHorasSet[Horas Trabalhadas (1º Período)]),
                           0),
                      IF(ROUND((tblHorasSet[Jornada Diária]-(tblHorasSet[Horas Trabalhadas (2º Período)]+tblHorasSet[Horas Trabalhadas (1º Período)])),6)&lt;ROUND(-CARENCIA,6),
                           -tblHorasSet[Jornada Diária]+(tblHorasSet[Horas Trabalhadas (2º Período)]+tblHorasSet[Horas Trabalhadas (1º Período)]),
                           0)),
              tblHorasSet[Horas Trabalhadas (2º Período)]+tblHorasSet[Horas Trabalhadas (1º Período)]),
         IF(AND(IF(ISERROR(VLOOKUP(tblHorasSet[Evento 
(1º Período)],tblEvento[[Evento]:[Libera o Período]],4,FALSE)),FALSE,IF(VLOOKUP(tblHorasSet[Evento 
(1º Período)],tblEvento[[Evento]:[Libera o Período]],4,FALSE)="Não",TRUE,FALSE)),IF(ISERROR(VLOOKUP(tblHorasSet[Evento 
(2º Período)],tblEvento[[Evento]:[Libera o Período]],4,FALSE)),FALSE,IF(VLOOKUP(tblHorasSet[Evento 
(2º Período)],tblEvento[[Evento]:[Libera o Período]],4,FALSE)="Não",TRUE,FALSE))),
-IF(VLOOKUP(tblHorasSet[Dia],tblDiaUtil[[Abreviatura]:[Total Jornada]],5,FALSE)&lt;&gt;"",VLOOKUP(tblHorasSet[Dia],tblDiaUtil[[Abreviatura]:[Total Jornada]],5,FALSE),JORNADA),
IF(IF(ISERROR(VLOOKUP(tblHorasSet[Evento 
(1º Período)],tblEvento[[Evento]:[Libera o Período]],4,FALSE)),FALSE,
IF(VLOOKUP(tblHorasSet[Evento 
(1º Período)],tblEvento[[Evento]:[Libera o Período]],4,FALSE)="Não",TRUE,FALSE)
),
-IF(VLOOKUP(tblHorasSet[Dia],tblDiaUtil[[Abreviatura]:[1º Período]],3,FALSE)&lt;&gt;"",VLOOKUP(tblHorasSet[Dia],tblDiaUtil[[Abreviatura]:[1º Período]],3,FALSE),JORNADA_PERIODO_1),
IF(IF(ISERROR(VLOOKUP(tblHorasSet[Evento 
(2º Período)],tblEvento[[Evento]:[Libera o Período]],4,FALSE)),FALSE,IF(VLOOKUP(tblHorasSet[Evento 
(2º Período)],tblEvento[[Evento]:[Libera o Período]],4,FALSE)="Não",TRUE,FALSE)),
-IF(VLOOKUP(tblHorasSet[Dia],tblDiaUtil[[Abreviatura]:[2º Período]],4,FALSE)&lt;&gt;"",VLOOKUP(tblHorasSet[Dia],tblDiaUtil[[Abreviatura]:[2º Período]],4,FALSE),JORNADA_PERIODO_2),0))))</f>
        <v>0</v>
      </c>
      <c r="O34" s="14">
        <f>IF(tblHorasSet[Horas Trabalhadas Além Jornada]&gt;0,
        IF(ISNUMBER(tblHorasSet[Jornada Diária]),
              IF(HOUR(tblHorasSet[Horas Trabalhadas Além Jornada])&gt;=VLOOKUP(LIMITE,tblLimiteHora[],Tabelas!$I$1,FALSE),
                    VLOOKUP(LIMITE,tblLimiteHora[],Tabelas!$J$1,FALSE),
                    tblHorasSet[Horas Trabalhadas Além Jornada]),
              tblHorasSet[Horas Trabalhadas Além Jornada]),
        tblHorasSet[Horas Trabalhadas Além Jornada])+O33</f>
        <v>0</v>
      </c>
      <c r="P34" s="14" t="str">
        <f>IF(tblHorasSet[Horas Trabalhadas Além Jornada]&lt;0,IF(OR(tblHorasSet[Evento 
(1º Período)]="",tblHorasSet[Evento 
(2º Período)]=""),tblHorasSet[Horas Trabalhadas Além Jornada],""),"")</f>
        <v/>
      </c>
      <c r="Q34" s="14" t="str">
        <f>IF(tblHorasSet[Jornada Diária]&lt;&gt;"",IF((N(tblHorasSet[Jornada Diária])-ABS(N(tblHorasSet[Horas Trabalhadas Além Jornada])))=0,1,""),"")</f>
        <v/>
      </c>
      <c r="R34" s="14" t="str">
        <f>IF(tblHorasSet[Horas Trabalhadas Além Jornada]&gt;0,
IF(AND(VLOOKUP(TEXT(tblHorasSet[Data],"dddd"),tblDiaUtil[],3,FALSE)="Sim",IF(tblHorasSet[Evento 
(1º Período)]&lt;&gt;"",IF(VLOOKUP(tblHorasSet[Evento 
(1º Período)],tblEvento[],Tabelas!$E$1,FALSE)="Sim",FALSE,TRUE),TRUE),IF(tblHorasSet[Evento 
(2º Período)]&lt;&gt;"",IF(VLOOKUP(tblHorasSet[Evento 
(2º Período)],tblEvento[],Tabelas!$E$1,FALSE)="Sim",FALSE,TRUE),TRUE)),
tblHorasSet[Horas Trabalhadas Além Jornada],""),"")</f>
        <v/>
      </c>
      <c r="S34" s="14" t="str">
        <f>IF(tblHorasSet[Horas Trabalhadas Além Jornada]&gt;0,
IF(OR(VLOOKUP(TEXT(tblHorasSet[Data],"dddd"),tblDiaUtil[],3,FALSE)="Não",IF(tblHorasSet[Evento 
(1º Período)]&lt;&gt;"",IF(VLOOKUP(tblHorasSet[Evento 
(1º Período)],tblEvento[],Tabelas!$E$1,FALSE)="Sim",TRUE,FALSE),FALSE),IF(tblHorasSet[Evento 
(2º Período)]&lt;&gt;"",IF(VLOOKUP(tblHorasSet[Evento 
(2º Período)],tblEvento[],Tabelas!$E$1,FALSE)="Sim",TRUE,FALSE),FALSE)),
tblHorasSet[Horas Trabalhadas Além Jornada],""),"")</f>
        <v/>
      </c>
      <c r="T34" s="15" t="str">
        <f>IF(tblHorasSet[Evento 
(1º Período)]&lt;&gt;""," - " &amp;VLOOKUP(tblHorasSet[Evento 
(1º Período)],tblEvento[],Tabelas!$F$1,FALSE),"")&amp;IF(AND(tblHorasSet[Evento 
(2º Período)]&lt;&gt;"",tblHorasSet[Evento 
(2º Período)]&lt;&gt;tblHorasSet[Evento 
(1º Período)])," - " &amp; VLOOKUP(tblHorasSet[Evento 
(2º Período)],tblEvento[],Tabelas!$F$1,FALSE),"")</f>
        <v/>
      </c>
    </row>
    <row r="35" spans="2:21" x14ac:dyDescent="0.25">
      <c r="B35" s="11" t="str">
        <f t="shared" si="0"/>
        <v/>
      </c>
      <c r="C35" s="12" t="str">
        <f>TEXT(tblHorasSet[Data],"ddd")</f>
        <v/>
      </c>
      <c r="D35" s="25"/>
      <c r="E35" s="1"/>
      <c r="F35" s="1"/>
      <c r="G35" s="1"/>
      <c r="H35" s="1"/>
      <c r="I35" s="53"/>
      <c r="J35" s="4">
        <f>IF($B$6&lt;&gt;"",
IF(AND(tblHorasSet[Evento 
(1º Período)]&lt;&gt;"",IF(ISERROR(VLOOKUP(tblHorasSet[Evento 
(1º Período)],tblEvento[],Tabelas!$D$1,FALSE)),FALSE,VLOOKUP(tblHorasSet[Evento 
(1º Período)],tblEvento[],Tabelas!$D$1,FALSE)="Sim")),
        IF(JORNADA_PERIODO_1&lt;&gt;"",
IF(VLOOKUP(tblHorasSet[Dia],tblDiaUtil[[Abreviatura]:[1º Período]],3,FALSE)&gt;0,VLOOKUP(tblHorasSet[Dia],tblDiaUtil[[Abreviatura]:[1º Período]],3,FALSE),JORNADA_PERIODO_1),
IF(VLOOKUP(tblHorasSet[Dia],tblDiaUtil[[Abreviatura]:[1º Período]],3,FALSE)&gt;0,VLOOKUP(tblHorasSet[Dia],tblDiaUtil[[Abreviatura]:[1º Período]],3,FALSE),JORNADA/2)),
        IF(AND(ISNUMBER(tblHorasSet[Saída - 1 (Almoço)]),ISNUMBER(tblHorasSet[Entrada - 1])),
              IF(OR(AND(tblHorasSet[Evento 
(1º Período)]&lt;&gt;"",IF(ISERROR(VLOOKUP(tblHorasSet[Evento 
(1º Período)],tblEvento[],Tabelas!$E$1,FALSE)),FALSE,VLOOKUP(tblHorasSet[Evento 
(1º Período)],tblEvento[],Tabelas!$E$1,FALSE)="Sim")),IF(VLOOKUP(TEXT(tblHorasSet[Data],"dddd"),tblDiaUtil[],2,FALSE)="Não",TRUE,FALSE)),
                   tblHorasSet[Saída - 1 (Almoço)]-tblHorasSet[Entrada - 1],
                   IF(OR(HOUR(tblHorasSet[Saída - 1 (Almoço)]-tblHorasSet[Entrada - 1])&gt;0,ROUND(tblHorasSet[Saída - 1 (Almoço)]-tblHorasSet[Entrada - 1],6)&gt;ROUND(CARENCIA,6)),
                          tblHorasSet[Saída - 1 (Almoço)]-tblHorasSet[Entrada - 1],
                          0)),
                    0)),0)</f>
        <v>0</v>
      </c>
      <c r="K35" s="4">
        <f>IF($B$6&lt;&gt;"",
IF(AND(tblHorasSet[Evento 
(2º Período)]&lt;&gt;"",IF(ISERROR(VLOOKUP(tblHorasSet[Evento 
(2º Período)],tblEvento[],Tabelas!$D$1,FALSE)),FALSE,VLOOKUP(tblHorasSet[Evento 
(2º Período)],tblEvento[],Tabelas!$D$1,FALSE)="Sim")),
        IF(JORNADA_PERIODO_2&lt;&gt;"",
IF(VLOOKUP(tblHorasSet[Dia],tblDiaUtil[[Abreviatura]:[2º Período]],4,FALSE)&gt;0,VLOOKUP(tblHorasSet[Dia],tblDiaUtil[[Abreviatura]:[2º Período]],4,FALSE),JORNADA_PERIODO_2),
IF(VLOOKUP(tblHorasSet[Dia],tblDiaUtil[[Abreviatura]:[2º Período]],4,FALSE)&gt;0,VLOOKUP(tblHorasSet[Dia],tblDiaUtil[[Abreviatura]:[2º Período]],4,FALSE),JORNADA/2)),
        IF(AND(ISNUMBER(tblHorasSet[Saída - 2]),ISNUMBER(tblHorasSet[Entrada - 2 (Almoço)])),
              IF(OR(AND(tblHorasSet[Evento 
(2º Período)]&lt;&gt;"",IF(ISERROR(VLOOKUP(tblHorasSet[Evento 
(2º Período)],tblEvento[],Tabelas!$E$1,FALSE)),FALSE,VLOOKUP(tblHorasSet[Evento 
(2º Período)],tblEvento[],Tabelas!$E$1,FALSE)="Sim")),IF(VLOOKUP(TEXT(tblHorasSet[Data],"dddd"),tblDiaUtil[],2,FALSE)="Não",TRUE,FALSE)),
                   tblHorasSet[Saída - 2]-tblHorasSet[Entrada - 2 (Almoço)],
                   IF(OR(HOUR(tblHorasSet[Saída - 2]-tblHorasSet[Entrada - 2 (Almoço)])&gt;0,MINUTE(tblHorasSet[Saída - 2]-tblHorasSet[Entrada - 2 (Almoço)])&gt;CARENCIA),
                         tblHorasSet[Saída - 2]-tblHorasSet[Entrada - 2 (Almoço)],
                         0)),
       0)),0)</f>
        <v>0</v>
      </c>
      <c r="L35" s="4">
        <f>tblHorasSet[Horas Trabalhadas (1º Período)]+tblHorasSet[Horas Trabalhadas (2º Período)]</f>
        <v>0</v>
      </c>
      <c r="M35" s="4" t="str">
        <f>IF(tblHorasSet[Data]&lt;&gt;"",
        IF(
AND(VLOOKUP(TEXT(tblHorasSet[Data],"dddd"),tblDiaUtil[],3,FALSE)="Sim",IF(tblHorasSet[Evento 
(1º Período)]&lt;&gt;"",IF(VLOOKUP(tblHorasSet[Evento 
(1º Período)],tblEvento[],Tabelas!$E$1,FALSE)="Sim",FALSE,TRUE),TRUE),IF(tblHorasSet[Evento 
(2º Período)]&lt;&gt;"",IF(VLOOKUP(tblHorasSet[Evento 
(2º Período)],tblEvento[],Tabelas!$E$1,FALSE)="Sim",FALSE,TRUE),TRUE)),
              IF(VLOOKUP(tblHorasSet[Dia],tblDiaUtil[[Abreviatura]:[1º Período]],3,FALSE)&gt;0,VLOOKUP(tblHorasSet[Dia],tblDiaUtil[[Abreviatura]:[1º Período]],3,FALSE),JORNADA),
              ""),
         "")</f>
        <v/>
      </c>
      <c r="N35" s="14">
        <f>IF(OR(tblHorasSet[Horas Trabalhadas (1º Período)]&lt;&gt;0,tblHorasSet[Horas Trabalhadas (2º Período)]&lt;&gt;0),
        IF(ISNUMBER(tblHorasSet[Jornada Diária]),
              IF(tblHorasSet[Jornada Diária]&gt;(tblHorasSet[Horas Trabalhadas (2º Período)]+tblHorasSet[Horas Trabalhadas (1º Período)]),
                     IF(ROUND((tblHorasSet[Jornada Diária]-(tblHorasSet[Horas Trabalhadas (2º Período)]+tblHorasSet[Horas Trabalhadas (1º Período)])),6)&gt;ROUND(CARENCIA,6),
                           -tblHorasSet[Jornada Diária]+(tblHorasSet[Horas Trabalhadas (2º Período)]+tblHorasSet[Horas Trabalhadas (1º Período)]),
                           0),
                      IF(ROUND((tblHorasSet[Jornada Diária]-(tblHorasSet[Horas Trabalhadas (2º Período)]+tblHorasSet[Horas Trabalhadas (1º Período)])),6)&lt;ROUND(-CARENCIA,6),
                           -tblHorasSet[Jornada Diária]+(tblHorasSet[Horas Trabalhadas (2º Período)]+tblHorasSet[Horas Trabalhadas (1º Período)]),
                           0)),
              tblHorasSet[Horas Trabalhadas (2º Período)]+tblHorasSet[Horas Trabalhadas (1º Período)]),
         IF(AND(IF(ISERROR(VLOOKUP(tblHorasSet[Evento 
(1º Período)],tblEvento[[Evento]:[Libera o Período]],4,FALSE)),FALSE,IF(VLOOKUP(tblHorasSet[Evento 
(1º Período)],tblEvento[[Evento]:[Libera o Período]],4,FALSE)="Não",TRUE,FALSE)),IF(ISERROR(VLOOKUP(tblHorasSet[Evento 
(2º Período)],tblEvento[[Evento]:[Libera o Período]],4,FALSE)),FALSE,IF(VLOOKUP(tblHorasSet[Evento 
(2º Período)],tblEvento[[Evento]:[Libera o Período]],4,FALSE)="Não",TRUE,FALSE))),
-IF(VLOOKUP(tblHorasSet[Dia],tblDiaUtil[[Abreviatura]:[Total Jornada]],5,FALSE)&lt;&gt;"",VLOOKUP(tblHorasSet[Dia],tblDiaUtil[[Abreviatura]:[Total Jornada]],5,FALSE),JORNADA),
IF(IF(ISERROR(VLOOKUP(tblHorasSet[Evento 
(1º Período)],tblEvento[[Evento]:[Libera o Período]],4,FALSE)),FALSE,
IF(VLOOKUP(tblHorasSet[Evento 
(1º Período)],tblEvento[[Evento]:[Libera o Período]],4,FALSE)="Não",TRUE,FALSE)
),
-IF(VLOOKUP(tblHorasSet[Dia],tblDiaUtil[[Abreviatura]:[1º Período]],3,FALSE)&lt;&gt;"",VLOOKUP(tblHorasSet[Dia],tblDiaUtil[[Abreviatura]:[1º Período]],3,FALSE),JORNADA_PERIODO_1),
IF(IF(ISERROR(VLOOKUP(tblHorasSet[Evento 
(2º Período)],tblEvento[[Evento]:[Libera o Período]],4,FALSE)),FALSE,IF(VLOOKUP(tblHorasSet[Evento 
(2º Período)],tblEvento[[Evento]:[Libera o Período]],4,FALSE)="Não",TRUE,FALSE)),
-IF(VLOOKUP(tblHorasSet[Dia],tblDiaUtil[[Abreviatura]:[2º Período]],4,FALSE)&lt;&gt;"",VLOOKUP(tblHorasSet[Dia],tblDiaUtil[[Abreviatura]:[2º Período]],4,FALSE),JORNADA_PERIODO_2),0))))</f>
        <v>0</v>
      </c>
      <c r="O35" s="14">
        <f>IF(tblHorasSet[Horas Trabalhadas Além Jornada]&gt;0,
        IF(ISNUMBER(tblHorasSet[Jornada Diária]),
              IF(HOUR(tblHorasSet[Horas Trabalhadas Além Jornada])&gt;=VLOOKUP(LIMITE,tblLimiteHora[],Tabelas!$I$1,FALSE),
                    VLOOKUP(LIMITE,tblLimiteHora[],Tabelas!$J$1,FALSE),
                    tblHorasSet[Horas Trabalhadas Além Jornada]),
              tblHorasSet[Horas Trabalhadas Além Jornada]),
        tblHorasSet[Horas Trabalhadas Além Jornada])+O34</f>
        <v>0</v>
      </c>
      <c r="P35" s="14" t="str">
        <f>IF(tblHorasSet[Horas Trabalhadas Além Jornada]&lt;0,IF(OR(tblHorasSet[Evento 
(1º Período)]="",tblHorasSet[Evento 
(2º Período)]=""),tblHorasSet[Horas Trabalhadas Além Jornada],""),"")</f>
        <v/>
      </c>
      <c r="Q35" s="14" t="str">
        <f>IF(tblHorasSet[Jornada Diária]&lt;&gt;"",IF((N(tblHorasSet[Jornada Diária])-ABS(N(tblHorasSet[Horas Trabalhadas Além Jornada])))=0,1,""),"")</f>
        <v/>
      </c>
      <c r="R35" s="14" t="str">
        <f>IF(tblHorasSet[Horas Trabalhadas Além Jornada]&gt;0,
IF(AND(VLOOKUP(TEXT(tblHorasSet[Data],"dddd"),tblDiaUtil[],3,FALSE)="Sim",IF(tblHorasSet[Evento 
(1º Período)]&lt;&gt;"",IF(VLOOKUP(tblHorasSet[Evento 
(1º Período)],tblEvento[],Tabelas!$E$1,FALSE)="Sim",FALSE,TRUE),TRUE),IF(tblHorasSet[Evento 
(2º Período)]&lt;&gt;"",IF(VLOOKUP(tblHorasSet[Evento 
(2º Período)],tblEvento[],Tabelas!$E$1,FALSE)="Sim",FALSE,TRUE),TRUE)),
tblHorasSet[Horas Trabalhadas Além Jornada],""),"")</f>
        <v/>
      </c>
      <c r="S35" s="14" t="str">
        <f>IF(tblHorasSet[Horas Trabalhadas Além Jornada]&gt;0,
IF(OR(VLOOKUP(TEXT(tblHorasSet[Data],"dddd"),tblDiaUtil[],3,FALSE)="Não",IF(tblHorasSet[Evento 
(1º Período)]&lt;&gt;"",IF(VLOOKUP(tblHorasSet[Evento 
(1º Período)],tblEvento[],Tabelas!$E$1,FALSE)="Sim",TRUE,FALSE),FALSE),IF(tblHorasSet[Evento 
(2º Período)]&lt;&gt;"",IF(VLOOKUP(tblHorasSet[Evento 
(2º Período)],tblEvento[],Tabelas!$E$1,FALSE)="Sim",TRUE,FALSE),FALSE)),
tblHorasSet[Horas Trabalhadas Além Jornada],""),"")</f>
        <v/>
      </c>
      <c r="T35" s="15" t="str">
        <f>IF(tblHorasSet[Evento 
(1º Período)]&lt;&gt;""," - " &amp;VLOOKUP(tblHorasSet[Evento 
(1º Período)],tblEvento[],Tabelas!$F$1,FALSE),"")&amp;IF(AND(tblHorasSet[Evento 
(2º Período)]&lt;&gt;"",tblHorasSet[Evento 
(2º Período)]&lt;&gt;tblHorasSet[Evento 
(1º Período)])," - " &amp; VLOOKUP(tblHorasSet[Evento 
(2º Período)],tblEvento[],Tabelas!$F$1,FALSE),"")</f>
        <v/>
      </c>
    </row>
    <row r="36" spans="2:21" x14ac:dyDescent="0.25">
      <c r="B36" s="11" t="str">
        <f t="shared" si="0"/>
        <v/>
      </c>
      <c r="C36" s="12" t="str">
        <f>TEXT(tblHorasSet[Data],"ddd")</f>
        <v/>
      </c>
      <c r="D36" s="25"/>
      <c r="E36" s="1"/>
      <c r="F36" s="1"/>
      <c r="G36" s="1"/>
      <c r="H36" s="1"/>
      <c r="I36" s="53"/>
      <c r="J36" s="4">
        <f>IF($B$6&lt;&gt;"",
IF(AND(tblHorasSet[Evento 
(1º Período)]&lt;&gt;"",IF(ISERROR(VLOOKUP(tblHorasSet[Evento 
(1º Período)],tblEvento[],Tabelas!$D$1,FALSE)),FALSE,VLOOKUP(tblHorasSet[Evento 
(1º Período)],tblEvento[],Tabelas!$D$1,FALSE)="Sim")),
        IF(JORNADA_PERIODO_1&lt;&gt;"",
IF(VLOOKUP(tblHorasSet[Dia],tblDiaUtil[[Abreviatura]:[1º Período]],3,FALSE)&gt;0,VLOOKUP(tblHorasSet[Dia],tblDiaUtil[[Abreviatura]:[1º Período]],3,FALSE),JORNADA_PERIODO_1),
IF(VLOOKUP(tblHorasSet[Dia],tblDiaUtil[[Abreviatura]:[1º Período]],3,FALSE)&gt;0,VLOOKUP(tblHorasSet[Dia],tblDiaUtil[[Abreviatura]:[1º Período]],3,FALSE),JORNADA/2)),
        IF(AND(ISNUMBER(tblHorasSet[Saída - 1 (Almoço)]),ISNUMBER(tblHorasSet[Entrada - 1])),
              IF(OR(AND(tblHorasSet[Evento 
(1º Período)]&lt;&gt;"",IF(ISERROR(VLOOKUP(tblHorasSet[Evento 
(1º Período)],tblEvento[],Tabelas!$E$1,FALSE)),FALSE,VLOOKUP(tblHorasSet[Evento 
(1º Período)],tblEvento[],Tabelas!$E$1,FALSE)="Sim")),IF(VLOOKUP(TEXT(tblHorasSet[Data],"dddd"),tblDiaUtil[],2,FALSE)="Não",TRUE,FALSE)),
                   tblHorasSet[Saída - 1 (Almoço)]-tblHorasSet[Entrada - 1],
                   IF(OR(HOUR(tblHorasSet[Saída - 1 (Almoço)]-tblHorasSet[Entrada - 1])&gt;0,ROUND(tblHorasSet[Saída - 1 (Almoço)]-tblHorasSet[Entrada - 1],6)&gt;ROUND(CARENCIA,6)),
                          tblHorasSet[Saída - 1 (Almoço)]-tblHorasSet[Entrada - 1],
                          0)),
                    0)),0)</f>
        <v>0</v>
      </c>
      <c r="K36" s="4">
        <f>IF($B$6&lt;&gt;"",
IF(AND(tblHorasSet[Evento 
(2º Período)]&lt;&gt;"",IF(ISERROR(VLOOKUP(tblHorasSet[Evento 
(2º Período)],tblEvento[],Tabelas!$D$1,FALSE)),FALSE,VLOOKUP(tblHorasSet[Evento 
(2º Período)],tblEvento[],Tabelas!$D$1,FALSE)="Sim")),
        IF(JORNADA_PERIODO_2&lt;&gt;"",
IF(VLOOKUP(tblHorasSet[Dia],tblDiaUtil[[Abreviatura]:[2º Período]],4,FALSE)&gt;0,VLOOKUP(tblHorasSet[Dia],tblDiaUtil[[Abreviatura]:[2º Período]],4,FALSE),JORNADA_PERIODO_2),
IF(VLOOKUP(tblHorasSet[Dia],tblDiaUtil[[Abreviatura]:[2º Período]],4,FALSE)&gt;0,VLOOKUP(tblHorasSet[Dia],tblDiaUtil[[Abreviatura]:[2º Período]],4,FALSE),JORNADA/2)),
        IF(AND(ISNUMBER(tblHorasSet[Saída - 2]),ISNUMBER(tblHorasSet[Entrada - 2 (Almoço)])),
              IF(OR(AND(tblHorasSet[Evento 
(2º Período)]&lt;&gt;"",IF(ISERROR(VLOOKUP(tblHorasSet[Evento 
(2º Período)],tblEvento[],Tabelas!$E$1,FALSE)),FALSE,VLOOKUP(tblHorasSet[Evento 
(2º Período)],tblEvento[],Tabelas!$E$1,FALSE)="Sim")),IF(VLOOKUP(TEXT(tblHorasSet[Data],"dddd"),tblDiaUtil[],2,FALSE)="Não",TRUE,FALSE)),
                   tblHorasSet[Saída - 2]-tblHorasSet[Entrada - 2 (Almoço)],
                   IF(OR(HOUR(tblHorasSet[Saída - 2]-tblHorasSet[Entrada - 2 (Almoço)])&gt;0,MINUTE(tblHorasSet[Saída - 2]-tblHorasSet[Entrada - 2 (Almoço)])&gt;CARENCIA),
                         tblHorasSet[Saída - 2]-tblHorasSet[Entrada - 2 (Almoço)],
                         0)),
       0)),0)</f>
        <v>0</v>
      </c>
      <c r="L36" s="4">
        <f>tblHorasSet[Horas Trabalhadas (1º Período)]+tblHorasSet[Horas Trabalhadas (2º Período)]</f>
        <v>0</v>
      </c>
      <c r="M36" s="4" t="str">
        <f>IF(tblHorasSet[Data]&lt;&gt;"",
        IF(
AND(VLOOKUP(TEXT(tblHorasSet[Data],"dddd"),tblDiaUtil[],3,FALSE)="Sim",IF(tblHorasSet[Evento 
(1º Período)]&lt;&gt;"",IF(VLOOKUP(tblHorasSet[Evento 
(1º Período)],tblEvento[],Tabelas!$E$1,FALSE)="Sim",FALSE,TRUE),TRUE),IF(tblHorasSet[Evento 
(2º Período)]&lt;&gt;"",IF(VLOOKUP(tblHorasSet[Evento 
(2º Período)],tblEvento[],Tabelas!$E$1,FALSE)="Sim",FALSE,TRUE),TRUE)),
              IF(VLOOKUP(tblHorasSet[Dia],tblDiaUtil[[Abreviatura]:[1º Período]],3,FALSE)&gt;0,VLOOKUP(tblHorasSet[Dia],tblDiaUtil[[Abreviatura]:[1º Período]],3,FALSE),JORNADA),
              ""),
         "")</f>
        <v/>
      </c>
      <c r="N36" s="14">
        <f>IF(OR(tblHorasSet[Horas Trabalhadas (1º Período)]&lt;&gt;0,tblHorasSet[Horas Trabalhadas (2º Período)]&lt;&gt;0),
        IF(ISNUMBER(tblHorasSet[Jornada Diária]),
              IF(tblHorasSet[Jornada Diária]&gt;(tblHorasSet[Horas Trabalhadas (2º Período)]+tblHorasSet[Horas Trabalhadas (1º Período)]),
                     IF(ROUND((tblHorasSet[Jornada Diária]-(tblHorasSet[Horas Trabalhadas (2º Período)]+tblHorasSet[Horas Trabalhadas (1º Período)])),6)&gt;ROUND(CARENCIA,6),
                           -tblHorasSet[Jornada Diária]+(tblHorasSet[Horas Trabalhadas (2º Período)]+tblHorasSet[Horas Trabalhadas (1º Período)]),
                           0),
                      IF(ROUND((tblHorasSet[Jornada Diária]-(tblHorasSet[Horas Trabalhadas (2º Período)]+tblHorasSet[Horas Trabalhadas (1º Período)])),6)&lt;ROUND(-CARENCIA,6),
                           -tblHorasSet[Jornada Diária]+(tblHorasSet[Horas Trabalhadas (2º Período)]+tblHorasSet[Horas Trabalhadas (1º Período)]),
                           0)),
              tblHorasSet[Horas Trabalhadas (2º Período)]+tblHorasSet[Horas Trabalhadas (1º Período)]),
         IF(AND(IF(ISERROR(VLOOKUP(tblHorasSet[Evento 
(1º Período)],tblEvento[[Evento]:[Libera o Período]],4,FALSE)),FALSE,IF(VLOOKUP(tblHorasSet[Evento 
(1º Período)],tblEvento[[Evento]:[Libera o Período]],4,FALSE)="Não",TRUE,FALSE)),IF(ISERROR(VLOOKUP(tblHorasSet[Evento 
(2º Período)],tblEvento[[Evento]:[Libera o Período]],4,FALSE)),FALSE,IF(VLOOKUP(tblHorasSet[Evento 
(2º Período)],tblEvento[[Evento]:[Libera o Período]],4,FALSE)="Não",TRUE,FALSE))),
-IF(VLOOKUP(tblHorasSet[Dia],tblDiaUtil[[Abreviatura]:[Total Jornada]],5,FALSE)&lt;&gt;"",VLOOKUP(tblHorasSet[Dia],tblDiaUtil[[Abreviatura]:[Total Jornada]],5,FALSE),JORNADA),
IF(IF(ISERROR(VLOOKUP(tblHorasSet[Evento 
(1º Período)],tblEvento[[Evento]:[Libera o Período]],4,FALSE)),FALSE,
IF(VLOOKUP(tblHorasSet[Evento 
(1º Período)],tblEvento[[Evento]:[Libera o Período]],4,FALSE)="Não",TRUE,FALSE)
),
-IF(VLOOKUP(tblHorasSet[Dia],tblDiaUtil[[Abreviatura]:[1º Período]],3,FALSE)&lt;&gt;"",VLOOKUP(tblHorasSet[Dia],tblDiaUtil[[Abreviatura]:[1º Período]],3,FALSE),JORNADA_PERIODO_1),
IF(IF(ISERROR(VLOOKUP(tblHorasSet[Evento 
(2º Período)],tblEvento[[Evento]:[Libera o Período]],4,FALSE)),FALSE,IF(VLOOKUP(tblHorasSet[Evento 
(2º Período)],tblEvento[[Evento]:[Libera o Período]],4,FALSE)="Não",TRUE,FALSE)),
-IF(VLOOKUP(tblHorasSet[Dia],tblDiaUtil[[Abreviatura]:[2º Período]],4,FALSE)&lt;&gt;"",VLOOKUP(tblHorasSet[Dia],tblDiaUtil[[Abreviatura]:[2º Período]],4,FALSE),JORNADA_PERIODO_2),0))))</f>
        <v>0</v>
      </c>
      <c r="O36" s="14">
        <f>IF(tblHorasSet[Horas Trabalhadas Além Jornada]&gt;0,
        IF(ISNUMBER(tblHorasSet[Jornada Diária]),
              IF(HOUR(tblHorasSet[Horas Trabalhadas Além Jornada])&gt;=VLOOKUP(LIMITE,tblLimiteHora[],Tabelas!$I$1,FALSE),
                    VLOOKUP(LIMITE,tblLimiteHora[],Tabelas!$J$1,FALSE),
                    tblHorasSet[Horas Trabalhadas Além Jornada]),
              tblHorasSet[Horas Trabalhadas Além Jornada]),
        tblHorasSet[Horas Trabalhadas Além Jornada])+O35</f>
        <v>0</v>
      </c>
      <c r="P36" s="14" t="str">
        <f>IF(tblHorasSet[Horas Trabalhadas Além Jornada]&lt;0,IF(OR(tblHorasSet[Evento 
(1º Período)]="",tblHorasSet[Evento 
(2º Período)]=""),tblHorasSet[Horas Trabalhadas Além Jornada],""),"")</f>
        <v/>
      </c>
      <c r="Q36" s="14" t="str">
        <f>IF(tblHorasSet[Jornada Diária]&lt;&gt;"",IF((N(tblHorasSet[Jornada Diária])-ABS(N(tblHorasSet[Horas Trabalhadas Além Jornada])))=0,1,""),"")</f>
        <v/>
      </c>
      <c r="R36" s="14" t="str">
        <f>IF(tblHorasSet[Horas Trabalhadas Além Jornada]&gt;0,
IF(AND(VLOOKUP(TEXT(tblHorasSet[Data],"dddd"),tblDiaUtil[],3,FALSE)="Sim",IF(tblHorasSet[Evento 
(1º Período)]&lt;&gt;"",IF(VLOOKUP(tblHorasSet[Evento 
(1º Período)],tblEvento[],Tabelas!$E$1,FALSE)="Sim",FALSE,TRUE),TRUE),IF(tblHorasSet[Evento 
(2º Período)]&lt;&gt;"",IF(VLOOKUP(tblHorasSet[Evento 
(2º Período)],tblEvento[],Tabelas!$E$1,FALSE)="Sim",FALSE,TRUE),TRUE)),
tblHorasSet[Horas Trabalhadas Além Jornada],""),"")</f>
        <v/>
      </c>
      <c r="S36" s="14" t="str">
        <f>IF(tblHorasSet[Horas Trabalhadas Além Jornada]&gt;0,
IF(OR(VLOOKUP(TEXT(tblHorasSet[Data],"dddd"),tblDiaUtil[],3,FALSE)="Não",IF(tblHorasSet[Evento 
(1º Período)]&lt;&gt;"",IF(VLOOKUP(tblHorasSet[Evento 
(1º Período)],tblEvento[],Tabelas!$E$1,FALSE)="Sim",TRUE,FALSE),FALSE),IF(tblHorasSet[Evento 
(2º Período)]&lt;&gt;"",IF(VLOOKUP(tblHorasSet[Evento 
(2º Período)],tblEvento[],Tabelas!$E$1,FALSE)="Sim",TRUE,FALSE),FALSE)),
tblHorasSet[Horas Trabalhadas Além Jornada],""),"")</f>
        <v/>
      </c>
      <c r="T36" s="15" t="str">
        <f>IF(tblHorasSet[Evento 
(1º Período)]&lt;&gt;""," - " &amp;VLOOKUP(tblHorasSet[Evento 
(1º Período)],tblEvento[],Tabelas!$F$1,FALSE),"")&amp;IF(AND(tblHorasSet[Evento 
(2º Período)]&lt;&gt;"",tblHorasSet[Evento 
(2º Período)]&lt;&gt;tblHorasSet[Evento 
(1º Período)])," - " &amp; VLOOKUP(tblHorasSet[Evento 
(2º Período)],tblEvento[],Tabelas!$F$1,FALSE),"")</f>
        <v/>
      </c>
    </row>
    <row r="37" spans="2:21" x14ac:dyDescent="0.25">
      <c r="B37" s="11" t="str">
        <f t="shared" si="0"/>
        <v/>
      </c>
      <c r="C37" s="12" t="str">
        <f>TEXT(tblHorasSet[Data],"ddd")</f>
        <v/>
      </c>
      <c r="D37" s="25"/>
      <c r="E37" s="1"/>
      <c r="F37" s="1"/>
      <c r="G37" s="1"/>
      <c r="H37" s="1"/>
      <c r="I37" s="53"/>
      <c r="J37" s="4">
        <f>IF($B$6&lt;&gt;"",
IF(AND(tblHorasSet[Evento 
(1º Período)]&lt;&gt;"",IF(ISERROR(VLOOKUP(tblHorasSet[Evento 
(1º Período)],tblEvento[],Tabelas!$D$1,FALSE)),FALSE,VLOOKUP(tblHorasSet[Evento 
(1º Período)],tblEvento[],Tabelas!$D$1,FALSE)="Sim")),
        IF(JORNADA_PERIODO_1&lt;&gt;"",
IF(VLOOKUP(tblHorasSet[Dia],tblDiaUtil[[Abreviatura]:[1º Período]],3,FALSE)&gt;0,VLOOKUP(tblHorasSet[Dia],tblDiaUtil[[Abreviatura]:[1º Período]],3,FALSE),JORNADA_PERIODO_1),
IF(VLOOKUP(tblHorasSet[Dia],tblDiaUtil[[Abreviatura]:[1º Período]],3,FALSE)&gt;0,VLOOKUP(tblHorasSet[Dia],tblDiaUtil[[Abreviatura]:[1º Período]],3,FALSE),JORNADA/2)),
        IF(AND(ISNUMBER(tblHorasSet[Saída - 1 (Almoço)]),ISNUMBER(tblHorasSet[Entrada - 1])),
              IF(OR(AND(tblHorasSet[Evento 
(1º Período)]&lt;&gt;"",IF(ISERROR(VLOOKUP(tblHorasSet[Evento 
(1º Período)],tblEvento[],Tabelas!$E$1,FALSE)),FALSE,VLOOKUP(tblHorasSet[Evento 
(1º Período)],tblEvento[],Tabelas!$E$1,FALSE)="Sim")),IF(VLOOKUP(TEXT(tblHorasSet[Data],"dddd"),tblDiaUtil[],2,FALSE)="Não",TRUE,FALSE)),
                   tblHorasSet[Saída - 1 (Almoço)]-tblHorasSet[Entrada - 1],
                   IF(OR(HOUR(tblHorasSet[Saída - 1 (Almoço)]-tblHorasSet[Entrada - 1])&gt;0,ROUND(tblHorasSet[Saída - 1 (Almoço)]-tblHorasSet[Entrada - 1],6)&gt;ROUND(CARENCIA,6)),
                          tblHorasSet[Saída - 1 (Almoço)]-tblHorasSet[Entrada - 1],
                          0)),
                    0)),0)</f>
        <v>0</v>
      </c>
      <c r="K37" s="4">
        <f>IF($B$6&lt;&gt;"",
IF(AND(tblHorasSet[Evento 
(2º Período)]&lt;&gt;"",IF(ISERROR(VLOOKUP(tblHorasSet[Evento 
(2º Período)],tblEvento[],Tabelas!$D$1,FALSE)),FALSE,VLOOKUP(tblHorasSet[Evento 
(2º Período)],tblEvento[],Tabelas!$D$1,FALSE)="Sim")),
        IF(JORNADA_PERIODO_2&lt;&gt;"",
IF(VLOOKUP(tblHorasSet[Dia],tblDiaUtil[[Abreviatura]:[2º Período]],4,FALSE)&gt;0,VLOOKUP(tblHorasSet[Dia],tblDiaUtil[[Abreviatura]:[2º Período]],4,FALSE),JORNADA_PERIODO_2),
IF(VLOOKUP(tblHorasSet[Dia],tblDiaUtil[[Abreviatura]:[2º Período]],4,FALSE)&gt;0,VLOOKUP(tblHorasSet[Dia],tblDiaUtil[[Abreviatura]:[2º Período]],4,FALSE),JORNADA/2)),
        IF(AND(ISNUMBER(tblHorasSet[Saída - 2]),ISNUMBER(tblHorasSet[Entrada - 2 (Almoço)])),
              IF(OR(AND(tblHorasSet[Evento 
(2º Período)]&lt;&gt;"",IF(ISERROR(VLOOKUP(tblHorasSet[Evento 
(2º Período)],tblEvento[],Tabelas!$E$1,FALSE)),FALSE,VLOOKUP(tblHorasSet[Evento 
(2º Período)],tblEvento[],Tabelas!$E$1,FALSE)="Sim")),IF(VLOOKUP(TEXT(tblHorasSet[Data],"dddd"),tblDiaUtil[],2,FALSE)="Não",TRUE,FALSE)),
                   tblHorasSet[Saída - 2]-tblHorasSet[Entrada - 2 (Almoço)],
                   IF(OR(HOUR(tblHorasSet[Saída - 2]-tblHorasSet[Entrada - 2 (Almoço)])&gt;0,MINUTE(tblHorasSet[Saída - 2]-tblHorasSet[Entrada - 2 (Almoço)])&gt;CARENCIA),
                         tblHorasSet[Saída - 2]-tblHorasSet[Entrada - 2 (Almoço)],
                         0)),
       0)),0)</f>
        <v>0</v>
      </c>
      <c r="L37" s="4">
        <f>tblHorasSet[Horas Trabalhadas (1º Período)]+tblHorasSet[Horas Trabalhadas (2º Período)]</f>
        <v>0</v>
      </c>
      <c r="M37" s="4" t="str">
        <f>IF(tblHorasSet[Data]&lt;&gt;"",
        IF(
AND(VLOOKUP(TEXT(tblHorasSet[Data],"dddd"),tblDiaUtil[],3,FALSE)="Sim",IF(tblHorasSet[Evento 
(1º Período)]&lt;&gt;"",IF(VLOOKUP(tblHorasSet[Evento 
(1º Período)],tblEvento[],Tabelas!$E$1,FALSE)="Sim",FALSE,TRUE),TRUE),IF(tblHorasSet[Evento 
(2º Período)]&lt;&gt;"",IF(VLOOKUP(tblHorasSet[Evento 
(2º Período)],tblEvento[],Tabelas!$E$1,FALSE)="Sim",FALSE,TRUE),TRUE)),
              IF(VLOOKUP(tblHorasSet[Dia],tblDiaUtil[[Abreviatura]:[1º Período]],3,FALSE)&gt;0,VLOOKUP(tblHorasSet[Dia],tblDiaUtil[[Abreviatura]:[1º Período]],3,FALSE),JORNADA),
              ""),
         "")</f>
        <v/>
      </c>
      <c r="N37" s="14">
        <f>IF(OR(tblHorasSet[Horas Trabalhadas (1º Período)]&lt;&gt;0,tblHorasSet[Horas Trabalhadas (2º Período)]&lt;&gt;0),
        IF(ISNUMBER(tblHorasSet[Jornada Diária]),
              IF(tblHorasSet[Jornada Diária]&gt;(tblHorasSet[Horas Trabalhadas (2º Período)]+tblHorasSet[Horas Trabalhadas (1º Período)]),
                     IF(ROUND((tblHorasSet[Jornada Diária]-(tblHorasSet[Horas Trabalhadas (2º Período)]+tblHorasSet[Horas Trabalhadas (1º Período)])),6)&gt;ROUND(CARENCIA,6),
                           -tblHorasSet[Jornada Diária]+(tblHorasSet[Horas Trabalhadas (2º Período)]+tblHorasSet[Horas Trabalhadas (1º Período)]),
                           0),
                      IF(ROUND((tblHorasSet[Jornada Diária]-(tblHorasSet[Horas Trabalhadas (2º Período)]+tblHorasSet[Horas Trabalhadas (1º Período)])),6)&lt;ROUND(-CARENCIA,6),
                           -tblHorasSet[Jornada Diária]+(tblHorasSet[Horas Trabalhadas (2º Período)]+tblHorasSet[Horas Trabalhadas (1º Período)]),
                           0)),
              tblHorasSet[Horas Trabalhadas (2º Período)]+tblHorasSet[Horas Trabalhadas (1º Período)]),
         IF(AND(IF(ISERROR(VLOOKUP(tblHorasSet[Evento 
(1º Período)],tblEvento[[Evento]:[Libera o Período]],4,FALSE)),FALSE,IF(VLOOKUP(tblHorasSet[Evento 
(1º Período)],tblEvento[[Evento]:[Libera o Período]],4,FALSE)="Não",TRUE,FALSE)),IF(ISERROR(VLOOKUP(tblHorasSet[Evento 
(2º Período)],tblEvento[[Evento]:[Libera o Período]],4,FALSE)),FALSE,IF(VLOOKUP(tblHorasSet[Evento 
(2º Período)],tblEvento[[Evento]:[Libera o Período]],4,FALSE)="Não",TRUE,FALSE))),
-IF(VLOOKUP(tblHorasSet[Dia],tblDiaUtil[[Abreviatura]:[Total Jornada]],5,FALSE)&lt;&gt;"",VLOOKUP(tblHorasSet[Dia],tblDiaUtil[[Abreviatura]:[Total Jornada]],5,FALSE),JORNADA),
IF(IF(ISERROR(VLOOKUP(tblHorasSet[Evento 
(1º Período)],tblEvento[[Evento]:[Libera o Período]],4,FALSE)),FALSE,
IF(VLOOKUP(tblHorasSet[Evento 
(1º Período)],tblEvento[[Evento]:[Libera o Período]],4,FALSE)="Não",TRUE,FALSE)
),
-IF(VLOOKUP(tblHorasSet[Dia],tblDiaUtil[[Abreviatura]:[1º Período]],3,FALSE)&lt;&gt;"",VLOOKUP(tblHorasSet[Dia],tblDiaUtil[[Abreviatura]:[1º Período]],3,FALSE),JORNADA_PERIODO_1),
IF(IF(ISERROR(VLOOKUP(tblHorasSet[Evento 
(2º Período)],tblEvento[[Evento]:[Libera o Período]],4,FALSE)),FALSE,IF(VLOOKUP(tblHorasSet[Evento 
(2º Período)],tblEvento[[Evento]:[Libera o Período]],4,FALSE)="Não",TRUE,FALSE)),
-IF(VLOOKUP(tblHorasSet[Dia],tblDiaUtil[[Abreviatura]:[2º Período]],4,FALSE)&lt;&gt;"",VLOOKUP(tblHorasSet[Dia],tblDiaUtil[[Abreviatura]:[2º Período]],4,FALSE),JORNADA_PERIODO_2),0))))</f>
        <v>0</v>
      </c>
      <c r="O37" s="14">
        <f>IF(tblHorasSet[Horas Trabalhadas Além Jornada]&gt;0,
        IF(ISNUMBER(tblHorasSet[Jornada Diária]),
              IF(HOUR(tblHorasSet[Horas Trabalhadas Além Jornada])&gt;=VLOOKUP(LIMITE,tblLimiteHora[],Tabelas!$I$1,FALSE),
                    VLOOKUP(LIMITE,tblLimiteHora[],Tabelas!$J$1,FALSE),
                    tblHorasSet[Horas Trabalhadas Além Jornada]),
              tblHorasSet[Horas Trabalhadas Além Jornada]),
        tblHorasSet[Horas Trabalhadas Além Jornada])+O36</f>
        <v>0</v>
      </c>
      <c r="P37" s="14" t="str">
        <f>IF(tblHorasSet[Horas Trabalhadas Além Jornada]&lt;0,IF(OR(tblHorasSet[Evento 
(1º Período)]="",tblHorasSet[Evento 
(2º Período)]=""),tblHorasSet[Horas Trabalhadas Além Jornada],""),"")</f>
        <v/>
      </c>
      <c r="Q37" s="14" t="str">
        <f>IF(tblHorasSet[Jornada Diária]&lt;&gt;"",IF((N(tblHorasSet[Jornada Diária])-ABS(N(tblHorasSet[Horas Trabalhadas Além Jornada])))=0,1,""),"")</f>
        <v/>
      </c>
      <c r="R37" s="14" t="str">
        <f>IF(tblHorasSet[Horas Trabalhadas Além Jornada]&gt;0,
IF(AND(VLOOKUP(TEXT(tblHorasSet[Data],"dddd"),tblDiaUtil[],3,FALSE)="Sim",IF(tblHorasSet[Evento 
(1º Período)]&lt;&gt;"",IF(VLOOKUP(tblHorasSet[Evento 
(1º Período)],tblEvento[],Tabelas!$E$1,FALSE)="Sim",FALSE,TRUE),TRUE),IF(tblHorasSet[Evento 
(2º Período)]&lt;&gt;"",IF(VLOOKUP(tblHorasSet[Evento 
(2º Período)],tblEvento[],Tabelas!$E$1,FALSE)="Sim",FALSE,TRUE),TRUE)),
tblHorasSet[Horas Trabalhadas Além Jornada],""),"")</f>
        <v/>
      </c>
      <c r="S37" s="14" t="str">
        <f>IF(tblHorasSet[Horas Trabalhadas Além Jornada]&gt;0,
IF(OR(VLOOKUP(TEXT(tblHorasSet[Data],"dddd"),tblDiaUtil[],3,FALSE)="Não",IF(tblHorasSet[Evento 
(1º Período)]&lt;&gt;"",IF(VLOOKUP(tblHorasSet[Evento 
(1º Período)],tblEvento[],Tabelas!$E$1,FALSE)="Sim",TRUE,FALSE),FALSE),IF(tblHorasSet[Evento 
(2º Período)]&lt;&gt;"",IF(VLOOKUP(tblHorasSet[Evento 
(2º Período)],tblEvento[],Tabelas!$E$1,FALSE)="Sim",TRUE,FALSE),FALSE)),
tblHorasSet[Horas Trabalhadas Além Jornada],""),"")</f>
        <v/>
      </c>
      <c r="T37" s="15" t="str">
        <f>IF(tblHorasSet[Evento 
(1º Período)]&lt;&gt;""," - " &amp;VLOOKUP(tblHorasSet[Evento 
(1º Período)],tblEvento[],Tabelas!$F$1,FALSE),"")&amp;IF(AND(tblHorasSet[Evento 
(2º Período)]&lt;&gt;"",tblHorasSet[Evento 
(2º Período)]&lt;&gt;tblHorasSet[Evento 
(1º Período)])," - " &amp; VLOOKUP(tblHorasSet[Evento 
(2º Período)],tblEvento[],Tabelas!$F$1,FALSE),"")</f>
        <v/>
      </c>
    </row>
    <row r="38" spans="2:21" x14ac:dyDescent="0.25">
      <c r="B38" s="11" t="str">
        <f t="shared" si="0"/>
        <v/>
      </c>
      <c r="C38" s="12" t="str">
        <f>TEXT(tblHorasSet[Data],"ddd")</f>
        <v/>
      </c>
      <c r="D38" s="25"/>
      <c r="E38" s="1"/>
      <c r="F38" s="1"/>
      <c r="G38" s="1"/>
      <c r="H38" s="1"/>
      <c r="I38" s="53"/>
      <c r="J38" s="4">
        <f>IF($B$6&lt;&gt;"",
IF(AND(tblHorasSet[Evento 
(1º Período)]&lt;&gt;"",IF(ISERROR(VLOOKUP(tblHorasSet[Evento 
(1º Período)],tblEvento[],Tabelas!$D$1,FALSE)),FALSE,VLOOKUP(tblHorasSet[Evento 
(1º Período)],tblEvento[],Tabelas!$D$1,FALSE)="Sim")),
        IF(JORNADA_PERIODO_1&lt;&gt;"",
IF(VLOOKUP(tblHorasSet[Dia],tblDiaUtil[[Abreviatura]:[1º Período]],3,FALSE)&gt;0,VLOOKUP(tblHorasSet[Dia],tblDiaUtil[[Abreviatura]:[1º Período]],3,FALSE),JORNADA_PERIODO_1),
IF(VLOOKUP(tblHorasSet[Dia],tblDiaUtil[[Abreviatura]:[1º Período]],3,FALSE)&gt;0,VLOOKUP(tblHorasSet[Dia],tblDiaUtil[[Abreviatura]:[1º Período]],3,FALSE),JORNADA/2)),
        IF(AND(ISNUMBER(tblHorasSet[Saída - 1 (Almoço)]),ISNUMBER(tblHorasSet[Entrada - 1])),
              IF(OR(AND(tblHorasSet[Evento 
(1º Período)]&lt;&gt;"",IF(ISERROR(VLOOKUP(tblHorasSet[Evento 
(1º Período)],tblEvento[],Tabelas!$E$1,FALSE)),FALSE,VLOOKUP(tblHorasSet[Evento 
(1º Período)],tblEvento[],Tabelas!$E$1,FALSE)="Sim")),IF(VLOOKUP(TEXT(tblHorasSet[Data],"dddd"),tblDiaUtil[],2,FALSE)="Não",TRUE,FALSE)),
                   tblHorasSet[Saída - 1 (Almoço)]-tblHorasSet[Entrada - 1],
                   IF(OR(HOUR(tblHorasSet[Saída - 1 (Almoço)]-tblHorasSet[Entrada - 1])&gt;0,ROUND(tblHorasSet[Saída - 1 (Almoço)]-tblHorasSet[Entrada - 1],6)&gt;ROUND(CARENCIA,6)),
                          tblHorasSet[Saída - 1 (Almoço)]-tblHorasSet[Entrada - 1],
                          0)),
                    0)),0)</f>
        <v>0</v>
      </c>
      <c r="K38" s="4">
        <f>IF($B$6&lt;&gt;"",
IF(AND(tblHorasSet[Evento 
(2º Período)]&lt;&gt;"",IF(ISERROR(VLOOKUP(tblHorasSet[Evento 
(2º Período)],tblEvento[],Tabelas!$D$1,FALSE)),FALSE,VLOOKUP(tblHorasSet[Evento 
(2º Período)],tblEvento[],Tabelas!$D$1,FALSE)="Sim")),
        IF(JORNADA_PERIODO_2&lt;&gt;"",
IF(VLOOKUP(tblHorasSet[Dia],tblDiaUtil[[Abreviatura]:[2º Período]],4,FALSE)&gt;0,VLOOKUP(tblHorasSet[Dia],tblDiaUtil[[Abreviatura]:[2º Período]],4,FALSE),JORNADA_PERIODO_2),
IF(VLOOKUP(tblHorasSet[Dia],tblDiaUtil[[Abreviatura]:[2º Período]],4,FALSE)&gt;0,VLOOKUP(tblHorasSet[Dia],tblDiaUtil[[Abreviatura]:[2º Período]],4,FALSE),JORNADA/2)),
        IF(AND(ISNUMBER(tblHorasSet[Saída - 2]),ISNUMBER(tblHorasSet[Entrada - 2 (Almoço)])),
              IF(OR(AND(tblHorasSet[Evento 
(2º Período)]&lt;&gt;"",IF(ISERROR(VLOOKUP(tblHorasSet[Evento 
(2º Período)],tblEvento[],Tabelas!$E$1,FALSE)),FALSE,VLOOKUP(tblHorasSet[Evento 
(2º Período)],tblEvento[],Tabelas!$E$1,FALSE)="Sim")),IF(VLOOKUP(TEXT(tblHorasSet[Data],"dddd"),tblDiaUtil[],2,FALSE)="Não",TRUE,FALSE)),
                   tblHorasSet[Saída - 2]-tblHorasSet[Entrada - 2 (Almoço)],
                   IF(OR(HOUR(tblHorasSet[Saída - 2]-tblHorasSet[Entrada - 2 (Almoço)])&gt;0,MINUTE(tblHorasSet[Saída - 2]-tblHorasSet[Entrada - 2 (Almoço)])&gt;CARENCIA),
                         tblHorasSet[Saída - 2]-tblHorasSet[Entrada - 2 (Almoço)],
                         0)),
       0)),0)</f>
        <v>0</v>
      </c>
      <c r="L38" s="4">
        <f>tblHorasSet[Horas Trabalhadas (1º Período)]+tblHorasSet[Horas Trabalhadas (2º Período)]</f>
        <v>0</v>
      </c>
      <c r="M38" s="4" t="str">
        <f>IF(tblHorasSet[Data]&lt;&gt;"",
        IF(
AND(VLOOKUP(TEXT(tblHorasSet[Data],"dddd"),tblDiaUtil[],3,FALSE)="Sim",IF(tblHorasSet[Evento 
(1º Período)]&lt;&gt;"",IF(VLOOKUP(tblHorasSet[Evento 
(1º Período)],tblEvento[],Tabelas!$E$1,FALSE)="Sim",FALSE,TRUE),TRUE),IF(tblHorasSet[Evento 
(2º Período)]&lt;&gt;"",IF(VLOOKUP(tblHorasSet[Evento 
(2º Período)],tblEvento[],Tabelas!$E$1,FALSE)="Sim",FALSE,TRUE),TRUE)),
              IF(VLOOKUP(tblHorasSet[Dia],tblDiaUtil[[Abreviatura]:[1º Período]],3,FALSE)&gt;0,VLOOKUP(tblHorasSet[Dia],tblDiaUtil[[Abreviatura]:[1º Período]],3,FALSE),JORNADA),
              ""),
         "")</f>
        <v/>
      </c>
      <c r="N38" s="14">
        <f>IF(OR(tblHorasSet[Horas Trabalhadas (1º Período)]&lt;&gt;0,tblHorasSet[Horas Trabalhadas (2º Período)]&lt;&gt;0),
        IF(ISNUMBER(tblHorasSet[Jornada Diária]),
              IF(tblHorasSet[Jornada Diária]&gt;(tblHorasSet[Horas Trabalhadas (2º Período)]+tblHorasSet[Horas Trabalhadas (1º Período)]),
                     IF(ROUND((tblHorasSet[Jornada Diária]-(tblHorasSet[Horas Trabalhadas (2º Período)]+tblHorasSet[Horas Trabalhadas (1º Período)])),6)&gt;ROUND(CARENCIA,6),
                           -tblHorasSet[Jornada Diária]+(tblHorasSet[Horas Trabalhadas (2º Período)]+tblHorasSet[Horas Trabalhadas (1º Período)]),
                           0),
                      IF(ROUND((tblHorasSet[Jornada Diária]-(tblHorasSet[Horas Trabalhadas (2º Período)]+tblHorasSet[Horas Trabalhadas (1º Período)])),6)&lt;ROUND(-CARENCIA,6),
                           -tblHorasSet[Jornada Diária]+(tblHorasSet[Horas Trabalhadas (2º Período)]+tblHorasSet[Horas Trabalhadas (1º Período)]),
                           0)),
              tblHorasSet[Horas Trabalhadas (2º Período)]+tblHorasSet[Horas Trabalhadas (1º Período)]),
         IF(AND(IF(ISERROR(VLOOKUP(tblHorasSet[Evento 
(1º Período)],tblEvento[[Evento]:[Libera o Período]],4,FALSE)),FALSE,IF(VLOOKUP(tblHorasSet[Evento 
(1º Período)],tblEvento[[Evento]:[Libera o Período]],4,FALSE)="Não",TRUE,FALSE)),IF(ISERROR(VLOOKUP(tblHorasSet[Evento 
(2º Período)],tblEvento[[Evento]:[Libera o Período]],4,FALSE)),FALSE,IF(VLOOKUP(tblHorasSet[Evento 
(2º Período)],tblEvento[[Evento]:[Libera o Período]],4,FALSE)="Não",TRUE,FALSE))),
-IF(VLOOKUP(tblHorasSet[Dia],tblDiaUtil[[Abreviatura]:[Total Jornada]],5,FALSE)&lt;&gt;"",VLOOKUP(tblHorasSet[Dia],tblDiaUtil[[Abreviatura]:[Total Jornada]],5,FALSE),JORNADA),
IF(IF(ISERROR(VLOOKUP(tblHorasSet[Evento 
(1º Período)],tblEvento[[Evento]:[Libera o Período]],4,FALSE)),FALSE,
IF(VLOOKUP(tblHorasSet[Evento 
(1º Período)],tblEvento[[Evento]:[Libera o Período]],4,FALSE)="Não",TRUE,FALSE)
),
-IF(VLOOKUP(tblHorasSet[Dia],tblDiaUtil[[Abreviatura]:[1º Período]],3,FALSE)&lt;&gt;"",VLOOKUP(tblHorasSet[Dia],tblDiaUtil[[Abreviatura]:[1º Período]],3,FALSE),JORNADA_PERIODO_1),
IF(IF(ISERROR(VLOOKUP(tblHorasSet[Evento 
(2º Período)],tblEvento[[Evento]:[Libera o Período]],4,FALSE)),FALSE,IF(VLOOKUP(tblHorasSet[Evento 
(2º Período)],tblEvento[[Evento]:[Libera o Período]],4,FALSE)="Não",TRUE,FALSE)),
-IF(VLOOKUP(tblHorasSet[Dia],tblDiaUtil[[Abreviatura]:[2º Período]],4,FALSE)&lt;&gt;"",VLOOKUP(tblHorasSet[Dia],tblDiaUtil[[Abreviatura]:[2º Período]],4,FALSE),JORNADA_PERIODO_2),0))))</f>
        <v>0</v>
      </c>
      <c r="O38" s="14">
        <f>IF(tblHorasSet[Horas Trabalhadas Além Jornada]&gt;0,
        IF(ISNUMBER(tblHorasSet[Jornada Diária]),
              IF(HOUR(tblHorasSet[Horas Trabalhadas Além Jornada])&gt;=VLOOKUP(LIMITE,tblLimiteHora[],Tabelas!$I$1,FALSE),
                    VLOOKUP(LIMITE,tblLimiteHora[],Tabelas!$J$1,FALSE),
                    tblHorasSet[Horas Trabalhadas Além Jornada]),
              tblHorasSet[Horas Trabalhadas Além Jornada]),
        tblHorasSet[Horas Trabalhadas Além Jornada])+O37</f>
        <v>0</v>
      </c>
      <c r="P38" s="14" t="str">
        <f>IF(tblHorasSet[Horas Trabalhadas Além Jornada]&lt;0,IF(OR(tblHorasSet[Evento 
(1º Período)]="",tblHorasSet[Evento 
(2º Período)]=""),tblHorasSet[Horas Trabalhadas Além Jornada],""),"")</f>
        <v/>
      </c>
      <c r="Q38" s="14" t="str">
        <f>IF(tblHorasSet[Jornada Diária]&lt;&gt;"",IF((N(tblHorasSet[Jornada Diária])-ABS(N(tblHorasSet[Horas Trabalhadas Além Jornada])))=0,1,""),"")</f>
        <v/>
      </c>
      <c r="R38" s="14" t="str">
        <f>IF(tblHorasSet[Horas Trabalhadas Além Jornada]&gt;0,
IF(AND(VLOOKUP(TEXT(tblHorasSet[Data],"dddd"),tblDiaUtil[],3,FALSE)="Sim",IF(tblHorasSet[Evento 
(1º Período)]&lt;&gt;"",IF(VLOOKUP(tblHorasSet[Evento 
(1º Período)],tblEvento[],Tabelas!$E$1,FALSE)="Sim",FALSE,TRUE),TRUE),IF(tblHorasSet[Evento 
(2º Período)]&lt;&gt;"",IF(VLOOKUP(tblHorasSet[Evento 
(2º Período)],tblEvento[],Tabelas!$E$1,FALSE)="Sim",FALSE,TRUE),TRUE)),
tblHorasSet[Horas Trabalhadas Além Jornada],""),"")</f>
        <v/>
      </c>
      <c r="S38" s="14" t="str">
        <f>IF(tblHorasSet[Horas Trabalhadas Além Jornada]&gt;0,
IF(OR(VLOOKUP(TEXT(tblHorasSet[Data],"dddd"),tblDiaUtil[],3,FALSE)="Não",IF(tblHorasSet[Evento 
(1º Período)]&lt;&gt;"",IF(VLOOKUP(tblHorasSet[Evento 
(1º Período)],tblEvento[],Tabelas!$E$1,FALSE)="Sim",TRUE,FALSE),FALSE),IF(tblHorasSet[Evento 
(2º Período)]&lt;&gt;"",IF(VLOOKUP(tblHorasSet[Evento 
(2º Período)],tblEvento[],Tabelas!$E$1,FALSE)="Sim",TRUE,FALSE),FALSE)),
tblHorasSet[Horas Trabalhadas Além Jornada],""),"")</f>
        <v/>
      </c>
      <c r="T38" s="15" t="str">
        <f>IF(tblHorasSet[Evento 
(1º Período)]&lt;&gt;""," - " &amp;VLOOKUP(tblHorasSet[Evento 
(1º Período)],tblEvento[],Tabelas!$F$1,FALSE),"")&amp;IF(AND(tblHorasSet[Evento 
(2º Período)]&lt;&gt;"",tblHorasSet[Evento 
(2º Período)]&lt;&gt;tblHorasSet[Evento 
(1º Período)])," - " &amp; VLOOKUP(tblHorasSet[Evento 
(2º Período)],tblEvento[],Tabelas!$F$1,FALSE),"")</f>
        <v/>
      </c>
    </row>
    <row r="39" spans="2:21" x14ac:dyDescent="0.25">
      <c r="B39" s="11" t="str">
        <f t="shared" si="0"/>
        <v/>
      </c>
      <c r="C39" s="12" t="str">
        <f>TEXT(tblHorasSet[Data],"ddd")</f>
        <v/>
      </c>
      <c r="D39" s="25"/>
      <c r="E39" s="1"/>
      <c r="F39" s="1"/>
      <c r="G39" s="1"/>
      <c r="H39" s="1"/>
      <c r="I39" s="53"/>
      <c r="J39" s="4">
        <f>IF($B$6&lt;&gt;"",
IF(AND(tblHorasSet[Evento 
(1º Período)]&lt;&gt;"",IF(ISERROR(VLOOKUP(tblHorasSet[Evento 
(1º Período)],tblEvento[],Tabelas!$D$1,FALSE)),FALSE,VLOOKUP(tblHorasSet[Evento 
(1º Período)],tblEvento[],Tabelas!$D$1,FALSE)="Sim")),
        IF(JORNADA_PERIODO_1&lt;&gt;"",
IF(VLOOKUP(tblHorasSet[Dia],tblDiaUtil[[Abreviatura]:[1º Período]],3,FALSE)&gt;0,VLOOKUP(tblHorasSet[Dia],tblDiaUtil[[Abreviatura]:[1º Período]],3,FALSE),JORNADA_PERIODO_1),
IF(VLOOKUP(tblHorasSet[Dia],tblDiaUtil[[Abreviatura]:[1º Período]],3,FALSE)&gt;0,VLOOKUP(tblHorasSet[Dia],tblDiaUtil[[Abreviatura]:[1º Período]],3,FALSE),JORNADA/2)),
        IF(AND(ISNUMBER(tblHorasSet[Saída - 1 (Almoço)]),ISNUMBER(tblHorasSet[Entrada - 1])),
              IF(OR(AND(tblHorasSet[Evento 
(1º Período)]&lt;&gt;"",IF(ISERROR(VLOOKUP(tblHorasSet[Evento 
(1º Período)],tblEvento[],Tabelas!$E$1,FALSE)),FALSE,VLOOKUP(tblHorasSet[Evento 
(1º Período)],tblEvento[],Tabelas!$E$1,FALSE)="Sim")),IF(VLOOKUP(TEXT(tblHorasSet[Data],"dddd"),tblDiaUtil[],2,FALSE)="Não",TRUE,FALSE)),
                   tblHorasSet[Saída - 1 (Almoço)]-tblHorasSet[Entrada - 1],
                   IF(OR(HOUR(tblHorasSet[Saída - 1 (Almoço)]-tblHorasSet[Entrada - 1])&gt;0,ROUND(tblHorasSet[Saída - 1 (Almoço)]-tblHorasSet[Entrada - 1],6)&gt;ROUND(CARENCIA,6)),
                          tblHorasSet[Saída - 1 (Almoço)]-tblHorasSet[Entrada - 1],
                          0)),
                    0)),0)</f>
        <v>0</v>
      </c>
      <c r="K39" s="4">
        <f>IF($B$6&lt;&gt;"",
IF(AND(tblHorasSet[Evento 
(2º Período)]&lt;&gt;"",IF(ISERROR(VLOOKUP(tblHorasSet[Evento 
(2º Período)],tblEvento[],Tabelas!$D$1,FALSE)),FALSE,VLOOKUP(tblHorasSet[Evento 
(2º Período)],tblEvento[],Tabelas!$D$1,FALSE)="Sim")),
        IF(JORNADA_PERIODO_2&lt;&gt;"",
IF(VLOOKUP(tblHorasSet[Dia],tblDiaUtil[[Abreviatura]:[2º Período]],4,FALSE)&gt;0,VLOOKUP(tblHorasSet[Dia],tblDiaUtil[[Abreviatura]:[2º Período]],4,FALSE),JORNADA_PERIODO_2),
IF(VLOOKUP(tblHorasSet[Dia],tblDiaUtil[[Abreviatura]:[2º Período]],4,FALSE)&gt;0,VLOOKUP(tblHorasSet[Dia],tblDiaUtil[[Abreviatura]:[2º Período]],4,FALSE),JORNADA/2)),
        IF(AND(ISNUMBER(tblHorasSet[Saída - 2]),ISNUMBER(tblHorasSet[Entrada - 2 (Almoço)])),
              IF(OR(AND(tblHorasSet[Evento 
(2º Período)]&lt;&gt;"",IF(ISERROR(VLOOKUP(tblHorasSet[Evento 
(2º Período)],tblEvento[],Tabelas!$E$1,FALSE)),FALSE,VLOOKUP(tblHorasSet[Evento 
(2º Período)],tblEvento[],Tabelas!$E$1,FALSE)="Sim")),IF(VLOOKUP(TEXT(tblHorasSet[Data],"dddd"),tblDiaUtil[],2,FALSE)="Não",TRUE,FALSE)),
                   tblHorasSet[Saída - 2]-tblHorasSet[Entrada - 2 (Almoço)],
                   IF(OR(HOUR(tblHorasSet[Saída - 2]-tblHorasSet[Entrada - 2 (Almoço)])&gt;0,MINUTE(tblHorasSet[Saída - 2]-tblHorasSet[Entrada - 2 (Almoço)])&gt;CARENCIA),
                         tblHorasSet[Saída - 2]-tblHorasSet[Entrada - 2 (Almoço)],
                         0)),
       0)),0)</f>
        <v>0</v>
      </c>
      <c r="L39" s="4">
        <f>tblHorasSet[Horas Trabalhadas (1º Período)]+tblHorasSet[Horas Trabalhadas (2º Período)]</f>
        <v>0</v>
      </c>
      <c r="M39" s="4" t="str">
        <f>IF(tblHorasSet[Data]&lt;&gt;"",
        IF(
AND(VLOOKUP(TEXT(tblHorasSet[Data],"dddd"),tblDiaUtil[],3,FALSE)="Sim",IF(tblHorasSet[Evento 
(1º Período)]&lt;&gt;"",IF(VLOOKUP(tblHorasSet[Evento 
(1º Período)],tblEvento[],Tabelas!$E$1,FALSE)="Sim",FALSE,TRUE),TRUE),IF(tblHorasSet[Evento 
(2º Período)]&lt;&gt;"",IF(VLOOKUP(tblHorasSet[Evento 
(2º Período)],tblEvento[],Tabelas!$E$1,FALSE)="Sim",FALSE,TRUE),TRUE)),
              IF(VLOOKUP(tblHorasSet[Dia],tblDiaUtil[[Abreviatura]:[1º Período]],3,FALSE)&gt;0,VLOOKUP(tblHorasSet[Dia],tblDiaUtil[[Abreviatura]:[1º Período]],3,FALSE),JORNADA),
              ""),
         "")</f>
        <v/>
      </c>
      <c r="N39" s="14">
        <f>IF(OR(tblHorasSet[Horas Trabalhadas (1º Período)]&lt;&gt;0,tblHorasSet[Horas Trabalhadas (2º Período)]&lt;&gt;0),
        IF(ISNUMBER(tblHorasSet[Jornada Diária]),
              IF(tblHorasSet[Jornada Diária]&gt;(tblHorasSet[Horas Trabalhadas (2º Período)]+tblHorasSet[Horas Trabalhadas (1º Período)]),
                     IF(ROUND((tblHorasSet[Jornada Diária]-(tblHorasSet[Horas Trabalhadas (2º Período)]+tblHorasSet[Horas Trabalhadas (1º Período)])),6)&gt;ROUND(CARENCIA,6),
                           -tblHorasSet[Jornada Diária]+(tblHorasSet[Horas Trabalhadas (2º Período)]+tblHorasSet[Horas Trabalhadas (1º Período)]),
                           0),
                      IF(ROUND((tblHorasSet[Jornada Diária]-(tblHorasSet[Horas Trabalhadas (2º Período)]+tblHorasSet[Horas Trabalhadas (1º Período)])),6)&lt;ROUND(-CARENCIA,6),
                           -tblHorasSet[Jornada Diária]+(tblHorasSet[Horas Trabalhadas (2º Período)]+tblHorasSet[Horas Trabalhadas (1º Período)]),
                           0)),
              tblHorasSet[Horas Trabalhadas (2º Período)]+tblHorasSet[Horas Trabalhadas (1º Período)]),
         IF(AND(IF(ISERROR(VLOOKUP(tblHorasSet[Evento 
(1º Período)],tblEvento[[Evento]:[Libera o Período]],4,FALSE)),FALSE,IF(VLOOKUP(tblHorasSet[Evento 
(1º Período)],tblEvento[[Evento]:[Libera o Período]],4,FALSE)="Não",TRUE,FALSE)),IF(ISERROR(VLOOKUP(tblHorasSet[Evento 
(2º Período)],tblEvento[[Evento]:[Libera o Período]],4,FALSE)),FALSE,IF(VLOOKUP(tblHorasSet[Evento 
(2º Período)],tblEvento[[Evento]:[Libera o Período]],4,FALSE)="Não",TRUE,FALSE))),
-IF(VLOOKUP(tblHorasSet[Dia],tblDiaUtil[[Abreviatura]:[Total Jornada]],5,FALSE)&lt;&gt;"",VLOOKUP(tblHorasSet[Dia],tblDiaUtil[[Abreviatura]:[Total Jornada]],5,FALSE),JORNADA),
IF(IF(ISERROR(VLOOKUP(tblHorasSet[Evento 
(1º Período)],tblEvento[[Evento]:[Libera o Período]],4,FALSE)),FALSE,
IF(VLOOKUP(tblHorasSet[Evento 
(1º Período)],tblEvento[[Evento]:[Libera o Período]],4,FALSE)="Não",TRUE,FALSE)
),
-IF(VLOOKUP(tblHorasSet[Dia],tblDiaUtil[[Abreviatura]:[1º Período]],3,FALSE)&lt;&gt;"",VLOOKUP(tblHorasSet[Dia],tblDiaUtil[[Abreviatura]:[1º Período]],3,FALSE),JORNADA_PERIODO_1),
IF(IF(ISERROR(VLOOKUP(tblHorasSet[Evento 
(2º Período)],tblEvento[[Evento]:[Libera o Período]],4,FALSE)),FALSE,IF(VLOOKUP(tblHorasSet[Evento 
(2º Período)],tblEvento[[Evento]:[Libera o Período]],4,FALSE)="Não",TRUE,FALSE)),
-IF(VLOOKUP(tblHorasSet[Dia],tblDiaUtil[[Abreviatura]:[2º Período]],4,FALSE)&lt;&gt;"",VLOOKUP(tblHorasSet[Dia],tblDiaUtil[[Abreviatura]:[2º Período]],4,FALSE),JORNADA_PERIODO_2),0))))</f>
        <v>0</v>
      </c>
      <c r="O39" s="14">
        <f>IF(tblHorasSet[Horas Trabalhadas Além Jornada]&gt;0,
        IF(ISNUMBER(tblHorasSet[Jornada Diária]),
              IF(HOUR(tblHorasSet[Horas Trabalhadas Além Jornada])&gt;=VLOOKUP(LIMITE,tblLimiteHora[],Tabelas!$I$1,FALSE),
                    VLOOKUP(LIMITE,tblLimiteHora[],Tabelas!$J$1,FALSE),
                    tblHorasSet[Horas Trabalhadas Além Jornada]),
              tblHorasSet[Horas Trabalhadas Além Jornada]),
        tblHorasSet[Horas Trabalhadas Além Jornada])+O38</f>
        <v>0</v>
      </c>
      <c r="P39" s="14" t="str">
        <f>IF(tblHorasSet[Horas Trabalhadas Além Jornada]&lt;0,IF(OR(tblHorasSet[Evento 
(1º Período)]="",tblHorasSet[Evento 
(2º Período)]=""),tblHorasSet[Horas Trabalhadas Além Jornada],""),"")</f>
        <v/>
      </c>
      <c r="Q39" s="14" t="str">
        <f>IF(tblHorasSet[Jornada Diária]&lt;&gt;"",IF((N(tblHorasSet[Jornada Diária])-ABS(N(tblHorasSet[Horas Trabalhadas Além Jornada])))=0,1,""),"")</f>
        <v/>
      </c>
      <c r="R39" s="14" t="str">
        <f>IF(tblHorasSet[Horas Trabalhadas Além Jornada]&gt;0,
IF(AND(VLOOKUP(TEXT(tblHorasSet[Data],"dddd"),tblDiaUtil[],3,FALSE)="Sim",IF(tblHorasSet[Evento 
(1º Período)]&lt;&gt;"",IF(VLOOKUP(tblHorasSet[Evento 
(1º Período)],tblEvento[],Tabelas!$E$1,FALSE)="Sim",FALSE,TRUE),TRUE),IF(tblHorasSet[Evento 
(2º Período)]&lt;&gt;"",IF(VLOOKUP(tblHorasSet[Evento 
(2º Período)],tblEvento[],Tabelas!$E$1,FALSE)="Sim",FALSE,TRUE),TRUE)),
tblHorasSet[Horas Trabalhadas Além Jornada],""),"")</f>
        <v/>
      </c>
      <c r="S39" s="14" t="str">
        <f>IF(tblHorasSet[Horas Trabalhadas Além Jornada]&gt;0,
IF(OR(VLOOKUP(TEXT(tblHorasSet[Data],"dddd"),tblDiaUtil[],3,FALSE)="Não",IF(tblHorasSet[Evento 
(1º Período)]&lt;&gt;"",IF(VLOOKUP(tblHorasSet[Evento 
(1º Período)],tblEvento[],Tabelas!$E$1,FALSE)="Sim",TRUE,FALSE),FALSE),IF(tblHorasSet[Evento 
(2º Período)]&lt;&gt;"",IF(VLOOKUP(tblHorasSet[Evento 
(2º Período)],tblEvento[],Tabelas!$E$1,FALSE)="Sim",TRUE,FALSE),FALSE)),
tblHorasSet[Horas Trabalhadas Além Jornada],""),"")</f>
        <v/>
      </c>
      <c r="T39" s="15" t="str">
        <f>IF(tblHorasSet[Evento 
(1º Período)]&lt;&gt;""," - " &amp;VLOOKUP(tblHorasSet[Evento 
(1º Período)],tblEvento[],Tabelas!$F$1,FALSE),"")&amp;IF(AND(tblHorasSet[Evento 
(2º Período)]&lt;&gt;"",tblHorasSet[Evento 
(2º Período)]&lt;&gt;tblHorasSet[Evento 
(1º Período)])," - " &amp; VLOOKUP(tblHorasSet[Evento 
(2º Período)],tblEvento[],Tabelas!$F$1,FALSE),"")</f>
        <v/>
      </c>
    </row>
    <row r="40" spans="2:21" ht="5.0999999999999996" customHeight="1" x14ac:dyDescent="0.25">
      <c r="T40" s="24"/>
      <c r="U40" s="24"/>
    </row>
    <row r="41" spans="2:21" ht="9.9499999999999993" customHeight="1" x14ac:dyDescent="0.25">
      <c r="T41" s="35" t="s">
        <v>99</v>
      </c>
      <c r="U41" s="24"/>
    </row>
    <row r="42" spans="2:21" hidden="1" x14ac:dyDescent="0.25">
      <c r="T42" s="24"/>
      <c r="U42" s="24"/>
    </row>
    <row r="43" spans="2:21" hidden="1" x14ac:dyDescent="0.25">
      <c r="T43" s="24"/>
      <c r="U43" s="24"/>
    </row>
    <row r="44" spans="2:21" hidden="1" x14ac:dyDescent="0.25">
      <c r="T44" s="24"/>
      <c r="U44" s="24"/>
    </row>
    <row r="45" spans="2:21" hidden="1" x14ac:dyDescent="0.25"/>
    <row r="46" spans="2:21" x14ac:dyDescent="0.25"/>
    <row r="47" spans="2:21" x14ac:dyDescent="0.25"/>
  </sheetData>
  <sheetProtection algorithmName="SHA-512" hashValue="PZOoKmevw1uXldtv7XhytAr7KVwVRNW0O3nL6sDSPoSU9tVlS0XYy9hv15rawW4Ubl0BmYSEtxsqJWiW/bbr/g==" saltValue="fi+kMDTuT9zb3g6lbzUMaQ==" spinCount="100000" sheet="1" formatCells="0" formatColumns="0" formatRows="0" selectLockedCells="1" autoFilter="0" pivotTables="0"/>
  <dataConsolidate/>
  <mergeCells count="8">
    <mergeCell ref="O1:T4"/>
    <mergeCell ref="G2:I2"/>
    <mergeCell ref="H3:I3"/>
    <mergeCell ref="H4:I4"/>
    <mergeCell ref="B5:C5"/>
    <mergeCell ref="O5:O6"/>
    <mergeCell ref="B6:C6"/>
    <mergeCell ref="P6:S6"/>
  </mergeCells>
  <dataValidations count="5">
    <dataValidation type="time" allowBlank="1" showInputMessage="1" showErrorMessage="1" errorTitle="Aviso" error="Erro na inserção de dados:_x000a__x000a_'Hora Inválida'_x000a__x000a_Favor inserir uma hora válida no formato: hh:mm (ex. 12:00)" sqref="E9:H39">
      <formula1>0</formula1>
      <formula2>0.999305555555556</formula2>
    </dataValidation>
    <dataValidation type="whole" errorStyle="warning" allowBlank="1" showInputMessage="1" showErrorMessage="1" errorTitle="Aviso" error="Ano fora do período estipulado" promptTitle="Digite o ano com 4 dígitos" prompt="_x000a_ex. 2016_x000a__x000a_Entre: 1904 a 9999" sqref="D6">
      <formula1>999</formula1>
      <formula2>9999</formula2>
    </dataValidation>
    <dataValidation type="list" allowBlank="1" showErrorMessage="1" errorTitle="Mês Inválido" error="Selecione na lista um mês válido" sqref="B6:C6">
      <formula1>lst_Mes</formula1>
    </dataValidation>
    <dataValidation type="list" allowBlank="1" showInputMessage="1" showErrorMessage="1" errorTitle="Aviso" error="Erro na inserção de dados:_x000a__x000a_'Evento Inválido'_x000a__x000a_Selecione um Evento válido na Lista" promptTitle="Evento" prompt="_x000a_Selecione um Evento na Lista" sqref="D9:D39 I9:I39">
      <formula1>lstEvento</formula1>
    </dataValidation>
    <dataValidation type="whole" allowBlank="1" showInputMessage="1" showErrorMessage="1" errorTitle="Erro" error="Dia inexistente" promptTitle="Digite o primeiro dia do mês" prompt="Somente utilize esse campo caso o dia seja diferente de 1." sqref="E6">
      <formula1>1</formula1>
      <formula2>31</formula2>
    </dataValidation>
  </dataValidations>
  <printOptions verticalCentered="1"/>
  <pageMargins left="0.51181102362204722" right="0.51181102362204722" top="0.78740157480314965" bottom="0.78740157480314965" header="0.31496062992125984" footer="0.31496062992125984"/>
  <pageSetup paperSize="9" scale="82" orientation="landscape" r:id="rId1"/>
  <headerFooter>
    <oddHeader>&amp;R&amp;D</oddHeader>
    <oddFooter>&amp;L.e&amp;RPágina &amp;P de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7" id="{A596DB89-57CD-4C1E-A732-2AAD34B5DB82}">
            <xm:f>IF(OR(IF(ISERROR(VLOOKUP($C9,Config!$C$1:$D$18,2,FALSE)),FALSE,IF(VLOOKUP($C9,Config!$C$1:$D$18,2,FALSE)="Não",TRUE,FALSE)),IF(ISERROR(VLOOKUP($D9,Tabelas!$A$3:$B$51,2,FALSE)),FALSE,IF(VLOOKUP($D9,Tabelas!$A$3:$B$51,2,FALSE)="Sim",TRUE,FALSE)),IF(ISERROR(VLOOKUP($I9,Tabelas!$A$3:$B$51,2,FALSE)),FALSE,IF(VLOOKUP($I9,Tabelas!$A$3:$B$51,2,FALSE)="Sim",TRUE,FALSE))),TRUE,FALSE)</xm:f>
            <x14:dxf>
              <fill>
                <patternFill>
                  <bgColor rgb="FFFFFFCC"/>
                </patternFill>
              </fill>
            </x14:dxf>
          </x14:cfRule>
          <xm:sqref>B9:T9</xm:sqref>
        </x14:conditionalFormatting>
        <x14:conditionalFormatting xmlns:xm="http://schemas.microsoft.com/office/excel/2006/main">
          <x14:cfRule type="expression" priority="6" id="{D79234DB-E62D-4B7D-A140-73D36FED269E}">
            <xm:f>IF(IF(ISERROR(VLOOKUP($D9,Tabelas!$A$3:$C$51,3,FALSE)),FALSE,VLOOKUP($D9,Tabelas!$A$3:$C$51,3,FALSE)="Sim"),TRUE,FALSE)</xm:f>
            <x14:dxf>
              <fill>
                <patternFill>
                  <bgColor rgb="FFFFD1D2"/>
                </patternFill>
              </fill>
            </x14:dxf>
          </x14:cfRule>
          <xm:sqref>J9 D9:F9</xm:sqref>
        </x14:conditionalFormatting>
        <x14:conditionalFormatting xmlns:xm="http://schemas.microsoft.com/office/excel/2006/main">
          <x14:cfRule type="expression" priority="8" id="{2C3B2D52-D6AB-4C8B-A8AE-29E8786C896C}">
            <xm:f>IF(IF(ISERROR(VLOOKUP($I9,Tabelas!$A$3:$C$51,3,FALSE)),FALSE,VLOOKUP($I9,Tabelas!$A$3:$C$51,3,FALSE)="Sim"),TRUE,FALSE)</xm:f>
            <x14:dxf>
              <fill>
                <patternFill>
                  <bgColor rgb="FFFFD5D6"/>
                </patternFill>
              </fill>
            </x14:dxf>
          </x14:cfRule>
          <xm:sqref>K9:M9 G9:I9</xm:sqref>
        </x14:conditionalFormatting>
        <x14:conditionalFormatting xmlns:xm="http://schemas.microsoft.com/office/excel/2006/main">
          <x14:cfRule type="expression" priority="5" id="{9BB52A16-E3B0-46F1-9D76-A79666615E60}">
            <xm:f>IF(OR(IF(ISERROR(VLOOKUP($C7,Config!$C$1:$D$18,2,FALSE)),FALSE,IF(VLOOKUP($C7,Config!$C$1:$D$18,2,FALSE)="Não",TRUE,FALSE)),IF(ISERROR(VLOOKUP($D7,Tabelas!$A$3:$B$51,2,FALSE)),FALSE,IF(VLOOKUP($D7,Tabelas!$A$3:$B$51,2,FALSE)="Sim",TRUE,FALSE)),IF(ISERROR(VLOOKUP($I7,Tabelas!$A$3:$B$51,2,FALSE)),FALSE,IF(VLOOKUP($I7,Tabelas!$A$3:$B$51,2,FALSE)="Sim",TRUE,FALSE))),TRUE,FALSE)</xm:f>
            <x14:dxf>
              <fill>
                <patternFill>
                  <bgColor rgb="FFFFFFCC"/>
                </patternFill>
              </fill>
            </x14:dxf>
          </x14:cfRule>
          <xm:sqref>P7:S7</xm:sqref>
        </x14:conditionalFormatting>
        <x14:conditionalFormatting xmlns:xm="http://schemas.microsoft.com/office/excel/2006/main">
          <x14:cfRule type="expression" priority="3" id="{154D9305-35D2-4216-93C4-5A22F95391C2}">
            <xm:f>IF(OR(IF(ISERROR(VLOOKUP($C10,Config!$C$1:$D$18,2,FALSE)),FALSE,IF(VLOOKUP($C10,Config!$C$1:$D$18,2,FALSE)="Não",TRUE,FALSE)),IF(ISERROR(VLOOKUP($D10,Tabelas!$A$3:$B$51,2,FALSE)),FALSE,IF(VLOOKUP($D10,Tabelas!$A$3:$B$51,2,FALSE)="Sim",TRUE,FALSE)),IF(ISERROR(VLOOKUP($I10,Tabelas!$A$3:$B$51,2,FALSE)),FALSE,IF(VLOOKUP($I10,Tabelas!$A$3:$B$51,2,FALSE)="Sim",TRUE,FALSE))),TRUE,FALSE)</xm:f>
            <x14:dxf>
              <fill>
                <patternFill>
                  <bgColor rgb="FFFFFFCC"/>
                </patternFill>
              </fill>
            </x14:dxf>
          </x14:cfRule>
          <xm:sqref>B10:T39</xm:sqref>
        </x14:conditionalFormatting>
        <x14:conditionalFormatting xmlns:xm="http://schemas.microsoft.com/office/excel/2006/main">
          <x14:cfRule type="expression" priority="2" id="{756CF129-DACA-4B77-A0D7-3CB4B4375B24}">
            <xm:f>IF(IF(ISERROR(VLOOKUP($D10,Tabelas!$A$3:$C$51,3,FALSE)),FALSE,VLOOKUP($D10,Tabelas!$A$3:$C$51,3,FALSE)="Sim"),TRUE,FALSE)</xm:f>
            <x14:dxf>
              <fill>
                <patternFill>
                  <bgColor rgb="FFFFD1D2"/>
                </patternFill>
              </fill>
            </x14:dxf>
          </x14:cfRule>
          <xm:sqref>J10:J39 D10:F39</xm:sqref>
        </x14:conditionalFormatting>
        <x14:conditionalFormatting xmlns:xm="http://schemas.microsoft.com/office/excel/2006/main">
          <x14:cfRule type="expression" priority="4" id="{A40F0AD7-3B82-43C5-BAE4-10AB95AC5565}">
            <xm:f>IF(IF(ISERROR(VLOOKUP($I10,Tabelas!$A$3:$C$51,3,FALSE)),FALSE,VLOOKUP($I10,Tabelas!$A$3:$C$51,3,FALSE)="Sim"),TRUE,FALSE)</xm:f>
            <x14:dxf>
              <fill>
                <patternFill>
                  <bgColor rgb="FFFFD5D6"/>
                </patternFill>
              </fill>
            </x14:dxf>
          </x14:cfRule>
          <xm:sqref>K10:M39 G10:I39</xm:sqref>
        </x14:conditionalFormatting>
        <x14:conditionalFormatting xmlns:xm="http://schemas.microsoft.com/office/excel/2006/main">
          <x14:cfRule type="expression" priority="1" id="{91962BE0-0ED8-406C-B2B1-9BEB145AE989}">
            <xm:f>IF(OR(IF(ISERROR(VLOOKUP($C7,Config!$C$1:$D$18,2,FALSE)),FALSE,IF(VLOOKUP($C7,Config!$C$1:$D$18,2,FALSE)="Não",TRUE,FALSE)),IF(ISERROR(VLOOKUP($D7,Tabelas!$A$3:$B$51,2,FALSE)),FALSE,IF(VLOOKUP($D7,Tabelas!$A$3:$B$51,2,FALSE)="Sim",TRUE,FALSE)),IF(ISERROR(VLOOKUP($I7,Tabelas!$A$3:$B$51,2,FALSE)),FALSE,IF(VLOOKUP($I7,Tabelas!$A$3:$B$51,2,FALSE)="Sim",TRUE,FALSE))),TRUE,FALSE)</xm:f>
            <x14:dxf>
              <fill>
                <patternFill>
                  <bgColor rgb="FFFFFFCC"/>
                </patternFill>
              </fill>
            </x14:dxf>
          </x14:cfRule>
          <xm:sqref>O7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nOutubro">
    <tabColor theme="4" tint="0.59999389629810485"/>
    <pageSetUpPr fitToPage="1"/>
  </sheetPr>
  <dimension ref="A1:AC47"/>
  <sheetViews>
    <sheetView showGridLines="0" workbookViewId="0">
      <pane xSplit="1" ySplit="8" topLeftCell="B9" activePane="bottomRight" state="frozen"/>
      <selection activeCell="H10" sqref="H10"/>
      <selection pane="topRight" activeCell="H10" sqref="H10"/>
      <selection pane="bottomLeft" activeCell="H10" sqref="H10"/>
      <selection pane="bottomRight" activeCell="E9" sqref="E9"/>
    </sheetView>
  </sheetViews>
  <sheetFormatPr defaultColWidth="0" defaultRowHeight="15" zeroHeight="1" x14ac:dyDescent="0.25"/>
  <cols>
    <col min="1" max="1" width="6.7109375" style="5" customWidth="1"/>
    <col min="2" max="2" width="10.7109375" style="5" customWidth="1"/>
    <col min="3" max="3" width="10" style="5" customWidth="1"/>
    <col min="4" max="9" width="12.7109375" style="5" customWidth="1"/>
    <col min="10" max="14" width="12.7109375" style="5" hidden="1" customWidth="1"/>
    <col min="15" max="15" width="12.7109375" style="5" customWidth="1"/>
    <col min="16" max="19" width="12.7109375" style="5" hidden="1" customWidth="1"/>
    <col min="20" max="20" width="38.42578125" style="5" customWidth="1"/>
    <col min="21" max="21" width="2.7109375" style="5" customWidth="1"/>
    <col min="22" max="22" width="9.140625" style="5" hidden="1" customWidth="1"/>
    <col min="23" max="23" width="12.42578125" style="5" hidden="1" customWidth="1"/>
    <col min="24" max="25" width="0" style="5" hidden="1" customWidth="1"/>
    <col min="26" max="26" width="9.140625" style="5" hidden="1" customWidth="1"/>
    <col min="27" max="27" width="12.42578125" style="5" hidden="1" customWidth="1"/>
    <col min="28" max="29" width="0" style="5" hidden="1" customWidth="1"/>
    <col min="30" max="16384" width="9.140625" style="5" hidden="1"/>
  </cols>
  <sheetData>
    <row r="1" spans="2:25" ht="15" customHeight="1" x14ac:dyDescent="0.25">
      <c r="G1" s="48" t="s">
        <v>58</v>
      </c>
      <c r="O1" s="83" t="str">
        <f>"*Limite de horas: " &amp; LIMITE &amp; "; e 
*Contabiliza a partir de " &amp; TEXT(CARENCIA, "hh:mm") &amp; " hora(s) (para mais ou para menos);
*Caso tenha Atestado em um dos períodos, o que ultrapassar de 4:00 horas de trabalho contabiliza hora positiva."</f>
        <v>*Limite de horas: 2h diárias; e 
*Contabiliza a partir de 00:00 hora(s) (para mais ou para menos);
*Caso tenha Atestado em um dos períodos, o que ultrapassar de 4:00 horas de trabalho contabiliza hora positiva.</v>
      </c>
      <c r="P1" s="83"/>
      <c r="Q1" s="83"/>
      <c r="R1" s="83"/>
      <c r="S1" s="83"/>
      <c r="T1" s="83"/>
    </row>
    <row r="2" spans="2:25" ht="15" customHeight="1" thickBot="1" x14ac:dyDescent="0.3">
      <c r="B2" s="6"/>
      <c r="G2" s="90"/>
      <c r="H2" s="91"/>
      <c r="I2" s="91"/>
      <c r="N2" s="24"/>
      <c r="O2" s="83"/>
      <c r="P2" s="83"/>
      <c r="Q2" s="83"/>
      <c r="R2" s="83"/>
      <c r="S2" s="83"/>
      <c r="T2" s="83"/>
    </row>
    <row r="3" spans="2:25" ht="15" customHeight="1" x14ac:dyDescent="0.25">
      <c r="B3" s="6"/>
      <c r="G3" s="48" t="s">
        <v>96</v>
      </c>
      <c r="H3" s="92" t="s">
        <v>97</v>
      </c>
      <c r="I3" s="93"/>
      <c r="N3" s="24"/>
      <c r="O3" s="83"/>
      <c r="P3" s="83"/>
      <c r="Q3" s="83"/>
      <c r="R3" s="83"/>
      <c r="S3" s="83"/>
      <c r="T3" s="83"/>
    </row>
    <row r="4" spans="2:25" ht="15" customHeight="1" thickBot="1" x14ac:dyDescent="0.3">
      <c r="B4" s="6"/>
      <c r="G4" s="52"/>
      <c r="H4" s="84"/>
      <c r="I4" s="85"/>
      <c r="N4" s="24"/>
      <c r="O4" s="83"/>
      <c r="P4" s="83"/>
      <c r="Q4" s="83"/>
      <c r="R4" s="83"/>
      <c r="S4" s="83"/>
      <c r="T4" s="83"/>
    </row>
    <row r="5" spans="2:25" ht="15" customHeight="1" x14ac:dyDescent="0.25">
      <c r="B5" s="86" t="s">
        <v>59</v>
      </c>
      <c r="C5" s="87"/>
      <c r="D5" s="48" t="s">
        <v>62</v>
      </c>
      <c r="E5" s="48" t="s">
        <v>88</v>
      </c>
      <c r="G5" s="7"/>
      <c r="N5" s="24"/>
      <c r="O5" s="94" t="s">
        <v>100</v>
      </c>
      <c r="P5" s="34" t="s">
        <v>76</v>
      </c>
      <c r="Q5" s="34" t="s">
        <v>76</v>
      </c>
      <c r="R5" s="34" t="s">
        <v>76</v>
      </c>
      <c r="S5" s="34" t="s">
        <v>76</v>
      </c>
      <c r="T5" s="24"/>
    </row>
    <row r="6" spans="2:25" ht="16.5" customHeight="1" thickBot="1" x14ac:dyDescent="0.3">
      <c r="B6" s="88" t="s">
        <v>72</v>
      </c>
      <c r="C6" s="89"/>
      <c r="D6" s="30" t="str">
        <f>IF(Janeiro!D6&lt;&gt;"",Janeiro!D6,"")</f>
        <v/>
      </c>
      <c r="E6" s="30" t="str">
        <f>IF(Janeiro!E6&lt;&gt;"",Janeiro!E6,"")</f>
        <v/>
      </c>
      <c r="F6" s="32" t="str">
        <f>IF(ISERROR(DATEVALUE(IF(E6&lt;&gt;"",E6,1)&amp;"-"&amp;B6&amp;"-"&amp;D6)),"",DATEVALUE(IF(E6&lt;&gt;"",E6,1)&amp;"-"&amp;B6&amp;"-"&amp;D6))</f>
        <v/>
      </c>
      <c r="N6" s="24"/>
      <c r="O6" s="95"/>
      <c r="P6" s="81" t="s">
        <v>95</v>
      </c>
      <c r="Q6" s="82"/>
      <c r="R6" s="82"/>
      <c r="S6" s="82"/>
      <c r="T6" s="24"/>
    </row>
    <row r="7" spans="2:25" x14ac:dyDescent="0.25">
      <c r="E7" s="8"/>
      <c r="F7" s="8"/>
      <c r="G7" s="8"/>
      <c r="H7" s="8"/>
      <c r="I7" s="8"/>
      <c r="J7" s="34" t="s">
        <v>76</v>
      </c>
      <c r="K7" s="34" t="s">
        <v>76</v>
      </c>
      <c r="L7" s="34" t="s">
        <v>76</v>
      </c>
      <c r="M7" s="34" t="s">
        <v>76</v>
      </c>
      <c r="N7" s="34" t="s">
        <v>76</v>
      </c>
      <c r="O7" s="45">
        <f>Setembro!O39</f>
        <v>0</v>
      </c>
      <c r="P7" s="45">
        <f>SUM(tblHorasOut[Atrasos
(horas)])</f>
        <v>0</v>
      </c>
      <c r="Q7" s="46">
        <f>SUM(tblHorasOut[Faltas
(dias)])</f>
        <v>0</v>
      </c>
      <c r="R7" s="45">
        <f>SUM(tblHorasOut[Hora Extra Normal])</f>
        <v>0</v>
      </c>
      <c r="S7" s="45">
        <f>SUM(tblHorasOut[Hora Extra 
Especial])</f>
        <v>0</v>
      </c>
      <c r="T7" s="24"/>
    </row>
    <row r="8" spans="2:25" s="9" customFormat="1" ht="45" customHeight="1" x14ac:dyDescent="0.25">
      <c r="B8" s="9" t="s">
        <v>0</v>
      </c>
      <c r="C8" s="9" t="s">
        <v>1</v>
      </c>
      <c r="D8" s="10" t="s">
        <v>51</v>
      </c>
      <c r="E8" s="9" t="s">
        <v>3</v>
      </c>
      <c r="F8" s="9" t="s">
        <v>4</v>
      </c>
      <c r="G8" s="9" t="s">
        <v>5</v>
      </c>
      <c r="H8" s="9" t="s">
        <v>6</v>
      </c>
      <c r="I8" s="10" t="s">
        <v>52</v>
      </c>
      <c r="J8" s="9" t="s">
        <v>35</v>
      </c>
      <c r="K8" s="9" t="s">
        <v>36</v>
      </c>
      <c r="L8" s="9" t="s">
        <v>55</v>
      </c>
      <c r="M8" s="9" t="s">
        <v>48</v>
      </c>
      <c r="N8" s="9" t="s">
        <v>50</v>
      </c>
      <c r="O8" s="9" t="s">
        <v>49</v>
      </c>
      <c r="P8" s="9" t="s">
        <v>91</v>
      </c>
      <c r="Q8" s="9" t="s">
        <v>92</v>
      </c>
      <c r="R8" s="9" t="s">
        <v>93</v>
      </c>
      <c r="S8" s="9" t="s">
        <v>94</v>
      </c>
      <c r="T8" s="9" t="s">
        <v>46</v>
      </c>
      <c r="W8" s="26"/>
    </row>
    <row r="9" spans="2:25" x14ac:dyDescent="0.25">
      <c r="B9" s="11" t="str">
        <f>IF(ISERROR(F6),"",F6)</f>
        <v/>
      </c>
      <c r="C9" s="12" t="str">
        <f>TEXT(tblHorasOut[Data],"ddd")</f>
        <v/>
      </c>
      <c r="D9" s="25"/>
      <c r="E9" s="1"/>
      <c r="F9" s="1"/>
      <c r="G9" s="1"/>
      <c r="H9" s="1"/>
      <c r="I9" s="53"/>
      <c r="J9" s="4">
        <f>IF($B$6&lt;&gt;"",
IF(AND(tblHorasOut[Evento 
(1º Período)]&lt;&gt;"",IF(ISERROR(VLOOKUP(tblHorasOut[Evento 
(1º Período)],tblEvento[],Tabelas!$D$1,FALSE)),FALSE,VLOOKUP(tblHorasOut[Evento 
(1º Período)],tblEvento[],Tabelas!$D$1,FALSE)="Sim")),
        IF(JORNADA_PERIODO_1&lt;&gt;"",
IF(VLOOKUP(tblHorasOut[Dia],tblDiaUtil[[Abreviatura]:[1º Período]],3,FALSE)&gt;0,VLOOKUP(tblHorasOut[Dia],tblDiaUtil[[Abreviatura]:[1º Período]],3,FALSE),JORNADA_PERIODO_1),
IF(VLOOKUP(tblHorasOut[Dia],tblDiaUtil[[Abreviatura]:[1º Período]],3,FALSE)&gt;0,VLOOKUP(tblHorasOut[Dia],tblDiaUtil[[Abreviatura]:[1º Período]],3,FALSE),JORNADA/2)),
        IF(AND(ISNUMBER(tblHorasOut[Saída - 1 (Almoço)]),ISNUMBER(tblHorasOut[Entrada - 1])),
              IF(OR(AND(tblHorasOut[Evento 
(1º Período)]&lt;&gt;"",IF(ISERROR(VLOOKUP(tblHorasOut[Evento 
(1º Período)],tblEvento[],Tabelas!$E$1,FALSE)),FALSE,VLOOKUP(tblHorasOut[Evento 
(1º Período)],tblEvento[],Tabelas!$E$1,FALSE)="Sim")),IF(VLOOKUP(TEXT(tblHorasOut[Data],"dddd"),tblDiaUtil[],2,FALSE)="Não",TRUE,FALSE)),
                   tblHorasOut[Saída - 1 (Almoço)]-tblHorasOut[Entrada - 1],
                   IF(OR(HOUR(tblHorasOut[Saída - 1 (Almoço)]-tblHorasOut[Entrada - 1])&gt;0,ROUND(tblHorasOut[Saída - 1 (Almoço)]-tblHorasOut[Entrada - 1],6)&gt;ROUND(CARENCIA,6)),
                          tblHorasOut[Saída - 1 (Almoço)]-tblHorasOut[Entrada - 1],
                          0)),
                    0)),0)</f>
        <v>0</v>
      </c>
      <c r="K9" s="4">
        <f>IF($B$6&lt;&gt;"",
IF(AND(tblHorasOut[Evento 
(2º Período)]&lt;&gt;"",IF(ISERROR(VLOOKUP(tblHorasOut[Evento 
(2º Período)],tblEvento[],Tabelas!$D$1,FALSE)),FALSE,VLOOKUP(tblHorasOut[Evento 
(2º Período)],tblEvento[],Tabelas!$D$1,FALSE)="Sim")),
        IF(JORNADA_PERIODO_2&lt;&gt;"",
IF(VLOOKUP(tblHorasOut[Dia],tblDiaUtil[[Abreviatura]:[2º Período]],4,FALSE)&gt;0,VLOOKUP(tblHorasOut[Dia],tblDiaUtil[[Abreviatura]:[2º Período]],4,FALSE),JORNADA_PERIODO_2),
IF(VLOOKUP(tblHorasOut[Dia],tblDiaUtil[[Abreviatura]:[2º Período]],4,FALSE)&gt;0,VLOOKUP(tblHorasOut[Dia],tblDiaUtil[[Abreviatura]:[2º Período]],4,FALSE),JORNADA/2)),
        IF(AND(ISNUMBER(tblHorasOut[Saída - 2]),ISNUMBER(tblHorasOut[Entrada - 2 (Almoço)])),
              IF(OR(AND(tblHorasOut[Evento 
(2º Período)]&lt;&gt;"",IF(ISERROR(VLOOKUP(tblHorasOut[Evento 
(2º Período)],tblEvento[],Tabelas!$E$1,FALSE)),FALSE,VLOOKUP(tblHorasOut[Evento 
(2º Período)],tblEvento[],Tabelas!$E$1,FALSE)="Sim")),IF(VLOOKUP(TEXT(tblHorasOut[Data],"dddd"),tblDiaUtil[],2,FALSE)="Não",TRUE,FALSE)),
                   tblHorasOut[Saída - 2]-tblHorasOut[Entrada - 2 (Almoço)],
                   IF(OR(HOUR(tblHorasOut[Saída - 2]-tblHorasOut[Entrada - 2 (Almoço)])&gt;0,MINUTE(tblHorasOut[Saída - 2]-tblHorasOut[Entrada - 2 (Almoço)])&gt;CARENCIA),
                         tblHorasOut[Saída - 2]-tblHorasOut[Entrada - 2 (Almoço)],
                         0)),
       0)),0)</f>
        <v>0</v>
      </c>
      <c r="L9" s="4">
        <f>tblHorasOut[Horas Trabalhadas (1º Período)]+tblHorasOut[Horas Trabalhadas (2º Período)]</f>
        <v>0</v>
      </c>
      <c r="M9" s="4" t="str">
        <f>IF(tblHorasOut[Data]&lt;&gt;"",
        IF(
AND(VLOOKUP(TEXT(tblHorasOut[Data],"dddd"),tblDiaUtil[],3,FALSE)="Sim",IF(tblHorasOut[Evento 
(1º Período)]&lt;&gt;"",IF(VLOOKUP(tblHorasOut[Evento 
(1º Período)],tblEvento[],Tabelas!$E$1,FALSE)="Sim",FALSE,TRUE),TRUE),IF(tblHorasOut[Evento 
(2º Período)]&lt;&gt;"",IF(VLOOKUP(tblHorasOut[Evento 
(2º Período)],tblEvento[],Tabelas!$E$1,FALSE)="Sim",FALSE,TRUE),TRUE)),
              IF(VLOOKUP(tblHorasOut[Dia],tblDiaUtil[[Abreviatura]:[1º Período]],3,FALSE)&gt;0,VLOOKUP(tblHorasOut[Dia],tblDiaUtil[[Abreviatura]:[1º Período]],3,FALSE),JORNADA),
              ""),
         "")</f>
        <v/>
      </c>
      <c r="N9" s="14">
        <f>IF(OR(tblHorasOut[Horas Trabalhadas (1º Período)]&lt;&gt;0,tblHorasOut[Horas Trabalhadas (2º Período)]&lt;&gt;0),
        IF(ISNUMBER(tblHorasOut[Jornada Diária]),
              IF(tblHorasOut[Jornada Diária]&gt;(tblHorasOut[Horas Trabalhadas (2º Período)]+tblHorasOut[Horas Trabalhadas (1º Período)]),
                     IF(ROUND((tblHorasOut[Jornada Diária]-(tblHorasOut[Horas Trabalhadas (2º Período)]+tblHorasOut[Horas Trabalhadas (1º Período)])),6)&gt;ROUND(CARENCIA,6),
                           -tblHorasOut[Jornada Diária]+(tblHorasOut[Horas Trabalhadas (2º Período)]+tblHorasOut[Horas Trabalhadas (1º Período)]),
                           0),
                      IF(ROUND((tblHorasOut[Jornada Diária]-(tblHorasOut[Horas Trabalhadas (2º Período)]+tblHorasOut[Horas Trabalhadas (1º Período)])),6)&lt;ROUND(-CARENCIA,6),
                           -tblHorasOut[Jornada Diária]+(tblHorasOut[Horas Trabalhadas (2º Período)]+tblHorasOut[Horas Trabalhadas (1º Período)]),
                           0)),
              tblHorasOut[Horas Trabalhadas (2º Período)]+tblHorasOut[Horas Trabalhadas (1º Período)]),
         IF(AND(IF(ISERROR(VLOOKUP(tblHorasOut[Evento 
(1º Período)],tblEvento[[Evento]:[Libera o Período]],4,FALSE)),FALSE,IF(VLOOKUP(tblHorasOut[Evento 
(1º Período)],tblEvento[[Evento]:[Libera o Período]],4,FALSE)="Não",TRUE,FALSE)),IF(ISERROR(VLOOKUP(tblHorasOut[Evento 
(2º Período)],tblEvento[[Evento]:[Libera o Período]],4,FALSE)),FALSE,IF(VLOOKUP(tblHorasOut[Evento 
(2º Período)],tblEvento[[Evento]:[Libera o Período]],4,FALSE)="Não",TRUE,FALSE))),
-IF(VLOOKUP(tblHorasOut[Dia],tblDiaUtil[[Abreviatura]:[Total Jornada]],5,FALSE)&lt;&gt;"",VLOOKUP(tblHorasOut[Dia],tblDiaUtil[[Abreviatura]:[Total Jornada]],5,FALSE),JORNADA),
IF(IF(ISERROR(VLOOKUP(tblHorasOut[Evento 
(1º Período)],tblEvento[[Evento]:[Libera o Período]],4,FALSE)),FALSE,
IF(VLOOKUP(tblHorasOut[Evento 
(1º Período)],tblEvento[[Evento]:[Libera o Período]],4,FALSE)="Não",TRUE,FALSE)
),
-IF(VLOOKUP(tblHorasOut[Dia],tblDiaUtil[[Abreviatura]:[1º Período]],3,FALSE)&lt;&gt;"",VLOOKUP(tblHorasOut[Dia],tblDiaUtil[[Abreviatura]:[1º Período]],3,FALSE),JORNADA_PERIODO_1),
IF(IF(ISERROR(VLOOKUP(tblHorasOut[Evento 
(2º Período)],tblEvento[[Evento]:[Libera o Período]],4,FALSE)),FALSE,IF(VLOOKUP(tblHorasOut[Evento 
(2º Período)],tblEvento[[Evento]:[Libera o Período]],4,FALSE)="Não",TRUE,FALSE)),
-IF(VLOOKUP(tblHorasOut[Dia],tblDiaUtil[[Abreviatura]:[2º Período]],4,FALSE)&lt;&gt;"",VLOOKUP(tblHorasOut[Dia],tblDiaUtil[[Abreviatura]:[2º Período]],4,FALSE),JORNADA_PERIODO_2),0))))</f>
        <v>0</v>
      </c>
      <c r="O9" s="14">
        <f>IF(tblHorasOut[Horas Trabalhadas Além Jornada]&gt;0,
        IF(ISNUMBER(tblHorasOut[Jornada Diária]),
              IF(HOUR(tblHorasOut[Horas Trabalhadas Além Jornada])&gt;=VLOOKUP(LIMITE,tblLimiteHora[],Tabelas!$I$1,FALSE),
                    VLOOKUP(LIMITE,tblLimiteHora[],Tabelas!$J$1,FALSE),
                    tblHorasOut[Horas Trabalhadas Além Jornada]),
              tblHorasOut[Horas Trabalhadas Além Jornada]),
        tblHorasOut[Horas Trabalhadas Além Jornada])+O7</f>
        <v>0</v>
      </c>
      <c r="P9" s="14" t="str">
        <f>IF(tblHorasOut[Horas Trabalhadas Além Jornada]&lt;0,IF(OR(tblHorasOut[Evento 
(1º Período)]="",tblHorasOut[Evento 
(2º Período)]=""),tblHorasOut[Horas Trabalhadas Além Jornada],""),"")</f>
        <v/>
      </c>
      <c r="Q9" s="14" t="str">
        <f>IF(tblHorasOut[Jornada Diária]&lt;&gt;"",IF((N(tblHorasOut[Jornada Diária])-ABS(N(tblHorasOut[Horas Trabalhadas Além Jornada])))=0,1,""),"")</f>
        <v/>
      </c>
      <c r="R9" s="14" t="str">
        <f>IF(tblHorasOut[Horas Trabalhadas Além Jornada]&gt;0,
IF(AND(VLOOKUP(TEXT(tblHorasOut[Data],"dddd"),tblDiaUtil[],3,FALSE)="Sim",IF(tblHorasOut[Evento 
(1º Período)]&lt;&gt;"",IF(VLOOKUP(tblHorasOut[Evento 
(1º Período)],tblEvento[],Tabelas!$E$1,FALSE)="Sim",FALSE,TRUE),TRUE),IF(tblHorasOut[Evento 
(2º Período)]&lt;&gt;"",IF(VLOOKUP(tblHorasOut[Evento 
(2º Período)],tblEvento[],Tabelas!$E$1,FALSE)="Sim",FALSE,TRUE),TRUE)),
tblHorasOut[Horas Trabalhadas Além Jornada],""),"")</f>
        <v/>
      </c>
      <c r="S9" s="14" t="str">
        <f>IF(tblHorasOut[Horas Trabalhadas Além Jornada]&gt;0,
IF(OR(VLOOKUP(TEXT(tblHorasOut[Data],"dddd"),tblDiaUtil[],3,FALSE)="Não",IF(tblHorasOut[Evento 
(1º Período)]&lt;&gt;"",IF(VLOOKUP(tblHorasOut[Evento 
(1º Período)],tblEvento[],Tabelas!$E$1,FALSE)="Sim",TRUE,FALSE),FALSE),IF(tblHorasOut[Evento 
(2º Período)]&lt;&gt;"",IF(VLOOKUP(tblHorasOut[Evento 
(2º Período)],tblEvento[],Tabelas!$E$1,FALSE)="Sim",TRUE,FALSE),FALSE)),
tblHorasOut[Horas Trabalhadas Além Jornada],""),"")</f>
        <v/>
      </c>
      <c r="T9" s="15" t="str">
        <f>IF(tblHorasOut[Evento 
(1º Período)]&lt;&gt;""," - " &amp;VLOOKUP(tblHorasOut[Evento 
(1º Período)],tblEvento[],Tabelas!$F$1,FALSE),"")&amp;IF(AND(tblHorasOut[Evento 
(2º Período)]&lt;&gt;"",tblHorasOut[Evento 
(2º Período)]&lt;&gt;tblHorasOut[Evento 
(1º Período)])," - " &amp; VLOOKUP(tblHorasOut[Evento 
(2º Período)],tblEvento[],Tabelas!$F$1,FALSE),"")</f>
        <v/>
      </c>
      <c r="V9" s="16"/>
      <c r="Y9" s="17"/>
    </row>
    <row r="10" spans="2:25" x14ac:dyDescent="0.25">
      <c r="B10" s="11" t="str">
        <f>IF(B9&lt;&gt;"",IF(DAY(B9+1)=IF($E$6&lt;&gt;"",$E$6,1),"",B9+1),"")</f>
        <v/>
      </c>
      <c r="C10" s="12" t="str">
        <f>TEXT(tblHorasOut[Data],"ddd")</f>
        <v/>
      </c>
      <c r="D10" s="25"/>
      <c r="E10" s="1"/>
      <c r="F10" s="1"/>
      <c r="G10" s="1"/>
      <c r="H10" s="1"/>
      <c r="I10" s="53"/>
      <c r="J10" s="4">
        <f>IF($B$6&lt;&gt;"",
IF(AND(tblHorasOut[Evento 
(1º Período)]&lt;&gt;"",IF(ISERROR(VLOOKUP(tblHorasOut[Evento 
(1º Período)],tblEvento[],Tabelas!$D$1,FALSE)),FALSE,VLOOKUP(tblHorasOut[Evento 
(1º Período)],tblEvento[],Tabelas!$D$1,FALSE)="Sim")),
        IF(JORNADA_PERIODO_1&lt;&gt;"",
IF(VLOOKUP(tblHorasOut[Dia],tblDiaUtil[[Abreviatura]:[1º Período]],3,FALSE)&gt;0,VLOOKUP(tblHorasOut[Dia],tblDiaUtil[[Abreviatura]:[1º Período]],3,FALSE),JORNADA_PERIODO_1),
IF(VLOOKUP(tblHorasOut[Dia],tblDiaUtil[[Abreviatura]:[1º Período]],3,FALSE)&gt;0,VLOOKUP(tblHorasOut[Dia],tblDiaUtil[[Abreviatura]:[1º Período]],3,FALSE),JORNADA/2)),
        IF(AND(ISNUMBER(tblHorasOut[Saída - 1 (Almoço)]),ISNUMBER(tblHorasOut[Entrada - 1])),
              IF(OR(AND(tblHorasOut[Evento 
(1º Período)]&lt;&gt;"",IF(ISERROR(VLOOKUP(tblHorasOut[Evento 
(1º Período)],tblEvento[],Tabelas!$E$1,FALSE)),FALSE,VLOOKUP(tblHorasOut[Evento 
(1º Período)],tblEvento[],Tabelas!$E$1,FALSE)="Sim")),IF(VLOOKUP(TEXT(tblHorasOut[Data],"dddd"),tblDiaUtil[],2,FALSE)="Não",TRUE,FALSE)),
                   tblHorasOut[Saída - 1 (Almoço)]-tblHorasOut[Entrada - 1],
                   IF(OR(HOUR(tblHorasOut[Saída - 1 (Almoço)]-tblHorasOut[Entrada - 1])&gt;0,ROUND(tblHorasOut[Saída - 1 (Almoço)]-tblHorasOut[Entrada - 1],6)&gt;ROUND(CARENCIA,6)),
                          tblHorasOut[Saída - 1 (Almoço)]-tblHorasOut[Entrada - 1],
                          0)),
                    0)),0)</f>
        <v>0</v>
      </c>
      <c r="K10" s="4">
        <f>IF($B$6&lt;&gt;"",
IF(AND(tblHorasOut[Evento 
(2º Período)]&lt;&gt;"",IF(ISERROR(VLOOKUP(tblHorasOut[Evento 
(2º Período)],tblEvento[],Tabelas!$D$1,FALSE)),FALSE,VLOOKUP(tblHorasOut[Evento 
(2º Período)],tblEvento[],Tabelas!$D$1,FALSE)="Sim")),
        IF(JORNADA_PERIODO_2&lt;&gt;"",
IF(VLOOKUP(tblHorasOut[Dia],tblDiaUtil[[Abreviatura]:[2º Período]],4,FALSE)&gt;0,VLOOKUP(tblHorasOut[Dia],tblDiaUtil[[Abreviatura]:[2º Período]],4,FALSE),JORNADA_PERIODO_2),
IF(VLOOKUP(tblHorasOut[Dia],tblDiaUtil[[Abreviatura]:[2º Período]],4,FALSE)&gt;0,VLOOKUP(tblHorasOut[Dia],tblDiaUtil[[Abreviatura]:[2º Período]],4,FALSE),JORNADA/2)),
        IF(AND(ISNUMBER(tblHorasOut[Saída - 2]),ISNUMBER(tblHorasOut[Entrada - 2 (Almoço)])),
              IF(OR(AND(tblHorasOut[Evento 
(2º Período)]&lt;&gt;"",IF(ISERROR(VLOOKUP(tblHorasOut[Evento 
(2º Período)],tblEvento[],Tabelas!$E$1,FALSE)),FALSE,VLOOKUP(tblHorasOut[Evento 
(2º Período)],tblEvento[],Tabelas!$E$1,FALSE)="Sim")),IF(VLOOKUP(TEXT(tblHorasOut[Data],"dddd"),tblDiaUtil[],2,FALSE)="Não",TRUE,FALSE)),
                   tblHorasOut[Saída - 2]-tblHorasOut[Entrada - 2 (Almoço)],
                   IF(OR(HOUR(tblHorasOut[Saída - 2]-tblHorasOut[Entrada - 2 (Almoço)])&gt;0,MINUTE(tblHorasOut[Saída - 2]-tblHorasOut[Entrada - 2 (Almoço)])&gt;CARENCIA),
                         tblHorasOut[Saída - 2]-tblHorasOut[Entrada - 2 (Almoço)],
                         0)),
       0)),0)</f>
        <v>0</v>
      </c>
      <c r="L10" s="4">
        <f>tblHorasOut[Horas Trabalhadas (1º Período)]+tblHorasOut[Horas Trabalhadas (2º Período)]</f>
        <v>0</v>
      </c>
      <c r="M10" s="4" t="str">
        <f>IF(tblHorasOut[Data]&lt;&gt;"",
        IF(
AND(VLOOKUP(TEXT(tblHorasOut[Data],"dddd"),tblDiaUtil[],3,FALSE)="Sim",IF(tblHorasOut[Evento 
(1º Período)]&lt;&gt;"",IF(VLOOKUP(tblHorasOut[Evento 
(1º Período)],tblEvento[],Tabelas!$E$1,FALSE)="Sim",FALSE,TRUE),TRUE),IF(tblHorasOut[Evento 
(2º Período)]&lt;&gt;"",IF(VLOOKUP(tblHorasOut[Evento 
(2º Período)],tblEvento[],Tabelas!$E$1,FALSE)="Sim",FALSE,TRUE),TRUE)),
              IF(VLOOKUP(tblHorasOut[Dia],tblDiaUtil[[Abreviatura]:[1º Período]],3,FALSE)&gt;0,VLOOKUP(tblHorasOut[Dia],tblDiaUtil[[Abreviatura]:[1º Período]],3,FALSE),JORNADA),
              ""),
         "")</f>
        <v/>
      </c>
      <c r="N10" s="14">
        <f>IF(OR(tblHorasOut[Horas Trabalhadas (1º Período)]&lt;&gt;0,tblHorasOut[Horas Trabalhadas (2º Período)]&lt;&gt;0),
        IF(ISNUMBER(tblHorasOut[Jornada Diária]),
              IF(tblHorasOut[Jornada Diária]&gt;(tblHorasOut[Horas Trabalhadas (2º Período)]+tblHorasOut[Horas Trabalhadas (1º Período)]),
                     IF(ROUND((tblHorasOut[Jornada Diária]-(tblHorasOut[Horas Trabalhadas (2º Período)]+tblHorasOut[Horas Trabalhadas (1º Período)])),6)&gt;ROUND(CARENCIA,6),
                           -tblHorasOut[Jornada Diária]+(tblHorasOut[Horas Trabalhadas (2º Período)]+tblHorasOut[Horas Trabalhadas (1º Período)]),
                           0),
                      IF(ROUND((tblHorasOut[Jornada Diária]-(tblHorasOut[Horas Trabalhadas (2º Período)]+tblHorasOut[Horas Trabalhadas (1º Período)])),6)&lt;ROUND(-CARENCIA,6),
                           -tblHorasOut[Jornada Diária]+(tblHorasOut[Horas Trabalhadas (2º Período)]+tblHorasOut[Horas Trabalhadas (1º Período)]),
                           0)),
              tblHorasOut[Horas Trabalhadas (2º Período)]+tblHorasOut[Horas Trabalhadas (1º Período)]),
         IF(AND(IF(ISERROR(VLOOKUP(tblHorasOut[Evento 
(1º Período)],tblEvento[[Evento]:[Libera o Período]],4,FALSE)),FALSE,IF(VLOOKUP(tblHorasOut[Evento 
(1º Período)],tblEvento[[Evento]:[Libera o Período]],4,FALSE)="Não",TRUE,FALSE)),IF(ISERROR(VLOOKUP(tblHorasOut[Evento 
(2º Período)],tblEvento[[Evento]:[Libera o Período]],4,FALSE)),FALSE,IF(VLOOKUP(tblHorasOut[Evento 
(2º Período)],tblEvento[[Evento]:[Libera o Período]],4,FALSE)="Não",TRUE,FALSE))),
-IF(VLOOKUP(tblHorasOut[Dia],tblDiaUtil[[Abreviatura]:[Total Jornada]],5,FALSE)&lt;&gt;"",VLOOKUP(tblHorasOut[Dia],tblDiaUtil[[Abreviatura]:[Total Jornada]],5,FALSE),JORNADA),
IF(IF(ISERROR(VLOOKUP(tblHorasOut[Evento 
(1º Período)],tblEvento[[Evento]:[Libera o Período]],4,FALSE)),FALSE,
IF(VLOOKUP(tblHorasOut[Evento 
(1º Período)],tblEvento[[Evento]:[Libera o Período]],4,FALSE)="Não",TRUE,FALSE)
),
-IF(VLOOKUP(tblHorasOut[Dia],tblDiaUtil[[Abreviatura]:[1º Período]],3,FALSE)&lt;&gt;"",VLOOKUP(tblHorasOut[Dia],tblDiaUtil[[Abreviatura]:[1º Período]],3,FALSE),JORNADA_PERIODO_1),
IF(IF(ISERROR(VLOOKUP(tblHorasOut[Evento 
(2º Período)],tblEvento[[Evento]:[Libera o Período]],4,FALSE)),FALSE,IF(VLOOKUP(tblHorasOut[Evento 
(2º Período)],tblEvento[[Evento]:[Libera o Período]],4,FALSE)="Não",TRUE,FALSE)),
-IF(VLOOKUP(tblHorasOut[Dia],tblDiaUtil[[Abreviatura]:[2º Período]],4,FALSE)&lt;&gt;"",VLOOKUP(tblHorasOut[Dia],tblDiaUtil[[Abreviatura]:[2º Período]],4,FALSE),JORNADA_PERIODO_2),0))))</f>
        <v>0</v>
      </c>
      <c r="O10" s="14">
        <f>IF(tblHorasOut[Horas Trabalhadas Além Jornada]&gt;0,
        IF(ISNUMBER(tblHorasOut[Jornada Diária]),
              IF(HOUR(tblHorasOut[Horas Trabalhadas Além Jornada])&gt;=VLOOKUP(LIMITE,tblLimiteHora[],Tabelas!$I$1,FALSE),
                    VLOOKUP(LIMITE,tblLimiteHora[],Tabelas!$J$1,FALSE),
                    tblHorasOut[Horas Trabalhadas Além Jornada]),
              tblHorasOut[Horas Trabalhadas Além Jornada]),
        tblHorasOut[Horas Trabalhadas Além Jornada])+O9</f>
        <v>0</v>
      </c>
      <c r="P10" s="14" t="str">
        <f>IF(tblHorasOut[Horas Trabalhadas Além Jornada]&lt;0,IF(OR(tblHorasOut[Evento 
(1º Período)]="",tblHorasOut[Evento 
(2º Período)]=""),tblHorasOut[Horas Trabalhadas Além Jornada],""),"")</f>
        <v/>
      </c>
      <c r="Q10" s="14" t="str">
        <f>IF(tblHorasOut[Jornada Diária]&lt;&gt;"",IF((N(tblHorasOut[Jornada Diária])-ABS(N(tblHorasOut[Horas Trabalhadas Além Jornada])))=0,1,""),"")</f>
        <v/>
      </c>
      <c r="R10" s="14" t="str">
        <f>IF(tblHorasOut[Horas Trabalhadas Além Jornada]&gt;0,
IF(AND(VLOOKUP(TEXT(tblHorasOut[Data],"dddd"),tblDiaUtil[],3,FALSE)="Sim",IF(tblHorasOut[Evento 
(1º Período)]&lt;&gt;"",IF(VLOOKUP(tblHorasOut[Evento 
(1º Período)],tblEvento[],Tabelas!$E$1,FALSE)="Sim",FALSE,TRUE),TRUE),IF(tblHorasOut[Evento 
(2º Período)]&lt;&gt;"",IF(VLOOKUP(tblHorasOut[Evento 
(2º Período)],tblEvento[],Tabelas!$E$1,FALSE)="Sim",FALSE,TRUE),TRUE)),
tblHorasOut[Horas Trabalhadas Além Jornada],""),"")</f>
        <v/>
      </c>
      <c r="S10" s="14" t="str">
        <f>IF(tblHorasOut[Horas Trabalhadas Além Jornada]&gt;0,
IF(OR(VLOOKUP(TEXT(tblHorasOut[Data],"dddd"),tblDiaUtil[],3,FALSE)="Não",IF(tblHorasOut[Evento 
(1º Período)]&lt;&gt;"",IF(VLOOKUP(tblHorasOut[Evento 
(1º Período)],tblEvento[],Tabelas!$E$1,FALSE)="Sim",TRUE,FALSE),FALSE),IF(tblHorasOut[Evento 
(2º Período)]&lt;&gt;"",IF(VLOOKUP(tblHorasOut[Evento 
(2º Período)],tblEvento[],Tabelas!$E$1,FALSE)="Sim",TRUE,FALSE),FALSE)),
tblHorasOut[Horas Trabalhadas Além Jornada],""),"")</f>
        <v/>
      </c>
      <c r="T10" s="15" t="str">
        <f>IF(tblHorasOut[Evento 
(1º Período)]&lt;&gt;""," - " &amp;VLOOKUP(tblHorasOut[Evento 
(1º Período)],tblEvento[],Tabelas!$F$1,FALSE),"")&amp;IF(AND(tblHorasOut[Evento 
(2º Período)]&lt;&gt;"",tblHorasOut[Evento 
(2º Período)]&lt;&gt;tblHorasOut[Evento 
(1º Período)])," - " &amp; VLOOKUP(tblHorasOut[Evento 
(2º Período)],tblEvento[],Tabelas!$F$1,FALSE),"")</f>
        <v/>
      </c>
      <c r="Y10" s="17"/>
    </row>
    <row r="11" spans="2:25" x14ac:dyDescent="0.25">
      <c r="B11" s="11" t="str">
        <f t="shared" ref="B11:B39" si="0">IF(B10&lt;&gt;"",IF(DAY(B10+1)=IF($E$6&lt;&gt;"",$E$6,1),"",B10+1),"")</f>
        <v/>
      </c>
      <c r="C11" s="12" t="str">
        <f>TEXT(tblHorasOut[Data],"ddd")</f>
        <v/>
      </c>
      <c r="D11" s="25"/>
      <c r="E11" s="1"/>
      <c r="F11" s="1"/>
      <c r="G11" s="1"/>
      <c r="H11" s="1"/>
      <c r="I11" s="53"/>
      <c r="J11" s="4">
        <f>IF($B$6&lt;&gt;"",
IF(AND(tblHorasOut[Evento 
(1º Período)]&lt;&gt;"",IF(ISERROR(VLOOKUP(tblHorasOut[Evento 
(1º Período)],tblEvento[],Tabelas!$D$1,FALSE)),FALSE,VLOOKUP(tblHorasOut[Evento 
(1º Período)],tblEvento[],Tabelas!$D$1,FALSE)="Sim")),
        IF(JORNADA_PERIODO_1&lt;&gt;"",
IF(VLOOKUP(tblHorasOut[Dia],tblDiaUtil[[Abreviatura]:[1º Período]],3,FALSE)&gt;0,VLOOKUP(tblHorasOut[Dia],tblDiaUtil[[Abreviatura]:[1º Período]],3,FALSE),JORNADA_PERIODO_1),
IF(VLOOKUP(tblHorasOut[Dia],tblDiaUtil[[Abreviatura]:[1º Período]],3,FALSE)&gt;0,VLOOKUP(tblHorasOut[Dia],tblDiaUtil[[Abreviatura]:[1º Período]],3,FALSE),JORNADA/2)),
        IF(AND(ISNUMBER(tblHorasOut[Saída - 1 (Almoço)]),ISNUMBER(tblHorasOut[Entrada - 1])),
              IF(OR(AND(tblHorasOut[Evento 
(1º Período)]&lt;&gt;"",IF(ISERROR(VLOOKUP(tblHorasOut[Evento 
(1º Período)],tblEvento[],Tabelas!$E$1,FALSE)),FALSE,VLOOKUP(tblHorasOut[Evento 
(1º Período)],tblEvento[],Tabelas!$E$1,FALSE)="Sim")),IF(VLOOKUP(TEXT(tblHorasOut[Data],"dddd"),tblDiaUtil[],2,FALSE)="Não",TRUE,FALSE)),
                   tblHorasOut[Saída - 1 (Almoço)]-tblHorasOut[Entrada - 1],
                   IF(OR(HOUR(tblHorasOut[Saída - 1 (Almoço)]-tblHorasOut[Entrada - 1])&gt;0,ROUND(tblHorasOut[Saída - 1 (Almoço)]-tblHorasOut[Entrada - 1],6)&gt;ROUND(CARENCIA,6)),
                          tblHorasOut[Saída - 1 (Almoço)]-tblHorasOut[Entrada - 1],
                          0)),
                    0)),0)</f>
        <v>0</v>
      </c>
      <c r="K11" s="4">
        <f>IF($B$6&lt;&gt;"",
IF(AND(tblHorasOut[Evento 
(2º Período)]&lt;&gt;"",IF(ISERROR(VLOOKUP(tblHorasOut[Evento 
(2º Período)],tblEvento[],Tabelas!$D$1,FALSE)),FALSE,VLOOKUP(tblHorasOut[Evento 
(2º Período)],tblEvento[],Tabelas!$D$1,FALSE)="Sim")),
        IF(JORNADA_PERIODO_2&lt;&gt;"",
IF(VLOOKUP(tblHorasOut[Dia],tblDiaUtil[[Abreviatura]:[2º Período]],4,FALSE)&gt;0,VLOOKUP(tblHorasOut[Dia],tblDiaUtil[[Abreviatura]:[2º Período]],4,FALSE),JORNADA_PERIODO_2),
IF(VLOOKUP(tblHorasOut[Dia],tblDiaUtil[[Abreviatura]:[2º Período]],4,FALSE)&gt;0,VLOOKUP(tblHorasOut[Dia],tblDiaUtil[[Abreviatura]:[2º Período]],4,FALSE),JORNADA/2)),
        IF(AND(ISNUMBER(tblHorasOut[Saída - 2]),ISNUMBER(tblHorasOut[Entrada - 2 (Almoço)])),
              IF(OR(AND(tblHorasOut[Evento 
(2º Período)]&lt;&gt;"",IF(ISERROR(VLOOKUP(tblHorasOut[Evento 
(2º Período)],tblEvento[],Tabelas!$E$1,FALSE)),FALSE,VLOOKUP(tblHorasOut[Evento 
(2º Período)],tblEvento[],Tabelas!$E$1,FALSE)="Sim")),IF(VLOOKUP(TEXT(tblHorasOut[Data],"dddd"),tblDiaUtil[],2,FALSE)="Não",TRUE,FALSE)),
                   tblHorasOut[Saída - 2]-tblHorasOut[Entrada - 2 (Almoço)],
                   IF(OR(HOUR(tblHorasOut[Saída - 2]-tblHorasOut[Entrada - 2 (Almoço)])&gt;0,MINUTE(tblHorasOut[Saída - 2]-tblHorasOut[Entrada - 2 (Almoço)])&gt;CARENCIA),
                         tblHorasOut[Saída - 2]-tblHorasOut[Entrada - 2 (Almoço)],
                         0)),
       0)),0)</f>
        <v>0</v>
      </c>
      <c r="L11" s="4">
        <f>tblHorasOut[Horas Trabalhadas (1º Período)]+tblHorasOut[Horas Trabalhadas (2º Período)]</f>
        <v>0</v>
      </c>
      <c r="M11" s="4" t="str">
        <f>IF(tblHorasOut[Data]&lt;&gt;"",
        IF(
AND(VLOOKUP(TEXT(tblHorasOut[Data],"dddd"),tblDiaUtil[],3,FALSE)="Sim",IF(tblHorasOut[Evento 
(1º Período)]&lt;&gt;"",IF(VLOOKUP(tblHorasOut[Evento 
(1º Período)],tblEvento[],Tabelas!$E$1,FALSE)="Sim",FALSE,TRUE),TRUE),IF(tblHorasOut[Evento 
(2º Período)]&lt;&gt;"",IF(VLOOKUP(tblHorasOut[Evento 
(2º Período)],tblEvento[],Tabelas!$E$1,FALSE)="Sim",FALSE,TRUE),TRUE)),
              IF(VLOOKUP(tblHorasOut[Dia],tblDiaUtil[[Abreviatura]:[1º Período]],3,FALSE)&gt;0,VLOOKUP(tblHorasOut[Dia],tblDiaUtil[[Abreviatura]:[1º Período]],3,FALSE),JORNADA),
              ""),
         "")</f>
        <v/>
      </c>
      <c r="N11" s="14">
        <f>IF(OR(tblHorasOut[Horas Trabalhadas (1º Período)]&lt;&gt;0,tblHorasOut[Horas Trabalhadas (2º Período)]&lt;&gt;0),
        IF(ISNUMBER(tblHorasOut[Jornada Diária]),
              IF(tblHorasOut[Jornada Diária]&gt;(tblHorasOut[Horas Trabalhadas (2º Período)]+tblHorasOut[Horas Trabalhadas (1º Período)]),
                     IF(ROUND((tblHorasOut[Jornada Diária]-(tblHorasOut[Horas Trabalhadas (2º Período)]+tblHorasOut[Horas Trabalhadas (1º Período)])),6)&gt;ROUND(CARENCIA,6),
                           -tblHorasOut[Jornada Diária]+(tblHorasOut[Horas Trabalhadas (2º Período)]+tblHorasOut[Horas Trabalhadas (1º Período)]),
                           0),
                      IF(ROUND((tblHorasOut[Jornada Diária]-(tblHorasOut[Horas Trabalhadas (2º Período)]+tblHorasOut[Horas Trabalhadas (1º Período)])),6)&lt;ROUND(-CARENCIA,6),
                           -tblHorasOut[Jornada Diária]+(tblHorasOut[Horas Trabalhadas (2º Período)]+tblHorasOut[Horas Trabalhadas (1º Período)]),
                           0)),
              tblHorasOut[Horas Trabalhadas (2º Período)]+tblHorasOut[Horas Trabalhadas (1º Período)]),
         IF(AND(IF(ISERROR(VLOOKUP(tblHorasOut[Evento 
(1º Período)],tblEvento[[Evento]:[Libera o Período]],4,FALSE)),FALSE,IF(VLOOKUP(tblHorasOut[Evento 
(1º Período)],tblEvento[[Evento]:[Libera o Período]],4,FALSE)="Não",TRUE,FALSE)),IF(ISERROR(VLOOKUP(tblHorasOut[Evento 
(2º Período)],tblEvento[[Evento]:[Libera o Período]],4,FALSE)),FALSE,IF(VLOOKUP(tblHorasOut[Evento 
(2º Período)],tblEvento[[Evento]:[Libera o Período]],4,FALSE)="Não",TRUE,FALSE))),
-IF(VLOOKUP(tblHorasOut[Dia],tblDiaUtil[[Abreviatura]:[Total Jornada]],5,FALSE)&lt;&gt;"",VLOOKUP(tblHorasOut[Dia],tblDiaUtil[[Abreviatura]:[Total Jornada]],5,FALSE),JORNADA),
IF(IF(ISERROR(VLOOKUP(tblHorasOut[Evento 
(1º Período)],tblEvento[[Evento]:[Libera o Período]],4,FALSE)),FALSE,
IF(VLOOKUP(tblHorasOut[Evento 
(1º Período)],tblEvento[[Evento]:[Libera o Período]],4,FALSE)="Não",TRUE,FALSE)
),
-IF(VLOOKUP(tblHorasOut[Dia],tblDiaUtil[[Abreviatura]:[1º Período]],3,FALSE)&lt;&gt;"",VLOOKUP(tblHorasOut[Dia],tblDiaUtil[[Abreviatura]:[1º Período]],3,FALSE),JORNADA_PERIODO_1),
IF(IF(ISERROR(VLOOKUP(tblHorasOut[Evento 
(2º Período)],tblEvento[[Evento]:[Libera o Período]],4,FALSE)),FALSE,IF(VLOOKUP(tblHorasOut[Evento 
(2º Período)],tblEvento[[Evento]:[Libera o Período]],4,FALSE)="Não",TRUE,FALSE)),
-IF(VLOOKUP(tblHorasOut[Dia],tblDiaUtil[[Abreviatura]:[2º Período]],4,FALSE)&lt;&gt;"",VLOOKUP(tblHorasOut[Dia],tblDiaUtil[[Abreviatura]:[2º Período]],4,FALSE),JORNADA_PERIODO_2),0))))</f>
        <v>0</v>
      </c>
      <c r="O11" s="14">
        <f>IF(tblHorasOut[Horas Trabalhadas Além Jornada]&gt;0,
        IF(ISNUMBER(tblHorasOut[Jornada Diária]),
              IF(HOUR(tblHorasOut[Horas Trabalhadas Além Jornada])&gt;=VLOOKUP(LIMITE,tblLimiteHora[],Tabelas!$I$1,FALSE),
                    VLOOKUP(LIMITE,tblLimiteHora[],Tabelas!$J$1,FALSE),
                    tblHorasOut[Horas Trabalhadas Além Jornada]),
              tblHorasOut[Horas Trabalhadas Além Jornada]),
        tblHorasOut[Horas Trabalhadas Além Jornada])+O10</f>
        <v>0</v>
      </c>
      <c r="P11" s="14" t="str">
        <f>IF(tblHorasOut[Horas Trabalhadas Além Jornada]&lt;0,IF(OR(tblHorasOut[Evento 
(1º Período)]="",tblHorasOut[Evento 
(2º Período)]=""),tblHorasOut[Horas Trabalhadas Além Jornada],""),"")</f>
        <v/>
      </c>
      <c r="Q11" s="14" t="str">
        <f>IF(tblHorasOut[Jornada Diária]&lt;&gt;"",IF((N(tblHorasOut[Jornada Diária])-ABS(N(tblHorasOut[Horas Trabalhadas Além Jornada])))=0,1,""),"")</f>
        <v/>
      </c>
      <c r="R11" s="14" t="str">
        <f>IF(tblHorasOut[Horas Trabalhadas Além Jornada]&gt;0,
IF(AND(VLOOKUP(TEXT(tblHorasOut[Data],"dddd"),tblDiaUtil[],3,FALSE)="Sim",IF(tblHorasOut[Evento 
(1º Período)]&lt;&gt;"",IF(VLOOKUP(tblHorasOut[Evento 
(1º Período)],tblEvento[],Tabelas!$E$1,FALSE)="Sim",FALSE,TRUE),TRUE),IF(tblHorasOut[Evento 
(2º Período)]&lt;&gt;"",IF(VLOOKUP(tblHorasOut[Evento 
(2º Período)],tblEvento[],Tabelas!$E$1,FALSE)="Sim",FALSE,TRUE),TRUE)),
tblHorasOut[Horas Trabalhadas Além Jornada],""),"")</f>
        <v/>
      </c>
      <c r="S11" s="14" t="str">
        <f>IF(tblHorasOut[Horas Trabalhadas Além Jornada]&gt;0,
IF(OR(VLOOKUP(TEXT(tblHorasOut[Data],"dddd"),tblDiaUtil[],3,FALSE)="Não",IF(tblHorasOut[Evento 
(1º Período)]&lt;&gt;"",IF(VLOOKUP(tblHorasOut[Evento 
(1º Período)],tblEvento[],Tabelas!$E$1,FALSE)="Sim",TRUE,FALSE),FALSE),IF(tblHorasOut[Evento 
(2º Período)]&lt;&gt;"",IF(VLOOKUP(tblHorasOut[Evento 
(2º Período)],tblEvento[],Tabelas!$E$1,FALSE)="Sim",TRUE,FALSE),FALSE)),
tblHorasOut[Horas Trabalhadas Além Jornada],""),"")</f>
        <v/>
      </c>
      <c r="T11" s="15" t="str">
        <f>IF(tblHorasOut[Evento 
(1º Período)]&lt;&gt;""," - " &amp;VLOOKUP(tblHorasOut[Evento 
(1º Período)],tblEvento[],Tabelas!$F$1,FALSE),"")&amp;IF(AND(tblHorasOut[Evento 
(2º Período)]&lt;&gt;"",tblHorasOut[Evento 
(2º Período)]&lt;&gt;tblHorasOut[Evento 
(1º Período)])," - " &amp; VLOOKUP(tblHorasOut[Evento 
(2º Período)],tblEvento[],Tabelas!$F$1,FALSE),"")</f>
        <v/>
      </c>
    </row>
    <row r="12" spans="2:25" x14ac:dyDescent="0.25">
      <c r="B12" s="11" t="str">
        <f t="shared" si="0"/>
        <v/>
      </c>
      <c r="C12" s="12" t="str">
        <f>TEXT(tblHorasOut[Data],"ddd")</f>
        <v/>
      </c>
      <c r="D12" s="25"/>
      <c r="E12" s="1"/>
      <c r="F12" s="1"/>
      <c r="G12" s="1"/>
      <c r="H12" s="1"/>
      <c r="I12" s="53"/>
      <c r="J12" s="4">
        <f>IF($B$6&lt;&gt;"",
IF(AND(tblHorasOut[Evento 
(1º Período)]&lt;&gt;"",IF(ISERROR(VLOOKUP(tblHorasOut[Evento 
(1º Período)],tblEvento[],Tabelas!$D$1,FALSE)),FALSE,VLOOKUP(tblHorasOut[Evento 
(1º Período)],tblEvento[],Tabelas!$D$1,FALSE)="Sim")),
        IF(JORNADA_PERIODO_1&lt;&gt;"",
IF(VLOOKUP(tblHorasOut[Dia],tblDiaUtil[[Abreviatura]:[1º Período]],3,FALSE)&gt;0,VLOOKUP(tblHorasOut[Dia],tblDiaUtil[[Abreviatura]:[1º Período]],3,FALSE),JORNADA_PERIODO_1),
IF(VLOOKUP(tblHorasOut[Dia],tblDiaUtil[[Abreviatura]:[1º Período]],3,FALSE)&gt;0,VLOOKUP(tblHorasOut[Dia],tblDiaUtil[[Abreviatura]:[1º Período]],3,FALSE),JORNADA/2)),
        IF(AND(ISNUMBER(tblHorasOut[Saída - 1 (Almoço)]),ISNUMBER(tblHorasOut[Entrada - 1])),
              IF(OR(AND(tblHorasOut[Evento 
(1º Período)]&lt;&gt;"",IF(ISERROR(VLOOKUP(tblHorasOut[Evento 
(1º Período)],tblEvento[],Tabelas!$E$1,FALSE)),FALSE,VLOOKUP(tblHorasOut[Evento 
(1º Período)],tblEvento[],Tabelas!$E$1,FALSE)="Sim")),IF(VLOOKUP(TEXT(tblHorasOut[Data],"dddd"),tblDiaUtil[],2,FALSE)="Não",TRUE,FALSE)),
                   tblHorasOut[Saída - 1 (Almoço)]-tblHorasOut[Entrada - 1],
                   IF(OR(HOUR(tblHorasOut[Saída - 1 (Almoço)]-tblHorasOut[Entrada - 1])&gt;0,ROUND(tblHorasOut[Saída - 1 (Almoço)]-tblHorasOut[Entrada - 1],6)&gt;ROUND(CARENCIA,6)),
                          tblHorasOut[Saída - 1 (Almoço)]-tblHorasOut[Entrada - 1],
                          0)),
                    0)),0)</f>
        <v>0</v>
      </c>
      <c r="K12" s="4">
        <f>IF($B$6&lt;&gt;"",
IF(AND(tblHorasOut[Evento 
(2º Período)]&lt;&gt;"",IF(ISERROR(VLOOKUP(tblHorasOut[Evento 
(2º Período)],tblEvento[],Tabelas!$D$1,FALSE)),FALSE,VLOOKUP(tblHorasOut[Evento 
(2º Período)],tblEvento[],Tabelas!$D$1,FALSE)="Sim")),
        IF(JORNADA_PERIODO_2&lt;&gt;"",
IF(VLOOKUP(tblHorasOut[Dia],tblDiaUtil[[Abreviatura]:[2º Período]],4,FALSE)&gt;0,VLOOKUP(tblHorasOut[Dia],tblDiaUtil[[Abreviatura]:[2º Período]],4,FALSE),JORNADA_PERIODO_2),
IF(VLOOKUP(tblHorasOut[Dia],tblDiaUtil[[Abreviatura]:[2º Período]],4,FALSE)&gt;0,VLOOKUP(tblHorasOut[Dia],tblDiaUtil[[Abreviatura]:[2º Período]],4,FALSE),JORNADA/2)),
        IF(AND(ISNUMBER(tblHorasOut[Saída - 2]),ISNUMBER(tblHorasOut[Entrada - 2 (Almoço)])),
              IF(OR(AND(tblHorasOut[Evento 
(2º Período)]&lt;&gt;"",IF(ISERROR(VLOOKUP(tblHorasOut[Evento 
(2º Período)],tblEvento[],Tabelas!$E$1,FALSE)),FALSE,VLOOKUP(tblHorasOut[Evento 
(2º Período)],tblEvento[],Tabelas!$E$1,FALSE)="Sim")),IF(VLOOKUP(TEXT(tblHorasOut[Data],"dddd"),tblDiaUtil[],2,FALSE)="Não",TRUE,FALSE)),
                   tblHorasOut[Saída - 2]-tblHorasOut[Entrada - 2 (Almoço)],
                   IF(OR(HOUR(tblHorasOut[Saída - 2]-tblHorasOut[Entrada - 2 (Almoço)])&gt;0,MINUTE(tblHorasOut[Saída - 2]-tblHorasOut[Entrada - 2 (Almoço)])&gt;CARENCIA),
                         tblHorasOut[Saída - 2]-tblHorasOut[Entrada - 2 (Almoço)],
                         0)),
       0)),0)</f>
        <v>0</v>
      </c>
      <c r="L12" s="4">
        <f>tblHorasOut[Horas Trabalhadas (1º Período)]+tblHorasOut[Horas Trabalhadas (2º Período)]</f>
        <v>0</v>
      </c>
      <c r="M12" s="4" t="str">
        <f>IF(tblHorasOut[Data]&lt;&gt;"",
        IF(
AND(VLOOKUP(TEXT(tblHorasOut[Data],"dddd"),tblDiaUtil[],3,FALSE)="Sim",IF(tblHorasOut[Evento 
(1º Período)]&lt;&gt;"",IF(VLOOKUP(tblHorasOut[Evento 
(1º Período)],tblEvento[],Tabelas!$E$1,FALSE)="Sim",FALSE,TRUE),TRUE),IF(tblHorasOut[Evento 
(2º Período)]&lt;&gt;"",IF(VLOOKUP(tblHorasOut[Evento 
(2º Período)],tblEvento[],Tabelas!$E$1,FALSE)="Sim",FALSE,TRUE),TRUE)),
              IF(VLOOKUP(tblHorasOut[Dia],tblDiaUtil[[Abreviatura]:[1º Período]],3,FALSE)&gt;0,VLOOKUP(tblHorasOut[Dia],tblDiaUtil[[Abreviatura]:[1º Período]],3,FALSE),JORNADA),
              ""),
         "")</f>
        <v/>
      </c>
      <c r="N12" s="14">
        <f>IF(OR(tblHorasOut[Horas Trabalhadas (1º Período)]&lt;&gt;0,tblHorasOut[Horas Trabalhadas (2º Período)]&lt;&gt;0),
        IF(ISNUMBER(tblHorasOut[Jornada Diária]),
              IF(tblHorasOut[Jornada Diária]&gt;(tblHorasOut[Horas Trabalhadas (2º Período)]+tblHorasOut[Horas Trabalhadas (1º Período)]),
                     IF(ROUND((tblHorasOut[Jornada Diária]-(tblHorasOut[Horas Trabalhadas (2º Período)]+tblHorasOut[Horas Trabalhadas (1º Período)])),6)&gt;ROUND(CARENCIA,6),
                           -tblHorasOut[Jornada Diária]+(tblHorasOut[Horas Trabalhadas (2º Período)]+tblHorasOut[Horas Trabalhadas (1º Período)]),
                           0),
                      IF(ROUND((tblHorasOut[Jornada Diária]-(tblHorasOut[Horas Trabalhadas (2º Período)]+tblHorasOut[Horas Trabalhadas (1º Período)])),6)&lt;ROUND(-CARENCIA,6),
                           -tblHorasOut[Jornada Diária]+(tblHorasOut[Horas Trabalhadas (2º Período)]+tblHorasOut[Horas Trabalhadas (1º Período)]),
                           0)),
              tblHorasOut[Horas Trabalhadas (2º Período)]+tblHorasOut[Horas Trabalhadas (1º Período)]),
         IF(AND(IF(ISERROR(VLOOKUP(tblHorasOut[Evento 
(1º Período)],tblEvento[[Evento]:[Libera o Período]],4,FALSE)),FALSE,IF(VLOOKUP(tblHorasOut[Evento 
(1º Período)],tblEvento[[Evento]:[Libera o Período]],4,FALSE)="Não",TRUE,FALSE)),IF(ISERROR(VLOOKUP(tblHorasOut[Evento 
(2º Período)],tblEvento[[Evento]:[Libera o Período]],4,FALSE)),FALSE,IF(VLOOKUP(tblHorasOut[Evento 
(2º Período)],tblEvento[[Evento]:[Libera o Período]],4,FALSE)="Não",TRUE,FALSE))),
-IF(VLOOKUP(tblHorasOut[Dia],tblDiaUtil[[Abreviatura]:[Total Jornada]],5,FALSE)&lt;&gt;"",VLOOKUP(tblHorasOut[Dia],tblDiaUtil[[Abreviatura]:[Total Jornada]],5,FALSE),JORNADA),
IF(IF(ISERROR(VLOOKUP(tblHorasOut[Evento 
(1º Período)],tblEvento[[Evento]:[Libera o Período]],4,FALSE)),FALSE,
IF(VLOOKUP(tblHorasOut[Evento 
(1º Período)],tblEvento[[Evento]:[Libera o Período]],4,FALSE)="Não",TRUE,FALSE)
),
-IF(VLOOKUP(tblHorasOut[Dia],tblDiaUtil[[Abreviatura]:[1º Período]],3,FALSE)&lt;&gt;"",VLOOKUP(tblHorasOut[Dia],tblDiaUtil[[Abreviatura]:[1º Período]],3,FALSE),JORNADA_PERIODO_1),
IF(IF(ISERROR(VLOOKUP(tblHorasOut[Evento 
(2º Período)],tblEvento[[Evento]:[Libera o Período]],4,FALSE)),FALSE,IF(VLOOKUP(tblHorasOut[Evento 
(2º Período)],tblEvento[[Evento]:[Libera o Período]],4,FALSE)="Não",TRUE,FALSE)),
-IF(VLOOKUP(tblHorasOut[Dia],tblDiaUtil[[Abreviatura]:[2º Período]],4,FALSE)&lt;&gt;"",VLOOKUP(tblHorasOut[Dia],tblDiaUtil[[Abreviatura]:[2º Período]],4,FALSE),JORNADA_PERIODO_2),0))))</f>
        <v>0</v>
      </c>
      <c r="O12" s="14">
        <f>IF(tblHorasOut[Horas Trabalhadas Além Jornada]&gt;0,
        IF(ISNUMBER(tblHorasOut[Jornada Diária]),
              IF(HOUR(tblHorasOut[Horas Trabalhadas Além Jornada])&gt;=VLOOKUP(LIMITE,tblLimiteHora[],Tabelas!$I$1,FALSE),
                    VLOOKUP(LIMITE,tblLimiteHora[],Tabelas!$J$1,FALSE),
                    tblHorasOut[Horas Trabalhadas Além Jornada]),
              tblHorasOut[Horas Trabalhadas Além Jornada]),
        tblHorasOut[Horas Trabalhadas Além Jornada])+O11</f>
        <v>0</v>
      </c>
      <c r="P12" s="14" t="str">
        <f>IF(tblHorasOut[Horas Trabalhadas Além Jornada]&lt;0,IF(OR(tblHorasOut[Evento 
(1º Período)]="",tblHorasOut[Evento 
(2º Período)]=""),tblHorasOut[Horas Trabalhadas Além Jornada],""),"")</f>
        <v/>
      </c>
      <c r="Q12" s="14" t="str">
        <f>IF(tblHorasOut[Jornada Diária]&lt;&gt;"",IF((N(tblHorasOut[Jornada Diária])-ABS(N(tblHorasOut[Horas Trabalhadas Além Jornada])))=0,1,""),"")</f>
        <v/>
      </c>
      <c r="R12" s="14" t="str">
        <f>IF(tblHorasOut[Horas Trabalhadas Além Jornada]&gt;0,
IF(AND(VLOOKUP(TEXT(tblHorasOut[Data],"dddd"),tblDiaUtil[],3,FALSE)="Sim",IF(tblHorasOut[Evento 
(1º Período)]&lt;&gt;"",IF(VLOOKUP(tblHorasOut[Evento 
(1º Período)],tblEvento[],Tabelas!$E$1,FALSE)="Sim",FALSE,TRUE),TRUE),IF(tblHorasOut[Evento 
(2º Período)]&lt;&gt;"",IF(VLOOKUP(tblHorasOut[Evento 
(2º Período)],tblEvento[],Tabelas!$E$1,FALSE)="Sim",FALSE,TRUE),TRUE)),
tblHorasOut[Horas Trabalhadas Além Jornada],""),"")</f>
        <v/>
      </c>
      <c r="S12" s="14" t="str">
        <f>IF(tblHorasOut[Horas Trabalhadas Além Jornada]&gt;0,
IF(OR(VLOOKUP(TEXT(tblHorasOut[Data],"dddd"),tblDiaUtil[],3,FALSE)="Não",IF(tblHorasOut[Evento 
(1º Período)]&lt;&gt;"",IF(VLOOKUP(tblHorasOut[Evento 
(1º Período)],tblEvento[],Tabelas!$E$1,FALSE)="Sim",TRUE,FALSE),FALSE),IF(tblHorasOut[Evento 
(2º Período)]&lt;&gt;"",IF(VLOOKUP(tblHorasOut[Evento 
(2º Período)],tblEvento[],Tabelas!$E$1,FALSE)="Sim",TRUE,FALSE),FALSE)),
tblHorasOut[Horas Trabalhadas Além Jornada],""),"")</f>
        <v/>
      </c>
      <c r="T12" s="15" t="str">
        <f>IF(tblHorasOut[Evento 
(1º Período)]&lt;&gt;""," - " &amp;VLOOKUP(tblHorasOut[Evento 
(1º Período)],tblEvento[],Tabelas!$F$1,FALSE),"")&amp;IF(AND(tblHorasOut[Evento 
(2º Período)]&lt;&gt;"",tblHorasOut[Evento 
(2º Período)]&lt;&gt;tblHorasOut[Evento 
(1º Período)])," - " &amp; VLOOKUP(tblHorasOut[Evento 
(2º Período)],tblEvento[],Tabelas!$F$1,FALSE),"")</f>
        <v/>
      </c>
    </row>
    <row r="13" spans="2:25" x14ac:dyDescent="0.25">
      <c r="B13" s="11" t="str">
        <f t="shared" si="0"/>
        <v/>
      </c>
      <c r="C13" s="12" t="str">
        <f>TEXT(tblHorasOut[Data],"ddd")</f>
        <v/>
      </c>
      <c r="D13" s="25"/>
      <c r="E13" s="1"/>
      <c r="F13" s="1"/>
      <c r="G13" s="1"/>
      <c r="H13" s="1"/>
      <c r="I13" s="53"/>
      <c r="J13" s="4">
        <f>IF($B$6&lt;&gt;"",
IF(AND(tblHorasOut[Evento 
(1º Período)]&lt;&gt;"",IF(ISERROR(VLOOKUP(tblHorasOut[Evento 
(1º Período)],tblEvento[],Tabelas!$D$1,FALSE)),FALSE,VLOOKUP(tblHorasOut[Evento 
(1º Período)],tblEvento[],Tabelas!$D$1,FALSE)="Sim")),
        IF(JORNADA_PERIODO_1&lt;&gt;"",
IF(VLOOKUP(tblHorasOut[Dia],tblDiaUtil[[Abreviatura]:[1º Período]],3,FALSE)&gt;0,VLOOKUP(tblHorasOut[Dia],tblDiaUtil[[Abreviatura]:[1º Período]],3,FALSE),JORNADA_PERIODO_1),
IF(VLOOKUP(tblHorasOut[Dia],tblDiaUtil[[Abreviatura]:[1º Período]],3,FALSE)&gt;0,VLOOKUP(tblHorasOut[Dia],tblDiaUtil[[Abreviatura]:[1º Período]],3,FALSE),JORNADA/2)),
        IF(AND(ISNUMBER(tblHorasOut[Saída - 1 (Almoço)]),ISNUMBER(tblHorasOut[Entrada - 1])),
              IF(OR(AND(tblHorasOut[Evento 
(1º Período)]&lt;&gt;"",IF(ISERROR(VLOOKUP(tblHorasOut[Evento 
(1º Período)],tblEvento[],Tabelas!$E$1,FALSE)),FALSE,VLOOKUP(tblHorasOut[Evento 
(1º Período)],tblEvento[],Tabelas!$E$1,FALSE)="Sim")),IF(VLOOKUP(TEXT(tblHorasOut[Data],"dddd"),tblDiaUtil[],2,FALSE)="Não",TRUE,FALSE)),
                   tblHorasOut[Saída - 1 (Almoço)]-tblHorasOut[Entrada - 1],
                   IF(OR(HOUR(tblHorasOut[Saída - 1 (Almoço)]-tblHorasOut[Entrada - 1])&gt;0,ROUND(tblHorasOut[Saída - 1 (Almoço)]-tblHorasOut[Entrada - 1],6)&gt;ROUND(CARENCIA,6)),
                          tblHorasOut[Saída - 1 (Almoço)]-tblHorasOut[Entrada - 1],
                          0)),
                    0)),0)</f>
        <v>0</v>
      </c>
      <c r="K13" s="4">
        <f>IF($B$6&lt;&gt;"",
IF(AND(tblHorasOut[Evento 
(2º Período)]&lt;&gt;"",IF(ISERROR(VLOOKUP(tblHorasOut[Evento 
(2º Período)],tblEvento[],Tabelas!$D$1,FALSE)),FALSE,VLOOKUP(tblHorasOut[Evento 
(2º Período)],tblEvento[],Tabelas!$D$1,FALSE)="Sim")),
        IF(JORNADA_PERIODO_2&lt;&gt;"",
IF(VLOOKUP(tblHorasOut[Dia],tblDiaUtil[[Abreviatura]:[2º Período]],4,FALSE)&gt;0,VLOOKUP(tblHorasOut[Dia],tblDiaUtil[[Abreviatura]:[2º Período]],4,FALSE),JORNADA_PERIODO_2),
IF(VLOOKUP(tblHorasOut[Dia],tblDiaUtil[[Abreviatura]:[2º Período]],4,FALSE)&gt;0,VLOOKUP(tblHorasOut[Dia],tblDiaUtil[[Abreviatura]:[2º Período]],4,FALSE),JORNADA/2)),
        IF(AND(ISNUMBER(tblHorasOut[Saída - 2]),ISNUMBER(tblHorasOut[Entrada - 2 (Almoço)])),
              IF(OR(AND(tblHorasOut[Evento 
(2º Período)]&lt;&gt;"",IF(ISERROR(VLOOKUP(tblHorasOut[Evento 
(2º Período)],tblEvento[],Tabelas!$E$1,FALSE)),FALSE,VLOOKUP(tblHorasOut[Evento 
(2º Período)],tblEvento[],Tabelas!$E$1,FALSE)="Sim")),IF(VLOOKUP(TEXT(tblHorasOut[Data],"dddd"),tblDiaUtil[],2,FALSE)="Não",TRUE,FALSE)),
                   tblHorasOut[Saída - 2]-tblHorasOut[Entrada - 2 (Almoço)],
                   IF(OR(HOUR(tblHorasOut[Saída - 2]-tblHorasOut[Entrada - 2 (Almoço)])&gt;0,MINUTE(tblHorasOut[Saída - 2]-tblHorasOut[Entrada - 2 (Almoço)])&gt;CARENCIA),
                         tblHorasOut[Saída - 2]-tblHorasOut[Entrada - 2 (Almoço)],
                         0)),
       0)),0)</f>
        <v>0</v>
      </c>
      <c r="L13" s="4">
        <f>tblHorasOut[Horas Trabalhadas (1º Período)]+tblHorasOut[Horas Trabalhadas (2º Período)]</f>
        <v>0</v>
      </c>
      <c r="M13" s="4" t="str">
        <f>IF(tblHorasOut[Data]&lt;&gt;"",
        IF(
AND(VLOOKUP(TEXT(tblHorasOut[Data],"dddd"),tblDiaUtil[],3,FALSE)="Sim",IF(tblHorasOut[Evento 
(1º Período)]&lt;&gt;"",IF(VLOOKUP(tblHorasOut[Evento 
(1º Período)],tblEvento[],Tabelas!$E$1,FALSE)="Sim",FALSE,TRUE),TRUE),IF(tblHorasOut[Evento 
(2º Período)]&lt;&gt;"",IF(VLOOKUP(tblHorasOut[Evento 
(2º Período)],tblEvento[],Tabelas!$E$1,FALSE)="Sim",FALSE,TRUE),TRUE)),
              IF(VLOOKUP(tblHorasOut[Dia],tblDiaUtil[[Abreviatura]:[1º Período]],3,FALSE)&gt;0,VLOOKUP(tblHorasOut[Dia],tblDiaUtil[[Abreviatura]:[1º Período]],3,FALSE),JORNADA),
              ""),
         "")</f>
        <v/>
      </c>
      <c r="N13" s="14">
        <f>IF(OR(tblHorasOut[Horas Trabalhadas (1º Período)]&lt;&gt;0,tblHorasOut[Horas Trabalhadas (2º Período)]&lt;&gt;0),
        IF(ISNUMBER(tblHorasOut[Jornada Diária]),
              IF(tblHorasOut[Jornada Diária]&gt;(tblHorasOut[Horas Trabalhadas (2º Período)]+tblHorasOut[Horas Trabalhadas (1º Período)]),
                     IF(ROUND((tblHorasOut[Jornada Diária]-(tblHorasOut[Horas Trabalhadas (2º Período)]+tblHorasOut[Horas Trabalhadas (1º Período)])),6)&gt;ROUND(CARENCIA,6),
                           -tblHorasOut[Jornada Diária]+(tblHorasOut[Horas Trabalhadas (2º Período)]+tblHorasOut[Horas Trabalhadas (1º Período)]),
                           0),
                      IF(ROUND((tblHorasOut[Jornada Diária]-(tblHorasOut[Horas Trabalhadas (2º Período)]+tblHorasOut[Horas Trabalhadas (1º Período)])),6)&lt;ROUND(-CARENCIA,6),
                           -tblHorasOut[Jornada Diária]+(tblHorasOut[Horas Trabalhadas (2º Período)]+tblHorasOut[Horas Trabalhadas (1º Período)]),
                           0)),
              tblHorasOut[Horas Trabalhadas (2º Período)]+tblHorasOut[Horas Trabalhadas (1º Período)]),
         IF(AND(IF(ISERROR(VLOOKUP(tblHorasOut[Evento 
(1º Período)],tblEvento[[Evento]:[Libera o Período]],4,FALSE)),FALSE,IF(VLOOKUP(tblHorasOut[Evento 
(1º Período)],tblEvento[[Evento]:[Libera o Período]],4,FALSE)="Não",TRUE,FALSE)),IF(ISERROR(VLOOKUP(tblHorasOut[Evento 
(2º Período)],tblEvento[[Evento]:[Libera o Período]],4,FALSE)),FALSE,IF(VLOOKUP(tblHorasOut[Evento 
(2º Período)],tblEvento[[Evento]:[Libera o Período]],4,FALSE)="Não",TRUE,FALSE))),
-IF(VLOOKUP(tblHorasOut[Dia],tblDiaUtil[[Abreviatura]:[Total Jornada]],5,FALSE)&lt;&gt;"",VLOOKUP(tblHorasOut[Dia],tblDiaUtil[[Abreviatura]:[Total Jornada]],5,FALSE),JORNADA),
IF(IF(ISERROR(VLOOKUP(tblHorasOut[Evento 
(1º Período)],tblEvento[[Evento]:[Libera o Período]],4,FALSE)),FALSE,
IF(VLOOKUP(tblHorasOut[Evento 
(1º Período)],tblEvento[[Evento]:[Libera o Período]],4,FALSE)="Não",TRUE,FALSE)
),
-IF(VLOOKUP(tblHorasOut[Dia],tblDiaUtil[[Abreviatura]:[1º Período]],3,FALSE)&lt;&gt;"",VLOOKUP(tblHorasOut[Dia],tblDiaUtil[[Abreviatura]:[1º Período]],3,FALSE),JORNADA_PERIODO_1),
IF(IF(ISERROR(VLOOKUP(tblHorasOut[Evento 
(2º Período)],tblEvento[[Evento]:[Libera o Período]],4,FALSE)),FALSE,IF(VLOOKUP(tblHorasOut[Evento 
(2º Período)],tblEvento[[Evento]:[Libera o Período]],4,FALSE)="Não",TRUE,FALSE)),
-IF(VLOOKUP(tblHorasOut[Dia],tblDiaUtil[[Abreviatura]:[2º Período]],4,FALSE)&lt;&gt;"",VLOOKUP(tblHorasOut[Dia],tblDiaUtil[[Abreviatura]:[2º Período]],4,FALSE),JORNADA_PERIODO_2),0))))</f>
        <v>0</v>
      </c>
      <c r="O13" s="14">
        <f>IF(tblHorasOut[Horas Trabalhadas Além Jornada]&gt;0,
        IF(ISNUMBER(tblHorasOut[Jornada Diária]),
              IF(HOUR(tblHorasOut[Horas Trabalhadas Além Jornada])&gt;=VLOOKUP(LIMITE,tblLimiteHora[],Tabelas!$I$1,FALSE),
                    VLOOKUP(LIMITE,tblLimiteHora[],Tabelas!$J$1,FALSE),
                    tblHorasOut[Horas Trabalhadas Além Jornada]),
              tblHorasOut[Horas Trabalhadas Além Jornada]),
        tblHorasOut[Horas Trabalhadas Além Jornada])+O12</f>
        <v>0</v>
      </c>
      <c r="P13" s="14" t="str">
        <f>IF(tblHorasOut[Horas Trabalhadas Além Jornada]&lt;0,IF(OR(tblHorasOut[Evento 
(1º Período)]="",tblHorasOut[Evento 
(2º Período)]=""),tblHorasOut[Horas Trabalhadas Além Jornada],""),"")</f>
        <v/>
      </c>
      <c r="Q13" s="14" t="str">
        <f>IF(tblHorasOut[Jornada Diária]&lt;&gt;"",IF((N(tblHorasOut[Jornada Diária])-ABS(N(tblHorasOut[Horas Trabalhadas Além Jornada])))=0,1,""),"")</f>
        <v/>
      </c>
      <c r="R13" s="14" t="str">
        <f>IF(tblHorasOut[Horas Trabalhadas Além Jornada]&gt;0,
IF(AND(VLOOKUP(TEXT(tblHorasOut[Data],"dddd"),tblDiaUtil[],3,FALSE)="Sim",IF(tblHorasOut[Evento 
(1º Período)]&lt;&gt;"",IF(VLOOKUP(tblHorasOut[Evento 
(1º Período)],tblEvento[],Tabelas!$E$1,FALSE)="Sim",FALSE,TRUE),TRUE),IF(tblHorasOut[Evento 
(2º Período)]&lt;&gt;"",IF(VLOOKUP(tblHorasOut[Evento 
(2º Período)],tblEvento[],Tabelas!$E$1,FALSE)="Sim",FALSE,TRUE),TRUE)),
tblHorasOut[Horas Trabalhadas Além Jornada],""),"")</f>
        <v/>
      </c>
      <c r="S13" s="14" t="str">
        <f>IF(tblHorasOut[Horas Trabalhadas Além Jornada]&gt;0,
IF(OR(VLOOKUP(TEXT(tblHorasOut[Data],"dddd"),tblDiaUtil[],3,FALSE)="Não",IF(tblHorasOut[Evento 
(1º Período)]&lt;&gt;"",IF(VLOOKUP(tblHorasOut[Evento 
(1º Período)],tblEvento[],Tabelas!$E$1,FALSE)="Sim",TRUE,FALSE),FALSE),IF(tblHorasOut[Evento 
(2º Período)]&lt;&gt;"",IF(VLOOKUP(tblHorasOut[Evento 
(2º Período)],tblEvento[],Tabelas!$E$1,FALSE)="Sim",TRUE,FALSE),FALSE)),
tblHorasOut[Horas Trabalhadas Além Jornada],""),"")</f>
        <v/>
      </c>
      <c r="T13" s="15" t="str">
        <f>IF(tblHorasOut[Evento 
(1º Período)]&lt;&gt;""," - " &amp;VLOOKUP(tblHorasOut[Evento 
(1º Período)],tblEvento[],Tabelas!$F$1,FALSE),"")&amp;IF(AND(tblHorasOut[Evento 
(2º Período)]&lt;&gt;"",tblHorasOut[Evento 
(2º Período)]&lt;&gt;tblHorasOut[Evento 
(1º Período)])," - " &amp; VLOOKUP(tblHorasOut[Evento 
(2º Período)],tblEvento[],Tabelas!$F$1,FALSE),"")</f>
        <v/>
      </c>
    </row>
    <row r="14" spans="2:25" x14ac:dyDescent="0.25">
      <c r="B14" s="11" t="str">
        <f t="shared" si="0"/>
        <v/>
      </c>
      <c r="C14" s="12" t="str">
        <f>TEXT(tblHorasOut[Data],"ddd")</f>
        <v/>
      </c>
      <c r="D14" s="25"/>
      <c r="E14" s="1"/>
      <c r="F14" s="1"/>
      <c r="G14" s="1"/>
      <c r="H14" s="1"/>
      <c r="I14" s="53"/>
      <c r="J14" s="4">
        <f>IF($B$6&lt;&gt;"",
IF(AND(tblHorasOut[Evento 
(1º Período)]&lt;&gt;"",IF(ISERROR(VLOOKUP(tblHorasOut[Evento 
(1º Período)],tblEvento[],Tabelas!$D$1,FALSE)),FALSE,VLOOKUP(tblHorasOut[Evento 
(1º Período)],tblEvento[],Tabelas!$D$1,FALSE)="Sim")),
        IF(JORNADA_PERIODO_1&lt;&gt;"",
IF(VLOOKUP(tblHorasOut[Dia],tblDiaUtil[[Abreviatura]:[1º Período]],3,FALSE)&gt;0,VLOOKUP(tblHorasOut[Dia],tblDiaUtil[[Abreviatura]:[1º Período]],3,FALSE),JORNADA_PERIODO_1),
IF(VLOOKUP(tblHorasOut[Dia],tblDiaUtil[[Abreviatura]:[1º Período]],3,FALSE)&gt;0,VLOOKUP(tblHorasOut[Dia],tblDiaUtil[[Abreviatura]:[1º Período]],3,FALSE),JORNADA/2)),
        IF(AND(ISNUMBER(tblHorasOut[Saída - 1 (Almoço)]),ISNUMBER(tblHorasOut[Entrada - 1])),
              IF(OR(AND(tblHorasOut[Evento 
(1º Período)]&lt;&gt;"",IF(ISERROR(VLOOKUP(tblHorasOut[Evento 
(1º Período)],tblEvento[],Tabelas!$E$1,FALSE)),FALSE,VLOOKUP(tblHorasOut[Evento 
(1º Período)],tblEvento[],Tabelas!$E$1,FALSE)="Sim")),IF(VLOOKUP(TEXT(tblHorasOut[Data],"dddd"),tblDiaUtil[],2,FALSE)="Não",TRUE,FALSE)),
                   tblHorasOut[Saída - 1 (Almoço)]-tblHorasOut[Entrada - 1],
                   IF(OR(HOUR(tblHorasOut[Saída - 1 (Almoço)]-tblHorasOut[Entrada - 1])&gt;0,ROUND(tblHorasOut[Saída - 1 (Almoço)]-tblHorasOut[Entrada - 1],6)&gt;ROUND(CARENCIA,6)),
                          tblHorasOut[Saída - 1 (Almoço)]-tblHorasOut[Entrada - 1],
                          0)),
                    0)),0)</f>
        <v>0</v>
      </c>
      <c r="K14" s="4">
        <f>IF($B$6&lt;&gt;"",
IF(AND(tblHorasOut[Evento 
(2º Período)]&lt;&gt;"",IF(ISERROR(VLOOKUP(tblHorasOut[Evento 
(2º Período)],tblEvento[],Tabelas!$D$1,FALSE)),FALSE,VLOOKUP(tblHorasOut[Evento 
(2º Período)],tblEvento[],Tabelas!$D$1,FALSE)="Sim")),
        IF(JORNADA_PERIODO_2&lt;&gt;"",
IF(VLOOKUP(tblHorasOut[Dia],tblDiaUtil[[Abreviatura]:[2º Período]],4,FALSE)&gt;0,VLOOKUP(tblHorasOut[Dia],tblDiaUtil[[Abreviatura]:[2º Período]],4,FALSE),JORNADA_PERIODO_2),
IF(VLOOKUP(tblHorasOut[Dia],tblDiaUtil[[Abreviatura]:[2º Período]],4,FALSE)&gt;0,VLOOKUP(tblHorasOut[Dia],tblDiaUtil[[Abreviatura]:[2º Período]],4,FALSE),JORNADA/2)),
        IF(AND(ISNUMBER(tblHorasOut[Saída - 2]),ISNUMBER(tblHorasOut[Entrada - 2 (Almoço)])),
              IF(OR(AND(tblHorasOut[Evento 
(2º Período)]&lt;&gt;"",IF(ISERROR(VLOOKUP(tblHorasOut[Evento 
(2º Período)],tblEvento[],Tabelas!$E$1,FALSE)),FALSE,VLOOKUP(tblHorasOut[Evento 
(2º Período)],tblEvento[],Tabelas!$E$1,FALSE)="Sim")),IF(VLOOKUP(TEXT(tblHorasOut[Data],"dddd"),tblDiaUtil[],2,FALSE)="Não",TRUE,FALSE)),
                   tblHorasOut[Saída - 2]-tblHorasOut[Entrada - 2 (Almoço)],
                   IF(OR(HOUR(tblHorasOut[Saída - 2]-tblHorasOut[Entrada - 2 (Almoço)])&gt;0,MINUTE(tblHorasOut[Saída - 2]-tblHorasOut[Entrada - 2 (Almoço)])&gt;CARENCIA),
                         tblHorasOut[Saída - 2]-tblHorasOut[Entrada - 2 (Almoço)],
                         0)),
       0)),0)</f>
        <v>0</v>
      </c>
      <c r="L14" s="4">
        <f>tblHorasOut[Horas Trabalhadas (1º Período)]+tblHorasOut[Horas Trabalhadas (2º Período)]</f>
        <v>0</v>
      </c>
      <c r="M14" s="4" t="str">
        <f>IF(tblHorasOut[Data]&lt;&gt;"",
        IF(
AND(VLOOKUP(TEXT(tblHorasOut[Data],"dddd"),tblDiaUtil[],3,FALSE)="Sim",IF(tblHorasOut[Evento 
(1º Período)]&lt;&gt;"",IF(VLOOKUP(tblHorasOut[Evento 
(1º Período)],tblEvento[],Tabelas!$E$1,FALSE)="Sim",FALSE,TRUE),TRUE),IF(tblHorasOut[Evento 
(2º Período)]&lt;&gt;"",IF(VLOOKUP(tblHorasOut[Evento 
(2º Período)],tblEvento[],Tabelas!$E$1,FALSE)="Sim",FALSE,TRUE),TRUE)),
              IF(VLOOKUP(tblHorasOut[Dia],tblDiaUtil[[Abreviatura]:[1º Período]],3,FALSE)&gt;0,VLOOKUP(tblHorasOut[Dia],tblDiaUtil[[Abreviatura]:[1º Período]],3,FALSE),JORNADA),
              ""),
         "")</f>
        <v/>
      </c>
      <c r="N14" s="14">
        <f>IF(OR(tblHorasOut[Horas Trabalhadas (1º Período)]&lt;&gt;0,tblHorasOut[Horas Trabalhadas (2º Período)]&lt;&gt;0),
        IF(ISNUMBER(tblHorasOut[Jornada Diária]),
              IF(tblHorasOut[Jornada Diária]&gt;(tblHorasOut[Horas Trabalhadas (2º Período)]+tblHorasOut[Horas Trabalhadas (1º Período)]),
                     IF(ROUND((tblHorasOut[Jornada Diária]-(tblHorasOut[Horas Trabalhadas (2º Período)]+tblHorasOut[Horas Trabalhadas (1º Período)])),6)&gt;ROUND(CARENCIA,6),
                           -tblHorasOut[Jornada Diária]+(tblHorasOut[Horas Trabalhadas (2º Período)]+tblHorasOut[Horas Trabalhadas (1º Período)]),
                           0),
                      IF(ROUND((tblHorasOut[Jornada Diária]-(tblHorasOut[Horas Trabalhadas (2º Período)]+tblHorasOut[Horas Trabalhadas (1º Período)])),6)&lt;ROUND(-CARENCIA,6),
                           -tblHorasOut[Jornada Diária]+(tblHorasOut[Horas Trabalhadas (2º Período)]+tblHorasOut[Horas Trabalhadas (1º Período)]),
                           0)),
              tblHorasOut[Horas Trabalhadas (2º Período)]+tblHorasOut[Horas Trabalhadas (1º Período)]),
         IF(AND(IF(ISERROR(VLOOKUP(tblHorasOut[Evento 
(1º Período)],tblEvento[[Evento]:[Libera o Período]],4,FALSE)),FALSE,IF(VLOOKUP(tblHorasOut[Evento 
(1º Período)],tblEvento[[Evento]:[Libera o Período]],4,FALSE)="Não",TRUE,FALSE)),IF(ISERROR(VLOOKUP(tblHorasOut[Evento 
(2º Período)],tblEvento[[Evento]:[Libera o Período]],4,FALSE)),FALSE,IF(VLOOKUP(tblHorasOut[Evento 
(2º Período)],tblEvento[[Evento]:[Libera o Período]],4,FALSE)="Não",TRUE,FALSE))),
-IF(VLOOKUP(tblHorasOut[Dia],tblDiaUtil[[Abreviatura]:[Total Jornada]],5,FALSE)&lt;&gt;"",VLOOKUP(tblHorasOut[Dia],tblDiaUtil[[Abreviatura]:[Total Jornada]],5,FALSE),JORNADA),
IF(IF(ISERROR(VLOOKUP(tblHorasOut[Evento 
(1º Período)],tblEvento[[Evento]:[Libera o Período]],4,FALSE)),FALSE,
IF(VLOOKUP(tblHorasOut[Evento 
(1º Período)],tblEvento[[Evento]:[Libera o Período]],4,FALSE)="Não",TRUE,FALSE)
),
-IF(VLOOKUP(tblHorasOut[Dia],tblDiaUtil[[Abreviatura]:[1º Período]],3,FALSE)&lt;&gt;"",VLOOKUP(tblHorasOut[Dia],tblDiaUtil[[Abreviatura]:[1º Período]],3,FALSE),JORNADA_PERIODO_1),
IF(IF(ISERROR(VLOOKUP(tblHorasOut[Evento 
(2º Período)],tblEvento[[Evento]:[Libera o Período]],4,FALSE)),FALSE,IF(VLOOKUP(tblHorasOut[Evento 
(2º Período)],tblEvento[[Evento]:[Libera o Período]],4,FALSE)="Não",TRUE,FALSE)),
-IF(VLOOKUP(tblHorasOut[Dia],tblDiaUtil[[Abreviatura]:[2º Período]],4,FALSE)&lt;&gt;"",VLOOKUP(tblHorasOut[Dia],tblDiaUtil[[Abreviatura]:[2º Período]],4,FALSE),JORNADA_PERIODO_2),0))))</f>
        <v>0</v>
      </c>
      <c r="O14" s="14">
        <f>IF(tblHorasOut[Horas Trabalhadas Além Jornada]&gt;0,
        IF(ISNUMBER(tblHorasOut[Jornada Diária]),
              IF(HOUR(tblHorasOut[Horas Trabalhadas Além Jornada])&gt;=VLOOKUP(LIMITE,tblLimiteHora[],Tabelas!$I$1,FALSE),
                    VLOOKUP(LIMITE,tblLimiteHora[],Tabelas!$J$1,FALSE),
                    tblHorasOut[Horas Trabalhadas Além Jornada]),
              tblHorasOut[Horas Trabalhadas Além Jornada]),
        tblHorasOut[Horas Trabalhadas Além Jornada])+O13</f>
        <v>0</v>
      </c>
      <c r="P14" s="14" t="str">
        <f>IF(tblHorasOut[Horas Trabalhadas Além Jornada]&lt;0,IF(OR(tblHorasOut[Evento 
(1º Período)]="",tblHorasOut[Evento 
(2º Período)]=""),tblHorasOut[Horas Trabalhadas Além Jornada],""),"")</f>
        <v/>
      </c>
      <c r="Q14" s="14" t="str">
        <f>IF(tblHorasOut[Jornada Diária]&lt;&gt;"",IF((N(tblHorasOut[Jornada Diária])-ABS(N(tblHorasOut[Horas Trabalhadas Além Jornada])))=0,1,""),"")</f>
        <v/>
      </c>
      <c r="R14" s="14" t="str">
        <f>IF(tblHorasOut[Horas Trabalhadas Além Jornada]&gt;0,
IF(AND(VLOOKUP(TEXT(tblHorasOut[Data],"dddd"),tblDiaUtil[],3,FALSE)="Sim",IF(tblHorasOut[Evento 
(1º Período)]&lt;&gt;"",IF(VLOOKUP(tblHorasOut[Evento 
(1º Período)],tblEvento[],Tabelas!$E$1,FALSE)="Sim",FALSE,TRUE),TRUE),IF(tblHorasOut[Evento 
(2º Período)]&lt;&gt;"",IF(VLOOKUP(tblHorasOut[Evento 
(2º Período)],tblEvento[],Tabelas!$E$1,FALSE)="Sim",FALSE,TRUE),TRUE)),
tblHorasOut[Horas Trabalhadas Além Jornada],""),"")</f>
        <v/>
      </c>
      <c r="S14" s="14" t="str">
        <f>IF(tblHorasOut[Horas Trabalhadas Além Jornada]&gt;0,
IF(OR(VLOOKUP(TEXT(tblHorasOut[Data],"dddd"),tblDiaUtil[],3,FALSE)="Não",IF(tblHorasOut[Evento 
(1º Período)]&lt;&gt;"",IF(VLOOKUP(tblHorasOut[Evento 
(1º Período)],tblEvento[],Tabelas!$E$1,FALSE)="Sim",TRUE,FALSE),FALSE),IF(tblHorasOut[Evento 
(2º Período)]&lt;&gt;"",IF(VLOOKUP(tblHorasOut[Evento 
(2º Período)],tblEvento[],Tabelas!$E$1,FALSE)="Sim",TRUE,FALSE),FALSE)),
tblHorasOut[Horas Trabalhadas Além Jornada],""),"")</f>
        <v/>
      </c>
      <c r="T14" s="15" t="str">
        <f>IF(tblHorasOut[Evento 
(1º Período)]&lt;&gt;""," - " &amp;VLOOKUP(tblHorasOut[Evento 
(1º Período)],tblEvento[],Tabelas!$F$1,FALSE),"")&amp;IF(AND(tblHorasOut[Evento 
(2º Período)]&lt;&gt;"",tblHorasOut[Evento 
(2º Período)]&lt;&gt;tblHorasOut[Evento 
(1º Período)])," - " &amp; VLOOKUP(tblHorasOut[Evento 
(2º Período)],tblEvento[],Tabelas!$F$1,FALSE),"")</f>
        <v/>
      </c>
      <c r="X14" s="18"/>
      <c r="Y14" s="18"/>
    </row>
    <row r="15" spans="2:25" x14ac:dyDescent="0.25">
      <c r="B15" s="11" t="str">
        <f t="shared" si="0"/>
        <v/>
      </c>
      <c r="C15" s="12" t="str">
        <f>TEXT(tblHorasOut[Data],"ddd")</f>
        <v/>
      </c>
      <c r="D15" s="25"/>
      <c r="E15" s="1"/>
      <c r="F15" s="1"/>
      <c r="G15" s="1"/>
      <c r="H15" s="1"/>
      <c r="I15" s="53"/>
      <c r="J15" s="4">
        <f>IF($B$6&lt;&gt;"",
IF(AND(tblHorasOut[Evento 
(1º Período)]&lt;&gt;"",IF(ISERROR(VLOOKUP(tblHorasOut[Evento 
(1º Período)],tblEvento[],Tabelas!$D$1,FALSE)),FALSE,VLOOKUP(tblHorasOut[Evento 
(1º Período)],tblEvento[],Tabelas!$D$1,FALSE)="Sim")),
        IF(JORNADA_PERIODO_1&lt;&gt;"",
IF(VLOOKUP(tblHorasOut[Dia],tblDiaUtil[[Abreviatura]:[1º Período]],3,FALSE)&gt;0,VLOOKUP(tblHorasOut[Dia],tblDiaUtil[[Abreviatura]:[1º Período]],3,FALSE),JORNADA_PERIODO_1),
IF(VLOOKUP(tblHorasOut[Dia],tblDiaUtil[[Abreviatura]:[1º Período]],3,FALSE)&gt;0,VLOOKUP(tblHorasOut[Dia],tblDiaUtil[[Abreviatura]:[1º Período]],3,FALSE),JORNADA/2)),
        IF(AND(ISNUMBER(tblHorasOut[Saída - 1 (Almoço)]),ISNUMBER(tblHorasOut[Entrada - 1])),
              IF(OR(AND(tblHorasOut[Evento 
(1º Período)]&lt;&gt;"",IF(ISERROR(VLOOKUP(tblHorasOut[Evento 
(1º Período)],tblEvento[],Tabelas!$E$1,FALSE)),FALSE,VLOOKUP(tblHorasOut[Evento 
(1º Período)],tblEvento[],Tabelas!$E$1,FALSE)="Sim")),IF(VLOOKUP(TEXT(tblHorasOut[Data],"dddd"),tblDiaUtil[],2,FALSE)="Não",TRUE,FALSE)),
                   tblHorasOut[Saída - 1 (Almoço)]-tblHorasOut[Entrada - 1],
                   IF(OR(HOUR(tblHorasOut[Saída - 1 (Almoço)]-tblHorasOut[Entrada - 1])&gt;0,ROUND(tblHorasOut[Saída - 1 (Almoço)]-tblHorasOut[Entrada - 1],6)&gt;ROUND(CARENCIA,6)),
                          tblHorasOut[Saída - 1 (Almoço)]-tblHorasOut[Entrada - 1],
                          0)),
                    0)),0)</f>
        <v>0</v>
      </c>
      <c r="K15" s="4">
        <f>IF($B$6&lt;&gt;"",
IF(AND(tblHorasOut[Evento 
(2º Período)]&lt;&gt;"",IF(ISERROR(VLOOKUP(tblHorasOut[Evento 
(2º Período)],tblEvento[],Tabelas!$D$1,FALSE)),FALSE,VLOOKUP(tblHorasOut[Evento 
(2º Período)],tblEvento[],Tabelas!$D$1,FALSE)="Sim")),
        IF(JORNADA_PERIODO_2&lt;&gt;"",
IF(VLOOKUP(tblHorasOut[Dia],tblDiaUtil[[Abreviatura]:[2º Período]],4,FALSE)&gt;0,VLOOKUP(tblHorasOut[Dia],tblDiaUtil[[Abreviatura]:[2º Período]],4,FALSE),JORNADA_PERIODO_2),
IF(VLOOKUP(tblHorasOut[Dia],tblDiaUtil[[Abreviatura]:[2º Período]],4,FALSE)&gt;0,VLOOKUP(tblHorasOut[Dia],tblDiaUtil[[Abreviatura]:[2º Período]],4,FALSE),JORNADA/2)),
        IF(AND(ISNUMBER(tblHorasOut[Saída - 2]),ISNUMBER(tblHorasOut[Entrada - 2 (Almoço)])),
              IF(OR(AND(tblHorasOut[Evento 
(2º Período)]&lt;&gt;"",IF(ISERROR(VLOOKUP(tblHorasOut[Evento 
(2º Período)],tblEvento[],Tabelas!$E$1,FALSE)),FALSE,VLOOKUP(tblHorasOut[Evento 
(2º Período)],tblEvento[],Tabelas!$E$1,FALSE)="Sim")),IF(VLOOKUP(TEXT(tblHorasOut[Data],"dddd"),tblDiaUtil[],2,FALSE)="Não",TRUE,FALSE)),
                   tblHorasOut[Saída - 2]-tblHorasOut[Entrada - 2 (Almoço)],
                   IF(OR(HOUR(tblHorasOut[Saída - 2]-tblHorasOut[Entrada - 2 (Almoço)])&gt;0,MINUTE(tblHorasOut[Saída - 2]-tblHorasOut[Entrada - 2 (Almoço)])&gt;CARENCIA),
                         tblHorasOut[Saída - 2]-tblHorasOut[Entrada - 2 (Almoço)],
                         0)),
       0)),0)</f>
        <v>0</v>
      </c>
      <c r="L15" s="4">
        <f>tblHorasOut[Horas Trabalhadas (1º Período)]+tblHorasOut[Horas Trabalhadas (2º Período)]</f>
        <v>0</v>
      </c>
      <c r="M15" s="4" t="str">
        <f>IF(tblHorasOut[Data]&lt;&gt;"",
        IF(
AND(VLOOKUP(TEXT(tblHorasOut[Data],"dddd"),tblDiaUtil[],3,FALSE)="Sim",IF(tblHorasOut[Evento 
(1º Período)]&lt;&gt;"",IF(VLOOKUP(tblHorasOut[Evento 
(1º Período)],tblEvento[],Tabelas!$E$1,FALSE)="Sim",FALSE,TRUE),TRUE),IF(tblHorasOut[Evento 
(2º Período)]&lt;&gt;"",IF(VLOOKUP(tblHorasOut[Evento 
(2º Período)],tblEvento[],Tabelas!$E$1,FALSE)="Sim",FALSE,TRUE),TRUE)),
              IF(VLOOKUP(tblHorasOut[Dia],tblDiaUtil[[Abreviatura]:[1º Período]],3,FALSE)&gt;0,VLOOKUP(tblHorasOut[Dia],tblDiaUtil[[Abreviatura]:[1º Período]],3,FALSE),JORNADA),
              ""),
         "")</f>
        <v/>
      </c>
      <c r="N15" s="14">
        <f>IF(OR(tblHorasOut[Horas Trabalhadas (1º Período)]&lt;&gt;0,tblHorasOut[Horas Trabalhadas (2º Período)]&lt;&gt;0),
        IF(ISNUMBER(tblHorasOut[Jornada Diária]),
              IF(tblHorasOut[Jornada Diária]&gt;(tblHorasOut[Horas Trabalhadas (2º Período)]+tblHorasOut[Horas Trabalhadas (1º Período)]),
                     IF(ROUND((tblHorasOut[Jornada Diária]-(tblHorasOut[Horas Trabalhadas (2º Período)]+tblHorasOut[Horas Trabalhadas (1º Período)])),6)&gt;ROUND(CARENCIA,6),
                           -tblHorasOut[Jornada Diária]+(tblHorasOut[Horas Trabalhadas (2º Período)]+tblHorasOut[Horas Trabalhadas (1º Período)]),
                           0),
                      IF(ROUND((tblHorasOut[Jornada Diária]-(tblHorasOut[Horas Trabalhadas (2º Período)]+tblHorasOut[Horas Trabalhadas (1º Período)])),6)&lt;ROUND(-CARENCIA,6),
                           -tblHorasOut[Jornada Diária]+(tblHorasOut[Horas Trabalhadas (2º Período)]+tblHorasOut[Horas Trabalhadas (1º Período)]),
                           0)),
              tblHorasOut[Horas Trabalhadas (2º Período)]+tblHorasOut[Horas Trabalhadas (1º Período)]),
         IF(AND(IF(ISERROR(VLOOKUP(tblHorasOut[Evento 
(1º Período)],tblEvento[[Evento]:[Libera o Período]],4,FALSE)),FALSE,IF(VLOOKUP(tblHorasOut[Evento 
(1º Período)],tblEvento[[Evento]:[Libera o Período]],4,FALSE)="Não",TRUE,FALSE)),IF(ISERROR(VLOOKUP(tblHorasOut[Evento 
(2º Período)],tblEvento[[Evento]:[Libera o Período]],4,FALSE)),FALSE,IF(VLOOKUP(tblHorasOut[Evento 
(2º Período)],tblEvento[[Evento]:[Libera o Período]],4,FALSE)="Não",TRUE,FALSE))),
-IF(VLOOKUP(tblHorasOut[Dia],tblDiaUtil[[Abreviatura]:[Total Jornada]],5,FALSE)&lt;&gt;"",VLOOKUP(tblHorasOut[Dia],tblDiaUtil[[Abreviatura]:[Total Jornada]],5,FALSE),JORNADA),
IF(IF(ISERROR(VLOOKUP(tblHorasOut[Evento 
(1º Período)],tblEvento[[Evento]:[Libera o Período]],4,FALSE)),FALSE,
IF(VLOOKUP(tblHorasOut[Evento 
(1º Período)],tblEvento[[Evento]:[Libera o Período]],4,FALSE)="Não",TRUE,FALSE)
),
-IF(VLOOKUP(tblHorasOut[Dia],tblDiaUtil[[Abreviatura]:[1º Período]],3,FALSE)&lt;&gt;"",VLOOKUP(tblHorasOut[Dia],tblDiaUtil[[Abreviatura]:[1º Período]],3,FALSE),JORNADA_PERIODO_1),
IF(IF(ISERROR(VLOOKUP(tblHorasOut[Evento 
(2º Período)],tblEvento[[Evento]:[Libera o Período]],4,FALSE)),FALSE,IF(VLOOKUP(tblHorasOut[Evento 
(2º Período)],tblEvento[[Evento]:[Libera o Período]],4,FALSE)="Não",TRUE,FALSE)),
-IF(VLOOKUP(tblHorasOut[Dia],tblDiaUtil[[Abreviatura]:[2º Período]],4,FALSE)&lt;&gt;"",VLOOKUP(tblHorasOut[Dia],tblDiaUtil[[Abreviatura]:[2º Período]],4,FALSE),JORNADA_PERIODO_2),0))))</f>
        <v>0</v>
      </c>
      <c r="O15" s="14">
        <f>IF(tblHorasOut[Horas Trabalhadas Além Jornada]&gt;0,
        IF(ISNUMBER(tblHorasOut[Jornada Diária]),
              IF(HOUR(tblHorasOut[Horas Trabalhadas Além Jornada])&gt;=VLOOKUP(LIMITE,tblLimiteHora[],Tabelas!$I$1,FALSE),
                    VLOOKUP(LIMITE,tblLimiteHora[],Tabelas!$J$1,FALSE),
                    tblHorasOut[Horas Trabalhadas Além Jornada]),
              tblHorasOut[Horas Trabalhadas Além Jornada]),
        tblHorasOut[Horas Trabalhadas Além Jornada])+O14</f>
        <v>0</v>
      </c>
      <c r="P15" s="14" t="str">
        <f>IF(tblHorasOut[Horas Trabalhadas Além Jornada]&lt;0,IF(OR(tblHorasOut[Evento 
(1º Período)]="",tblHorasOut[Evento 
(2º Período)]=""),tblHorasOut[Horas Trabalhadas Além Jornada],""),"")</f>
        <v/>
      </c>
      <c r="Q15" s="14" t="str">
        <f>IF(tblHorasOut[Jornada Diária]&lt;&gt;"",IF((N(tblHorasOut[Jornada Diária])-ABS(N(tblHorasOut[Horas Trabalhadas Além Jornada])))=0,1,""),"")</f>
        <v/>
      </c>
      <c r="R15" s="14" t="str">
        <f>IF(tblHorasOut[Horas Trabalhadas Além Jornada]&gt;0,
IF(AND(VLOOKUP(TEXT(tblHorasOut[Data],"dddd"),tblDiaUtil[],3,FALSE)="Sim",IF(tblHorasOut[Evento 
(1º Período)]&lt;&gt;"",IF(VLOOKUP(tblHorasOut[Evento 
(1º Período)],tblEvento[],Tabelas!$E$1,FALSE)="Sim",FALSE,TRUE),TRUE),IF(tblHorasOut[Evento 
(2º Período)]&lt;&gt;"",IF(VLOOKUP(tblHorasOut[Evento 
(2º Período)],tblEvento[],Tabelas!$E$1,FALSE)="Sim",FALSE,TRUE),TRUE)),
tblHorasOut[Horas Trabalhadas Além Jornada],""),"")</f>
        <v/>
      </c>
      <c r="S15" s="14" t="str">
        <f>IF(tblHorasOut[Horas Trabalhadas Além Jornada]&gt;0,
IF(OR(VLOOKUP(TEXT(tblHorasOut[Data],"dddd"),tblDiaUtil[],3,FALSE)="Não",IF(tblHorasOut[Evento 
(1º Período)]&lt;&gt;"",IF(VLOOKUP(tblHorasOut[Evento 
(1º Período)],tblEvento[],Tabelas!$E$1,FALSE)="Sim",TRUE,FALSE),FALSE),IF(tblHorasOut[Evento 
(2º Período)]&lt;&gt;"",IF(VLOOKUP(tblHorasOut[Evento 
(2º Período)],tblEvento[],Tabelas!$E$1,FALSE)="Sim",TRUE,FALSE),FALSE)),
tblHorasOut[Horas Trabalhadas Além Jornada],""),"")</f>
        <v/>
      </c>
      <c r="T15" s="15" t="str">
        <f>IF(tblHorasOut[Evento 
(1º Período)]&lt;&gt;""," - " &amp;VLOOKUP(tblHorasOut[Evento 
(1º Período)],tblEvento[],Tabelas!$F$1,FALSE),"")&amp;IF(AND(tblHorasOut[Evento 
(2º Período)]&lt;&gt;"",tblHorasOut[Evento 
(2º Período)]&lt;&gt;tblHorasOut[Evento 
(1º Período)])," - " &amp; VLOOKUP(tblHorasOut[Evento 
(2º Período)],tblEvento[],Tabelas!$F$1,FALSE),"")</f>
        <v/>
      </c>
      <c r="X15" s="17"/>
    </row>
    <row r="16" spans="2:25" x14ac:dyDescent="0.25">
      <c r="B16" s="11" t="str">
        <f t="shared" si="0"/>
        <v/>
      </c>
      <c r="C16" s="12" t="str">
        <f>TEXT(tblHorasOut[Data],"ddd")</f>
        <v/>
      </c>
      <c r="D16" s="25"/>
      <c r="E16" s="1"/>
      <c r="F16" s="1"/>
      <c r="G16" s="1"/>
      <c r="H16" s="1"/>
      <c r="I16" s="53"/>
      <c r="J16" s="4">
        <f>IF($B$6&lt;&gt;"",
IF(AND(tblHorasOut[Evento 
(1º Período)]&lt;&gt;"",IF(ISERROR(VLOOKUP(tblHorasOut[Evento 
(1º Período)],tblEvento[],Tabelas!$D$1,FALSE)),FALSE,VLOOKUP(tblHorasOut[Evento 
(1º Período)],tblEvento[],Tabelas!$D$1,FALSE)="Sim")),
        IF(JORNADA_PERIODO_1&lt;&gt;"",
IF(VLOOKUP(tblHorasOut[Dia],tblDiaUtil[[Abreviatura]:[1º Período]],3,FALSE)&gt;0,VLOOKUP(tblHorasOut[Dia],tblDiaUtil[[Abreviatura]:[1º Período]],3,FALSE),JORNADA_PERIODO_1),
IF(VLOOKUP(tblHorasOut[Dia],tblDiaUtil[[Abreviatura]:[1º Período]],3,FALSE)&gt;0,VLOOKUP(tblHorasOut[Dia],tblDiaUtil[[Abreviatura]:[1º Período]],3,FALSE),JORNADA/2)),
        IF(AND(ISNUMBER(tblHorasOut[Saída - 1 (Almoço)]),ISNUMBER(tblHorasOut[Entrada - 1])),
              IF(OR(AND(tblHorasOut[Evento 
(1º Período)]&lt;&gt;"",IF(ISERROR(VLOOKUP(tblHorasOut[Evento 
(1º Período)],tblEvento[],Tabelas!$E$1,FALSE)),FALSE,VLOOKUP(tblHorasOut[Evento 
(1º Período)],tblEvento[],Tabelas!$E$1,FALSE)="Sim")),IF(VLOOKUP(TEXT(tblHorasOut[Data],"dddd"),tblDiaUtil[],2,FALSE)="Não",TRUE,FALSE)),
                   tblHorasOut[Saída - 1 (Almoço)]-tblHorasOut[Entrada - 1],
                   IF(OR(HOUR(tblHorasOut[Saída - 1 (Almoço)]-tblHorasOut[Entrada - 1])&gt;0,ROUND(tblHorasOut[Saída - 1 (Almoço)]-tblHorasOut[Entrada - 1],6)&gt;ROUND(CARENCIA,6)),
                          tblHorasOut[Saída - 1 (Almoço)]-tblHorasOut[Entrada - 1],
                          0)),
                    0)),0)</f>
        <v>0</v>
      </c>
      <c r="K16" s="4">
        <f>IF($B$6&lt;&gt;"",
IF(AND(tblHorasOut[Evento 
(2º Período)]&lt;&gt;"",IF(ISERROR(VLOOKUP(tblHorasOut[Evento 
(2º Período)],tblEvento[],Tabelas!$D$1,FALSE)),FALSE,VLOOKUP(tblHorasOut[Evento 
(2º Período)],tblEvento[],Tabelas!$D$1,FALSE)="Sim")),
        IF(JORNADA_PERIODO_2&lt;&gt;"",
IF(VLOOKUP(tblHorasOut[Dia],tblDiaUtil[[Abreviatura]:[2º Período]],4,FALSE)&gt;0,VLOOKUP(tblHorasOut[Dia],tblDiaUtil[[Abreviatura]:[2º Período]],4,FALSE),JORNADA_PERIODO_2),
IF(VLOOKUP(tblHorasOut[Dia],tblDiaUtil[[Abreviatura]:[2º Período]],4,FALSE)&gt;0,VLOOKUP(tblHorasOut[Dia],tblDiaUtil[[Abreviatura]:[2º Período]],4,FALSE),JORNADA/2)),
        IF(AND(ISNUMBER(tblHorasOut[Saída - 2]),ISNUMBER(tblHorasOut[Entrada - 2 (Almoço)])),
              IF(OR(AND(tblHorasOut[Evento 
(2º Período)]&lt;&gt;"",IF(ISERROR(VLOOKUP(tblHorasOut[Evento 
(2º Período)],tblEvento[],Tabelas!$E$1,FALSE)),FALSE,VLOOKUP(tblHorasOut[Evento 
(2º Período)],tblEvento[],Tabelas!$E$1,FALSE)="Sim")),IF(VLOOKUP(TEXT(tblHorasOut[Data],"dddd"),tblDiaUtil[],2,FALSE)="Não",TRUE,FALSE)),
                   tblHorasOut[Saída - 2]-tblHorasOut[Entrada - 2 (Almoço)],
                   IF(OR(HOUR(tblHorasOut[Saída - 2]-tblHorasOut[Entrada - 2 (Almoço)])&gt;0,MINUTE(tblHorasOut[Saída - 2]-tblHorasOut[Entrada - 2 (Almoço)])&gt;CARENCIA),
                         tblHorasOut[Saída - 2]-tblHorasOut[Entrada - 2 (Almoço)],
                         0)),
       0)),0)</f>
        <v>0</v>
      </c>
      <c r="L16" s="4">
        <f>tblHorasOut[Horas Trabalhadas (1º Período)]+tblHorasOut[Horas Trabalhadas (2º Período)]</f>
        <v>0</v>
      </c>
      <c r="M16" s="4" t="str">
        <f>IF(tblHorasOut[Data]&lt;&gt;"",
        IF(
AND(VLOOKUP(TEXT(tblHorasOut[Data],"dddd"),tblDiaUtil[],3,FALSE)="Sim",IF(tblHorasOut[Evento 
(1º Período)]&lt;&gt;"",IF(VLOOKUP(tblHorasOut[Evento 
(1º Período)],tblEvento[],Tabelas!$E$1,FALSE)="Sim",FALSE,TRUE),TRUE),IF(tblHorasOut[Evento 
(2º Período)]&lt;&gt;"",IF(VLOOKUP(tblHorasOut[Evento 
(2º Período)],tblEvento[],Tabelas!$E$1,FALSE)="Sim",FALSE,TRUE),TRUE)),
              IF(VLOOKUP(tblHorasOut[Dia],tblDiaUtil[[Abreviatura]:[1º Período]],3,FALSE)&gt;0,VLOOKUP(tblHorasOut[Dia],tblDiaUtil[[Abreviatura]:[1º Período]],3,FALSE),JORNADA),
              ""),
         "")</f>
        <v/>
      </c>
      <c r="N16" s="14">
        <f>IF(OR(tblHorasOut[Horas Trabalhadas (1º Período)]&lt;&gt;0,tblHorasOut[Horas Trabalhadas (2º Período)]&lt;&gt;0),
        IF(ISNUMBER(tblHorasOut[Jornada Diária]),
              IF(tblHorasOut[Jornada Diária]&gt;(tblHorasOut[Horas Trabalhadas (2º Período)]+tblHorasOut[Horas Trabalhadas (1º Período)]),
                     IF(ROUND((tblHorasOut[Jornada Diária]-(tblHorasOut[Horas Trabalhadas (2º Período)]+tblHorasOut[Horas Trabalhadas (1º Período)])),6)&gt;ROUND(CARENCIA,6),
                           -tblHorasOut[Jornada Diária]+(tblHorasOut[Horas Trabalhadas (2º Período)]+tblHorasOut[Horas Trabalhadas (1º Período)]),
                           0),
                      IF(ROUND((tblHorasOut[Jornada Diária]-(tblHorasOut[Horas Trabalhadas (2º Período)]+tblHorasOut[Horas Trabalhadas (1º Período)])),6)&lt;ROUND(-CARENCIA,6),
                           -tblHorasOut[Jornada Diária]+(tblHorasOut[Horas Trabalhadas (2º Período)]+tblHorasOut[Horas Trabalhadas (1º Período)]),
                           0)),
              tblHorasOut[Horas Trabalhadas (2º Período)]+tblHorasOut[Horas Trabalhadas (1º Período)]),
         IF(AND(IF(ISERROR(VLOOKUP(tblHorasOut[Evento 
(1º Período)],tblEvento[[Evento]:[Libera o Período]],4,FALSE)),FALSE,IF(VLOOKUP(tblHorasOut[Evento 
(1º Período)],tblEvento[[Evento]:[Libera o Período]],4,FALSE)="Não",TRUE,FALSE)),IF(ISERROR(VLOOKUP(tblHorasOut[Evento 
(2º Período)],tblEvento[[Evento]:[Libera o Período]],4,FALSE)),FALSE,IF(VLOOKUP(tblHorasOut[Evento 
(2º Período)],tblEvento[[Evento]:[Libera o Período]],4,FALSE)="Não",TRUE,FALSE))),
-IF(VLOOKUP(tblHorasOut[Dia],tblDiaUtil[[Abreviatura]:[Total Jornada]],5,FALSE)&lt;&gt;"",VLOOKUP(tblHorasOut[Dia],tblDiaUtil[[Abreviatura]:[Total Jornada]],5,FALSE),JORNADA),
IF(IF(ISERROR(VLOOKUP(tblHorasOut[Evento 
(1º Período)],tblEvento[[Evento]:[Libera o Período]],4,FALSE)),FALSE,
IF(VLOOKUP(tblHorasOut[Evento 
(1º Período)],tblEvento[[Evento]:[Libera o Período]],4,FALSE)="Não",TRUE,FALSE)
),
-IF(VLOOKUP(tblHorasOut[Dia],tblDiaUtil[[Abreviatura]:[1º Período]],3,FALSE)&lt;&gt;"",VLOOKUP(tblHorasOut[Dia],tblDiaUtil[[Abreviatura]:[1º Período]],3,FALSE),JORNADA_PERIODO_1),
IF(IF(ISERROR(VLOOKUP(tblHorasOut[Evento 
(2º Período)],tblEvento[[Evento]:[Libera o Período]],4,FALSE)),FALSE,IF(VLOOKUP(tblHorasOut[Evento 
(2º Período)],tblEvento[[Evento]:[Libera o Período]],4,FALSE)="Não",TRUE,FALSE)),
-IF(VLOOKUP(tblHorasOut[Dia],tblDiaUtil[[Abreviatura]:[2º Período]],4,FALSE)&lt;&gt;"",VLOOKUP(tblHorasOut[Dia],tblDiaUtil[[Abreviatura]:[2º Período]],4,FALSE),JORNADA_PERIODO_2),0))))</f>
        <v>0</v>
      </c>
      <c r="O16" s="14">
        <f>IF(tblHorasOut[Horas Trabalhadas Além Jornada]&gt;0,
        IF(ISNUMBER(tblHorasOut[Jornada Diária]),
              IF(HOUR(tblHorasOut[Horas Trabalhadas Além Jornada])&gt;=VLOOKUP(LIMITE,tblLimiteHora[],Tabelas!$I$1,FALSE),
                    VLOOKUP(LIMITE,tblLimiteHora[],Tabelas!$J$1,FALSE),
                    tblHorasOut[Horas Trabalhadas Além Jornada]),
              tblHorasOut[Horas Trabalhadas Além Jornada]),
        tblHorasOut[Horas Trabalhadas Além Jornada])+O15</f>
        <v>0</v>
      </c>
      <c r="P16" s="14" t="str">
        <f>IF(tblHorasOut[Horas Trabalhadas Além Jornada]&lt;0,IF(OR(tblHorasOut[Evento 
(1º Período)]="",tblHorasOut[Evento 
(2º Período)]=""),tblHorasOut[Horas Trabalhadas Além Jornada],""),"")</f>
        <v/>
      </c>
      <c r="Q16" s="14" t="str">
        <f>IF(tblHorasOut[Jornada Diária]&lt;&gt;"",IF((N(tblHorasOut[Jornada Diária])-ABS(N(tblHorasOut[Horas Trabalhadas Além Jornada])))=0,1,""),"")</f>
        <v/>
      </c>
      <c r="R16" s="14" t="str">
        <f>IF(tblHorasOut[Horas Trabalhadas Além Jornada]&gt;0,
IF(AND(VLOOKUP(TEXT(tblHorasOut[Data],"dddd"),tblDiaUtil[],3,FALSE)="Sim",IF(tblHorasOut[Evento 
(1º Período)]&lt;&gt;"",IF(VLOOKUP(tblHorasOut[Evento 
(1º Período)],tblEvento[],Tabelas!$E$1,FALSE)="Sim",FALSE,TRUE),TRUE),IF(tblHorasOut[Evento 
(2º Período)]&lt;&gt;"",IF(VLOOKUP(tblHorasOut[Evento 
(2º Período)],tblEvento[],Tabelas!$E$1,FALSE)="Sim",FALSE,TRUE),TRUE)),
tblHorasOut[Horas Trabalhadas Além Jornada],""),"")</f>
        <v/>
      </c>
      <c r="S16" s="14" t="str">
        <f>IF(tblHorasOut[Horas Trabalhadas Além Jornada]&gt;0,
IF(OR(VLOOKUP(TEXT(tblHorasOut[Data],"dddd"),tblDiaUtil[],3,FALSE)="Não",IF(tblHorasOut[Evento 
(1º Período)]&lt;&gt;"",IF(VLOOKUP(tblHorasOut[Evento 
(1º Período)],tblEvento[],Tabelas!$E$1,FALSE)="Sim",TRUE,FALSE),FALSE),IF(tblHorasOut[Evento 
(2º Período)]&lt;&gt;"",IF(VLOOKUP(tblHorasOut[Evento 
(2º Período)],tblEvento[],Tabelas!$E$1,FALSE)="Sim",TRUE,FALSE),FALSE)),
tblHorasOut[Horas Trabalhadas Além Jornada],""),"")</f>
        <v/>
      </c>
      <c r="T16" s="15" t="str">
        <f>IF(tblHorasOut[Evento 
(1º Período)]&lt;&gt;""," - " &amp;VLOOKUP(tblHorasOut[Evento 
(1º Período)],tblEvento[],Tabelas!$F$1,FALSE),"")&amp;IF(AND(tblHorasOut[Evento 
(2º Período)]&lt;&gt;"",tblHorasOut[Evento 
(2º Período)]&lt;&gt;tblHorasOut[Evento 
(1º Período)])," - " &amp; VLOOKUP(tblHorasOut[Evento 
(2º Período)],tblEvento[],Tabelas!$F$1,FALSE),"")</f>
        <v/>
      </c>
    </row>
    <row r="17" spans="2:20" x14ac:dyDescent="0.25">
      <c r="B17" s="11" t="str">
        <f t="shared" si="0"/>
        <v/>
      </c>
      <c r="C17" s="12" t="str">
        <f>TEXT(tblHorasOut[Data],"ddd")</f>
        <v/>
      </c>
      <c r="D17" s="25"/>
      <c r="E17" s="1"/>
      <c r="F17" s="1"/>
      <c r="G17" s="1"/>
      <c r="H17" s="1"/>
      <c r="I17" s="53"/>
      <c r="J17" s="4">
        <f>IF($B$6&lt;&gt;"",
IF(AND(tblHorasOut[Evento 
(1º Período)]&lt;&gt;"",IF(ISERROR(VLOOKUP(tblHorasOut[Evento 
(1º Período)],tblEvento[],Tabelas!$D$1,FALSE)),FALSE,VLOOKUP(tblHorasOut[Evento 
(1º Período)],tblEvento[],Tabelas!$D$1,FALSE)="Sim")),
        IF(JORNADA_PERIODO_1&lt;&gt;"",
IF(VLOOKUP(tblHorasOut[Dia],tblDiaUtil[[Abreviatura]:[1º Período]],3,FALSE)&gt;0,VLOOKUP(tblHorasOut[Dia],tblDiaUtil[[Abreviatura]:[1º Período]],3,FALSE),JORNADA_PERIODO_1),
IF(VLOOKUP(tblHorasOut[Dia],tblDiaUtil[[Abreviatura]:[1º Período]],3,FALSE)&gt;0,VLOOKUP(tblHorasOut[Dia],tblDiaUtil[[Abreviatura]:[1º Período]],3,FALSE),JORNADA/2)),
        IF(AND(ISNUMBER(tblHorasOut[Saída - 1 (Almoço)]),ISNUMBER(tblHorasOut[Entrada - 1])),
              IF(OR(AND(tblHorasOut[Evento 
(1º Período)]&lt;&gt;"",IF(ISERROR(VLOOKUP(tblHorasOut[Evento 
(1º Período)],tblEvento[],Tabelas!$E$1,FALSE)),FALSE,VLOOKUP(tblHorasOut[Evento 
(1º Período)],tblEvento[],Tabelas!$E$1,FALSE)="Sim")),IF(VLOOKUP(TEXT(tblHorasOut[Data],"dddd"),tblDiaUtil[],2,FALSE)="Não",TRUE,FALSE)),
                   tblHorasOut[Saída - 1 (Almoço)]-tblHorasOut[Entrada - 1],
                   IF(OR(HOUR(tblHorasOut[Saída - 1 (Almoço)]-tblHorasOut[Entrada - 1])&gt;0,ROUND(tblHorasOut[Saída - 1 (Almoço)]-tblHorasOut[Entrada - 1],6)&gt;ROUND(CARENCIA,6)),
                          tblHorasOut[Saída - 1 (Almoço)]-tblHorasOut[Entrada - 1],
                          0)),
                    0)),0)</f>
        <v>0</v>
      </c>
      <c r="K17" s="4">
        <f>IF($B$6&lt;&gt;"",
IF(AND(tblHorasOut[Evento 
(2º Período)]&lt;&gt;"",IF(ISERROR(VLOOKUP(tblHorasOut[Evento 
(2º Período)],tblEvento[],Tabelas!$D$1,FALSE)),FALSE,VLOOKUP(tblHorasOut[Evento 
(2º Período)],tblEvento[],Tabelas!$D$1,FALSE)="Sim")),
        IF(JORNADA_PERIODO_2&lt;&gt;"",
IF(VLOOKUP(tblHorasOut[Dia],tblDiaUtil[[Abreviatura]:[2º Período]],4,FALSE)&gt;0,VLOOKUP(tblHorasOut[Dia],tblDiaUtil[[Abreviatura]:[2º Período]],4,FALSE),JORNADA_PERIODO_2),
IF(VLOOKUP(tblHorasOut[Dia],tblDiaUtil[[Abreviatura]:[2º Período]],4,FALSE)&gt;0,VLOOKUP(tblHorasOut[Dia],tblDiaUtil[[Abreviatura]:[2º Período]],4,FALSE),JORNADA/2)),
        IF(AND(ISNUMBER(tblHorasOut[Saída - 2]),ISNUMBER(tblHorasOut[Entrada - 2 (Almoço)])),
              IF(OR(AND(tblHorasOut[Evento 
(2º Período)]&lt;&gt;"",IF(ISERROR(VLOOKUP(tblHorasOut[Evento 
(2º Período)],tblEvento[],Tabelas!$E$1,FALSE)),FALSE,VLOOKUP(tblHorasOut[Evento 
(2º Período)],tblEvento[],Tabelas!$E$1,FALSE)="Sim")),IF(VLOOKUP(TEXT(tblHorasOut[Data],"dddd"),tblDiaUtil[],2,FALSE)="Não",TRUE,FALSE)),
                   tblHorasOut[Saída - 2]-tblHorasOut[Entrada - 2 (Almoço)],
                   IF(OR(HOUR(tblHorasOut[Saída - 2]-tblHorasOut[Entrada - 2 (Almoço)])&gt;0,MINUTE(tblHorasOut[Saída - 2]-tblHorasOut[Entrada - 2 (Almoço)])&gt;CARENCIA),
                         tblHorasOut[Saída - 2]-tblHorasOut[Entrada - 2 (Almoço)],
                         0)),
       0)),0)</f>
        <v>0</v>
      </c>
      <c r="L17" s="4">
        <f>tblHorasOut[Horas Trabalhadas (1º Período)]+tblHorasOut[Horas Trabalhadas (2º Período)]</f>
        <v>0</v>
      </c>
      <c r="M17" s="4" t="str">
        <f>IF(tblHorasOut[Data]&lt;&gt;"",
        IF(
AND(VLOOKUP(TEXT(tblHorasOut[Data],"dddd"),tblDiaUtil[],3,FALSE)="Sim",IF(tblHorasOut[Evento 
(1º Período)]&lt;&gt;"",IF(VLOOKUP(tblHorasOut[Evento 
(1º Período)],tblEvento[],Tabelas!$E$1,FALSE)="Sim",FALSE,TRUE),TRUE),IF(tblHorasOut[Evento 
(2º Período)]&lt;&gt;"",IF(VLOOKUP(tblHorasOut[Evento 
(2º Período)],tblEvento[],Tabelas!$E$1,FALSE)="Sim",FALSE,TRUE),TRUE)),
              IF(VLOOKUP(tblHorasOut[Dia],tblDiaUtil[[Abreviatura]:[1º Período]],3,FALSE)&gt;0,VLOOKUP(tblHorasOut[Dia],tblDiaUtil[[Abreviatura]:[1º Período]],3,FALSE),JORNADA),
              ""),
         "")</f>
        <v/>
      </c>
      <c r="N17" s="14">
        <f>IF(OR(tblHorasOut[Horas Trabalhadas (1º Período)]&lt;&gt;0,tblHorasOut[Horas Trabalhadas (2º Período)]&lt;&gt;0),
        IF(ISNUMBER(tblHorasOut[Jornada Diária]),
              IF(tblHorasOut[Jornada Diária]&gt;(tblHorasOut[Horas Trabalhadas (2º Período)]+tblHorasOut[Horas Trabalhadas (1º Período)]),
                     IF(ROUND((tblHorasOut[Jornada Diária]-(tblHorasOut[Horas Trabalhadas (2º Período)]+tblHorasOut[Horas Trabalhadas (1º Período)])),6)&gt;ROUND(CARENCIA,6),
                           -tblHorasOut[Jornada Diária]+(tblHorasOut[Horas Trabalhadas (2º Período)]+tblHorasOut[Horas Trabalhadas (1º Período)]),
                           0),
                      IF(ROUND((tblHorasOut[Jornada Diária]-(tblHorasOut[Horas Trabalhadas (2º Período)]+tblHorasOut[Horas Trabalhadas (1º Período)])),6)&lt;ROUND(-CARENCIA,6),
                           -tblHorasOut[Jornada Diária]+(tblHorasOut[Horas Trabalhadas (2º Período)]+tblHorasOut[Horas Trabalhadas (1º Período)]),
                           0)),
              tblHorasOut[Horas Trabalhadas (2º Período)]+tblHorasOut[Horas Trabalhadas (1º Período)]),
         IF(AND(IF(ISERROR(VLOOKUP(tblHorasOut[Evento 
(1º Período)],tblEvento[[Evento]:[Libera o Período]],4,FALSE)),FALSE,IF(VLOOKUP(tblHorasOut[Evento 
(1º Período)],tblEvento[[Evento]:[Libera o Período]],4,FALSE)="Não",TRUE,FALSE)),IF(ISERROR(VLOOKUP(tblHorasOut[Evento 
(2º Período)],tblEvento[[Evento]:[Libera o Período]],4,FALSE)),FALSE,IF(VLOOKUP(tblHorasOut[Evento 
(2º Período)],tblEvento[[Evento]:[Libera o Período]],4,FALSE)="Não",TRUE,FALSE))),
-IF(VLOOKUP(tblHorasOut[Dia],tblDiaUtil[[Abreviatura]:[Total Jornada]],5,FALSE)&lt;&gt;"",VLOOKUP(tblHorasOut[Dia],tblDiaUtil[[Abreviatura]:[Total Jornada]],5,FALSE),JORNADA),
IF(IF(ISERROR(VLOOKUP(tblHorasOut[Evento 
(1º Período)],tblEvento[[Evento]:[Libera o Período]],4,FALSE)),FALSE,
IF(VLOOKUP(tblHorasOut[Evento 
(1º Período)],tblEvento[[Evento]:[Libera o Período]],4,FALSE)="Não",TRUE,FALSE)
),
-IF(VLOOKUP(tblHorasOut[Dia],tblDiaUtil[[Abreviatura]:[1º Período]],3,FALSE)&lt;&gt;"",VLOOKUP(tblHorasOut[Dia],tblDiaUtil[[Abreviatura]:[1º Período]],3,FALSE),JORNADA_PERIODO_1),
IF(IF(ISERROR(VLOOKUP(tblHorasOut[Evento 
(2º Período)],tblEvento[[Evento]:[Libera o Período]],4,FALSE)),FALSE,IF(VLOOKUP(tblHorasOut[Evento 
(2º Período)],tblEvento[[Evento]:[Libera o Período]],4,FALSE)="Não",TRUE,FALSE)),
-IF(VLOOKUP(tblHorasOut[Dia],tblDiaUtil[[Abreviatura]:[2º Período]],4,FALSE)&lt;&gt;"",VLOOKUP(tblHorasOut[Dia],tblDiaUtil[[Abreviatura]:[2º Período]],4,FALSE),JORNADA_PERIODO_2),0))))</f>
        <v>0</v>
      </c>
      <c r="O17" s="14">
        <f>IF(tblHorasOut[Horas Trabalhadas Além Jornada]&gt;0,
        IF(ISNUMBER(tblHorasOut[Jornada Diária]),
              IF(HOUR(tblHorasOut[Horas Trabalhadas Além Jornada])&gt;=VLOOKUP(LIMITE,tblLimiteHora[],Tabelas!$I$1,FALSE),
                    VLOOKUP(LIMITE,tblLimiteHora[],Tabelas!$J$1,FALSE),
                    tblHorasOut[Horas Trabalhadas Além Jornada]),
              tblHorasOut[Horas Trabalhadas Além Jornada]),
        tblHorasOut[Horas Trabalhadas Além Jornada])+O16</f>
        <v>0</v>
      </c>
      <c r="P17" s="14" t="str">
        <f>IF(tblHorasOut[Horas Trabalhadas Além Jornada]&lt;0,IF(OR(tblHorasOut[Evento 
(1º Período)]="",tblHorasOut[Evento 
(2º Período)]=""),tblHorasOut[Horas Trabalhadas Além Jornada],""),"")</f>
        <v/>
      </c>
      <c r="Q17" s="14" t="str">
        <f>IF(tblHorasOut[Jornada Diária]&lt;&gt;"",IF((N(tblHorasOut[Jornada Diária])-ABS(N(tblHorasOut[Horas Trabalhadas Além Jornada])))=0,1,""),"")</f>
        <v/>
      </c>
      <c r="R17" s="14" t="str">
        <f>IF(tblHorasOut[Horas Trabalhadas Além Jornada]&gt;0,
IF(AND(VLOOKUP(TEXT(tblHorasOut[Data],"dddd"),tblDiaUtil[],3,FALSE)="Sim",IF(tblHorasOut[Evento 
(1º Período)]&lt;&gt;"",IF(VLOOKUP(tblHorasOut[Evento 
(1º Período)],tblEvento[],Tabelas!$E$1,FALSE)="Sim",FALSE,TRUE),TRUE),IF(tblHorasOut[Evento 
(2º Período)]&lt;&gt;"",IF(VLOOKUP(tblHorasOut[Evento 
(2º Período)],tblEvento[],Tabelas!$E$1,FALSE)="Sim",FALSE,TRUE),TRUE)),
tblHorasOut[Horas Trabalhadas Além Jornada],""),"")</f>
        <v/>
      </c>
      <c r="S17" s="14" t="str">
        <f>IF(tblHorasOut[Horas Trabalhadas Além Jornada]&gt;0,
IF(OR(VLOOKUP(TEXT(tblHorasOut[Data],"dddd"),tblDiaUtil[],3,FALSE)="Não",IF(tblHorasOut[Evento 
(1º Período)]&lt;&gt;"",IF(VLOOKUP(tblHorasOut[Evento 
(1º Período)],tblEvento[],Tabelas!$E$1,FALSE)="Sim",TRUE,FALSE),FALSE),IF(tblHorasOut[Evento 
(2º Período)]&lt;&gt;"",IF(VLOOKUP(tblHorasOut[Evento 
(2º Período)],tblEvento[],Tabelas!$E$1,FALSE)="Sim",TRUE,FALSE),FALSE)),
tblHorasOut[Horas Trabalhadas Além Jornada],""),"")</f>
        <v/>
      </c>
      <c r="T17" s="15" t="str">
        <f>IF(tblHorasOut[Evento 
(1º Período)]&lt;&gt;""," - " &amp;VLOOKUP(tblHorasOut[Evento 
(1º Período)],tblEvento[],Tabelas!$F$1,FALSE),"")&amp;IF(AND(tblHorasOut[Evento 
(2º Período)]&lt;&gt;"",tblHorasOut[Evento 
(2º Período)]&lt;&gt;tblHorasOut[Evento 
(1º Período)])," - " &amp; VLOOKUP(tblHorasOut[Evento 
(2º Período)],tblEvento[],Tabelas!$F$1,FALSE),"")</f>
        <v/>
      </c>
    </row>
    <row r="18" spans="2:20" x14ac:dyDescent="0.25">
      <c r="B18" s="11" t="str">
        <f t="shared" si="0"/>
        <v/>
      </c>
      <c r="C18" s="12" t="str">
        <f>TEXT(tblHorasOut[Data],"ddd")</f>
        <v/>
      </c>
      <c r="D18" s="25"/>
      <c r="E18" s="1"/>
      <c r="F18" s="1"/>
      <c r="G18" s="1"/>
      <c r="H18" s="1"/>
      <c r="I18" s="53"/>
      <c r="J18" s="4">
        <f>IF($B$6&lt;&gt;"",
IF(AND(tblHorasOut[Evento 
(1º Período)]&lt;&gt;"",IF(ISERROR(VLOOKUP(tblHorasOut[Evento 
(1º Período)],tblEvento[],Tabelas!$D$1,FALSE)),FALSE,VLOOKUP(tblHorasOut[Evento 
(1º Período)],tblEvento[],Tabelas!$D$1,FALSE)="Sim")),
        IF(JORNADA_PERIODO_1&lt;&gt;"",
IF(VLOOKUP(tblHorasOut[Dia],tblDiaUtil[[Abreviatura]:[1º Período]],3,FALSE)&gt;0,VLOOKUP(tblHorasOut[Dia],tblDiaUtil[[Abreviatura]:[1º Período]],3,FALSE),JORNADA_PERIODO_1),
IF(VLOOKUP(tblHorasOut[Dia],tblDiaUtil[[Abreviatura]:[1º Período]],3,FALSE)&gt;0,VLOOKUP(tblHorasOut[Dia],tblDiaUtil[[Abreviatura]:[1º Período]],3,FALSE),JORNADA/2)),
        IF(AND(ISNUMBER(tblHorasOut[Saída - 1 (Almoço)]),ISNUMBER(tblHorasOut[Entrada - 1])),
              IF(OR(AND(tblHorasOut[Evento 
(1º Período)]&lt;&gt;"",IF(ISERROR(VLOOKUP(tblHorasOut[Evento 
(1º Período)],tblEvento[],Tabelas!$E$1,FALSE)),FALSE,VLOOKUP(tblHorasOut[Evento 
(1º Período)],tblEvento[],Tabelas!$E$1,FALSE)="Sim")),IF(VLOOKUP(TEXT(tblHorasOut[Data],"dddd"),tblDiaUtil[],2,FALSE)="Não",TRUE,FALSE)),
                   tblHorasOut[Saída - 1 (Almoço)]-tblHorasOut[Entrada - 1],
                   IF(OR(HOUR(tblHorasOut[Saída - 1 (Almoço)]-tblHorasOut[Entrada - 1])&gt;0,ROUND(tblHorasOut[Saída - 1 (Almoço)]-tblHorasOut[Entrada - 1],6)&gt;ROUND(CARENCIA,6)),
                          tblHorasOut[Saída - 1 (Almoço)]-tblHorasOut[Entrada - 1],
                          0)),
                    0)),0)</f>
        <v>0</v>
      </c>
      <c r="K18" s="4">
        <f>IF($B$6&lt;&gt;"",
IF(AND(tblHorasOut[Evento 
(2º Período)]&lt;&gt;"",IF(ISERROR(VLOOKUP(tblHorasOut[Evento 
(2º Período)],tblEvento[],Tabelas!$D$1,FALSE)),FALSE,VLOOKUP(tblHorasOut[Evento 
(2º Período)],tblEvento[],Tabelas!$D$1,FALSE)="Sim")),
        IF(JORNADA_PERIODO_2&lt;&gt;"",
IF(VLOOKUP(tblHorasOut[Dia],tblDiaUtil[[Abreviatura]:[2º Período]],4,FALSE)&gt;0,VLOOKUP(tblHorasOut[Dia],tblDiaUtil[[Abreviatura]:[2º Período]],4,FALSE),JORNADA_PERIODO_2),
IF(VLOOKUP(tblHorasOut[Dia],tblDiaUtil[[Abreviatura]:[2º Período]],4,FALSE)&gt;0,VLOOKUP(tblHorasOut[Dia],tblDiaUtil[[Abreviatura]:[2º Período]],4,FALSE),JORNADA/2)),
        IF(AND(ISNUMBER(tblHorasOut[Saída - 2]),ISNUMBER(tblHorasOut[Entrada - 2 (Almoço)])),
              IF(OR(AND(tblHorasOut[Evento 
(2º Período)]&lt;&gt;"",IF(ISERROR(VLOOKUP(tblHorasOut[Evento 
(2º Período)],tblEvento[],Tabelas!$E$1,FALSE)),FALSE,VLOOKUP(tblHorasOut[Evento 
(2º Período)],tblEvento[],Tabelas!$E$1,FALSE)="Sim")),IF(VLOOKUP(TEXT(tblHorasOut[Data],"dddd"),tblDiaUtil[],2,FALSE)="Não",TRUE,FALSE)),
                   tblHorasOut[Saída - 2]-tblHorasOut[Entrada - 2 (Almoço)],
                   IF(OR(HOUR(tblHorasOut[Saída - 2]-tblHorasOut[Entrada - 2 (Almoço)])&gt;0,MINUTE(tblHorasOut[Saída - 2]-tblHorasOut[Entrada - 2 (Almoço)])&gt;CARENCIA),
                         tblHorasOut[Saída - 2]-tblHorasOut[Entrada - 2 (Almoço)],
                         0)),
       0)),0)</f>
        <v>0</v>
      </c>
      <c r="L18" s="4">
        <f>tblHorasOut[Horas Trabalhadas (1º Período)]+tblHorasOut[Horas Trabalhadas (2º Período)]</f>
        <v>0</v>
      </c>
      <c r="M18" s="4" t="str">
        <f>IF(tblHorasOut[Data]&lt;&gt;"",
        IF(
AND(VLOOKUP(TEXT(tblHorasOut[Data],"dddd"),tblDiaUtil[],3,FALSE)="Sim",IF(tblHorasOut[Evento 
(1º Período)]&lt;&gt;"",IF(VLOOKUP(tblHorasOut[Evento 
(1º Período)],tblEvento[],Tabelas!$E$1,FALSE)="Sim",FALSE,TRUE),TRUE),IF(tblHorasOut[Evento 
(2º Período)]&lt;&gt;"",IF(VLOOKUP(tblHorasOut[Evento 
(2º Período)],tblEvento[],Tabelas!$E$1,FALSE)="Sim",FALSE,TRUE),TRUE)),
              IF(VLOOKUP(tblHorasOut[Dia],tblDiaUtil[[Abreviatura]:[1º Período]],3,FALSE)&gt;0,VLOOKUP(tblHorasOut[Dia],tblDiaUtil[[Abreviatura]:[1º Período]],3,FALSE),JORNADA),
              ""),
         "")</f>
        <v/>
      </c>
      <c r="N18" s="14">
        <f>IF(OR(tblHorasOut[Horas Trabalhadas (1º Período)]&lt;&gt;0,tblHorasOut[Horas Trabalhadas (2º Período)]&lt;&gt;0),
        IF(ISNUMBER(tblHorasOut[Jornada Diária]),
              IF(tblHorasOut[Jornada Diária]&gt;(tblHorasOut[Horas Trabalhadas (2º Período)]+tblHorasOut[Horas Trabalhadas (1º Período)]),
                     IF(ROUND((tblHorasOut[Jornada Diária]-(tblHorasOut[Horas Trabalhadas (2º Período)]+tblHorasOut[Horas Trabalhadas (1º Período)])),6)&gt;ROUND(CARENCIA,6),
                           -tblHorasOut[Jornada Diária]+(tblHorasOut[Horas Trabalhadas (2º Período)]+tblHorasOut[Horas Trabalhadas (1º Período)]),
                           0),
                      IF(ROUND((tblHorasOut[Jornada Diária]-(tblHorasOut[Horas Trabalhadas (2º Período)]+tblHorasOut[Horas Trabalhadas (1º Período)])),6)&lt;ROUND(-CARENCIA,6),
                           -tblHorasOut[Jornada Diária]+(tblHorasOut[Horas Trabalhadas (2º Período)]+tblHorasOut[Horas Trabalhadas (1º Período)]),
                           0)),
              tblHorasOut[Horas Trabalhadas (2º Período)]+tblHorasOut[Horas Trabalhadas (1º Período)]),
         IF(AND(IF(ISERROR(VLOOKUP(tblHorasOut[Evento 
(1º Período)],tblEvento[[Evento]:[Libera o Período]],4,FALSE)),FALSE,IF(VLOOKUP(tblHorasOut[Evento 
(1º Período)],tblEvento[[Evento]:[Libera o Período]],4,FALSE)="Não",TRUE,FALSE)),IF(ISERROR(VLOOKUP(tblHorasOut[Evento 
(2º Período)],tblEvento[[Evento]:[Libera o Período]],4,FALSE)),FALSE,IF(VLOOKUP(tblHorasOut[Evento 
(2º Período)],tblEvento[[Evento]:[Libera o Período]],4,FALSE)="Não",TRUE,FALSE))),
-IF(VLOOKUP(tblHorasOut[Dia],tblDiaUtil[[Abreviatura]:[Total Jornada]],5,FALSE)&lt;&gt;"",VLOOKUP(tblHorasOut[Dia],tblDiaUtil[[Abreviatura]:[Total Jornada]],5,FALSE),JORNADA),
IF(IF(ISERROR(VLOOKUP(tblHorasOut[Evento 
(1º Período)],tblEvento[[Evento]:[Libera o Período]],4,FALSE)),FALSE,
IF(VLOOKUP(tblHorasOut[Evento 
(1º Período)],tblEvento[[Evento]:[Libera o Período]],4,FALSE)="Não",TRUE,FALSE)
),
-IF(VLOOKUP(tblHorasOut[Dia],tblDiaUtil[[Abreviatura]:[1º Período]],3,FALSE)&lt;&gt;"",VLOOKUP(tblHorasOut[Dia],tblDiaUtil[[Abreviatura]:[1º Período]],3,FALSE),JORNADA_PERIODO_1),
IF(IF(ISERROR(VLOOKUP(tblHorasOut[Evento 
(2º Período)],tblEvento[[Evento]:[Libera o Período]],4,FALSE)),FALSE,IF(VLOOKUP(tblHorasOut[Evento 
(2º Período)],tblEvento[[Evento]:[Libera o Período]],4,FALSE)="Não",TRUE,FALSE)),
-IF(VLOOKUP(tblHorasOut[Dia],tblDiaUtil[[Abreviatura]:[2º Período]],4,FALSE)&lt;&gt;"",VLOOKUP(tblHorasOut[Dia],tblDiaUtil[[Abreviatura]:[2º Período]],4,FALSE),JORNADA_PERIODO_2),0))))</f>
        <v>0</v>
      </c>
      <c r="O18" s="14">
        <f>IF(tblHorasOut[Horas Trabalhadas Além Jornada]&gt;0,
        IF(ISNUMBER(tblHorasOut[Jornada Diária]),
              IF(HOUR(tblHorasOut[Horas Trabalhadas Além Jornada])&gt;=VLOOKUP(LIMITE,tblLimiteHora[],Tabelas!$I$1,FALSE),
                    VLOOKUP(LIMITE,tblLimiteHora[],Tabelas!$J$1,FALSE),
                    tblHorasOut[Horas Trabalhadas Além Jornada]),
              tblHorasOut[Horas Trabalhadas Além Jornada]),
        tblHorasOut[Horas Trabalhadas Além Jornada])+O17</f>
        <v>0</v>
      </c>
      <c r="P18" s="14" t="str">
        <f>IF(tblHorasOut[Horas Trabalhadas Além Jornada]&lt;0,IF(OR(tblHorasOut[Evento 
(1º Período)]="",tblHorasOut[Evento 
(2º Período)]=""),tblHorasOut[Horas Trabalhadas Além Jornada],""),"")</f>
        <v/>
      </c>
      <c r="Q18" s="14" t="str">
        <f>IF(tblHorasOut[Jornada Diária]&lt;&gt;"",IF((N(tblHorasOut[Jornada Diária])-ABS(N(tblHorasOut[Horas Trabalhadas Além Jornada])))=0,1,""),"")</f>
        <v/>
      </c>
      <c r="R18" s="14" t="str">
        <f>IF(tblHorasOut[Horas Trabalhadas Além Jornada]&gt;0,
IF(AND(VLOOKUP(TEXT(tblHorasOut[Data],"dddd"),tblDiaUtil[],3,FALSE)="Sim",IF(tblHorasOut[Evento 
(1º Período)]&lt;&gt;"",IF(VLOOKUP(tblHorasOut[Evento 
(1º Período)],tblEvento[],Tabelas!$E$1,FALSE)="Sim",FALSE,TRUE),TRUE),IF(tblHorasOut[Evento 
(2º Período)]&lt;&gt;"",IF(VLOOKUP(tblHorasOut[Evento 
(2º Período)],tblEvento[],Tabelas!$E$1,FALSE)="Sim",FALSE,TRUE),TRUE)),
tblHorasOut[Horas Trabalhadas Além Jornada],""),"")</f>
        <v/>
      </c>
      <c r="S18" s="14" t="str">
        <f>IF(tblHorasOut[Horas Trabalhadas Além Jornada]&gt;0,
IF(OR(VLOOKUP(TEXT(tblHorasOut[Data],"dddd"),tblDiaUtil[],3,FALSE)="Não",IF(tblHorasOut[Evento 
(1º Período)]&lt;&gt;"",IF(VLOOKUP(tblHorasOut[Evento 
(1º Período)],tblEvento[],Tabelas!$E$1,FALSE)="Sim",TRUE,FALSE),FALSE),IF(tblHorasOut[Evento 
(2º Período)]&lt;&gt;"",IF(VLOOKUP(tblHorasOut[Evento 
(2º Período)],tblEvento[],Tabelas!$E$1,FALSE)="Sim",TRUE,FALSE),FALSE)),
tblHorasOut[Horas Trabalhadas Além Jornada],""),"")</f>
        <v/>
      </c>
      <c r="T18" s="15" t="str">
        <f>IF(tblHorasOut[Evento 
(1º Período)]&lt;&gt;""," - " &amp;VLOOKUP(tblHorasOut[Evento 
(1º Período)],tblEvento[],Tabelas!$F$1,FALSE),"")&amp;IF(AND(tblHorasOut[Evento 
(2º Período)]&lt;&gt;"",tblHorasOut[Evento 
(2º Período)]&lt;&gt;tblHorasOut[Evento 
(1º Período)])," - " &amp; VLOOKUP(tblHorasOut[Evento 
(2º Período)],tblEvento[],Tabelas!$F$1,FALSE),"")</f>
        <v/>
      </c>
    </row>
    <row r="19" spans="2:20" x14ac:dyDescent="0.25">
      <c r="B19" s="11" t="str">
        <f t="shared" si="0"/>
        <v/>
      </c>
      <c r="C19" s="12" t="str">
        <f>TEXT(tblHorasOut[Data],"ddd")</f>
        <v/>
      </c>
      <c r="D19" s="25"/>
      <c r="E19" s="1"/>
      <c r="F19" s="1"/>
      <c r="G19" s="1"/>
      <c r="H19" s="1"/>
      <c r="I19" s="53"/>
      <c r="J19" s="4">
        <f>IF($B$6&lt;&gt;"",
IF(AND(tblHorasOut[Evento 
(1º Período)]&lt;&gt;"",IF(ISERROR(VLOOKUP(tblHorasOut[Evento 
(1º Período)],tblEvento[],Tabelas!$D$1,FALSE)),FALSE,VLOOKUP(tblHorasOut[Evento 
(1º Período)],tblEvento[],Tabelas!$D$1,FALSE)="Sim")),
        IF(JORNADA_PERIODO_1&lt;&gt;"",
IF(VLOOKUP(tblHorasOut[Dia],tblDiaUtil[[Abreviatura]:[1º Período]],3,FALSE)&gt;0,VLOOKUP(tblHorasOut[Dia],tblDiaUtil[[Abreviatura]:[1º Período]],3,FALSE),JORNADA_PERIODO_1),
IF(VLOOKUP(tblHorasOut[Dia],tblDiaUtil[[Abreviatura]:[1º Período]],3,FALSE)&gt;0,VLOOKUP(tblHorasOut[Dia],tblDiaUtil[[Abreviatura]:[1º Período]],3,FALSE),JORNADA/2)),
        IF(AND(ISNUMBER(tblHorasOut[Saída - 1 (Almoço)]),ISNUMBER(tblHorasOut[Entrada - 1])),
              IF(OR(AND(tblHorasOut[Evento 
(1º Período)]&lt;&gt;"",IF(ISERROR(VLOOKUP(tblHorasOut[Evento 
(1º Período)],tblEvento[],Tabelas!$E$1,FALSE)),FALSE,VLOOKUP(tblHorasOut[Evento 
(1º Período)],tblEvento[],Tabelas!$E$1,FALSE)="Sim")),IF(VLOOKUP(TEXT(tblHorasOut[Data],"dddd"),tblDiaUtil[],2,FALSE)="Não",TRUE,FALSE)),
                   tblHorasOut[Saída - 1 (Almoço)]-tblHorasOut[Entrada - 1],
                   IF(OR(HOUR(tblHorasOut[Saída - 1 (Almoço)]-tblHorasOut[Entrada - 1])&gt;0,ROUND(tblHorasOut[Saída - 1 (Almoço)]-tblHorasOut[Entrada - 1],6)&gt;ROUND(CARENCIA,6)),
                          tblHorasOut[Saída - 1 (Almoço)]-tblHorasOut[Entrada - 1],
                          0)),
                    0)),0)</f>
        <v>0</v>
      </c>
      <c r="K19" s="4">
        <f>IF($B$6&lt;&gt;"",
IF(AND(tblHorasOut[Evento 
(2º Período)]&lt;&gt;"",IF(ISERROR(VLOOKUP(tblHorasOut[Evento 
(2º Período)],tblEvento[],Tabelas!$D$1,FALSE)),FALSE,VLOOKUP(tblHorasOut[Evento 
(2º Período)],tblEvento[],Tabelas!$D$1,FALSE)="Sim")),
        IF(JORNADA_PERIODO_2&lt;&gt;"",
IF(VLOOKUP(tblHorasOut[Dia],tblDiaUtil[[Abreviatura]:[2º Período]],4,FALSE)&gt;0,VLOOKUP(tblHorasOut[Dia],tblDiaUtil[[Abreviatura]:[2º Período]],4,FALSE),JORNADA_PERIODO_2),
IF(VLOOKUP(tblHorasOut[Dia],tblDiaUtil[[Abreviatura]:[2º Período]],4,FALSE)&gt;0,VLOOKUP(tblHorasOut[Dia],tblDiaUtil[[Abreviatura]:[2º Período]],4,FALSE),JORNADA/2)),
        IF(AND(ISNUMBER(tblHorasOut[Saída - 2]),ISNUMBER(tblHorasOut[Entrada - 2 (Almoço)])),
              IF(OR(AND(tblHorasOut[Evento 
(2º Período)]&lt;&gt;"",IF(ISERROR(VLOOKUP(tblHorasOut[Evento 
(2º Período)],tblEvento[],Tabelas!$E$1,FALSE)),FALSE,VLOOKUP(tblHorasOut[Evento 
(2º Período)],tblEvento[],Tabelas!$E$1,FALSE)="Sim")),IF(VLOOKUP(TEXT(tblHorasOut[Data],"dddd"),tblDiaUtil[],2,FALSE)="Não",TRUE,FALSE)),
                   tblHorasOut[Saída - 2]-tblHorasOut[Entrada - 2 (Almoço)],
                   IF(OR(HOUR(tblHorasOut[Saída - 2]-tblHorasOut[Entrada - 2 (Almoço)])&gt;0,MINUTE(tblHorasOut[Saída - 2]-tblHorasOut[Entrada - 2 (Almoço)])&gt;CARENCIA),
                         tblHorasOut[Saída - 2]-tblHorasOut[Entrada - 2 (Almoço)],
                         0)),
       0)),0)</f>
        <v>0</v>
      </c>
      <c r="L19" s="4">
        <f>tblHorasOut[Horas Trabalhadas (1º Período)]+tblHorasOut[Horas Trabalhadas (2º Período)]</f>
        <v>0</v>
      </c>
      <c r="M19" s="4" t="str">
        <f>IF(tblHorasOut[Data]&lt;&gt;"",
        IF(
AND(VLOOKUP(TEXT(tblHorasOut[Data],"dddd"),tblDiaUtil[],3,FALSE)="Sim",IF(tblHorasOut[Evento 
(1º Período)]&lt;&gt;"",IF(VLOOKUP(tblHorasOut[Evento 
(1º Período)],tblEvento[],Tabelas!$E$1,FALSE)="Sim",FALSE,TRUE),TRUE),IF(tblHorasOut[Evento 
(2º Período)]&lt;&gt;"",IF(VLOOKUP(tblHorasOut[Evento 
(2º Período)],tblEvento[],Tabelas!$E$1,FALSE)="Sim",FALSE,TRUE),TRUE)),
              IF(VLOOKUP(tblHorasOut[Dia],tblDiaUtil[[Abreviatura]:[1º Período]],3,FALSE)&gt;0,VLOOKUP(tblHorasOut[Dia],tblDiaUtil[[Abreviatura]:[1º Período]],3,FALSE),JORNADA),
              ""),
         "")</f>
        <v/>
      </c>
      <c r="N19" s="14">
        <f>IF(OR(tblHorasOut[Horas Trabalhadas (1º Período)]&lt;&gt;0,tblHorasOut[Horas Trabalhadas (2º Período)]&lt;&gt;0),
        IF(ISNUMBER(tblHorasOut[Jornada Diária]),
              IF(tblHorasOut[Jornada Diária]&gt;(tblHorasOut[Horas Trabalhadas (2º Período)]+tblHorasOut[Horas Trabalhadas (1º Período)]),
                     IF(ROUND((tblHorasOut[Jornada Diária]-(tblHorasOut[Horas Trabalhadas (2º Período)]+tblHorasOut[Horas Trabalhadas (1º Período)])),6)&gt;ROUND(CARENCIA,6),
                           -tblHorasOut[Jornada Diária]+(tblHorasOut[Horas Trabalhadas (2º Período)]+tblHorasOut[Horas Trabalhadas (1º Período)]),
                           0),
                      IF(ROUND((tblHorasOut[Jornada Diária]-(tblHorasOut[Horas Trabalhadas (2º Período)]+tblHorasOut[Horas Trabalhadas (1º Período)])),6)&lt;ROUND(-CARENCIA,6),
                           -tblHorasOut[Jornada Diária]+(tblHorasOut[Horas Trabalhadas (2º Período)]+tblHorasOut[Horas Trabalhadas (1º Período)]),
                           0)),
              tblHorasOut[Horas Trabalhadas (2º Período)]+tblHorasOut[Horas Trabalhadas (1º Período)]),
         IF(AND(IF(ISERROR(VLOOKUP(tblHorasOut[Evento 
(1º Período)],tblEvento[[Evento]:[Libera o Período]],4,FALSE)),FALSE,IF(VLOOKUP(tblHorasOut[Evento 
(1º Período)],tblEvento[[Evento]:[Libera o Período]],4,FALSE)="Não",TRUE,FALSE)),IF(ISERROR(VLOOKUP(tblHorasOut[Evento 
(2º Período)],tblEvento[[Evento]:[Libera o Período]],4,FALSE)),FALSE,IF(VLOOKUP(tblHorasOut[Evento 
(2º Período)],tblEvento[[Evento]:[Libera o Período]],4,FALSE)="Não",TRUE,FALSE))),
-IF(VLOOKUP(tblHorasOut[Dia],tblDiaUtil[[Abreviatura]:[Total Jornada]],5,FALSE)&lt;&gt;"",VLOOKUP(tblHorasOut[Dia],tblDiaUtil[[Abreviatura]:[Total Jornada]],5,FALSE),JORNADA),
IF(IF(ISERROR(VLOOKUP(tblHorasOut[Evento 
(1º Período)],tblEvento[[Evento]:[Libera o Período]],4,FALSE)),FALSE,
IF(VLOOKUP(tblHorasOut[Evento 
(1º Período)],tblEvento[[Evento]:[Libera o Período]],4,FALSE)="Não",TRUE,FALSE)
),
-IF(VLOOKUP(tblHorasOut[Dia],tblDiaUtil[[Abreviatura]:[1º Período]],3,FALSE)&lt;&gt;"",VLOOKUP(tblHorasOut[Dia],tblDiaUtil[[Abreviatura]:[1º Período]],3,FALSE),JORNADA_PERIODO_1),
IF(IF(ISERROR(VLOOKUP(tblHorasOut[Evento 
(2º Período)],tblEvento[[Evento]:[Libera o Período]],4,FALSE)),FALSE,IF(VLOOKUP(tblHorasOut[Evento 
(2º Período)],tblEvento[[Evento]:[Libera o Período]],4,FALSE)="Não",TRUE,FALSE)),
-IF(VLOOKUP(tblHorasOut[Dia],tblDiaUtil[[Abreviatura]:[2º Período]],4,FALSE)&lt;&gt;"",VLOOKUP(tblHorasOut[Dia],tblDiaUtil[[Abreviatura]:[2º Período]],4,FALSE),JORNADA_PERIODO_2),0))))</f>
        <v>0</v>
      </c>
      <c r="O19" s="14">
        <f>IF(tblHorasOut[Horas Trabalhadas Além Jornada]&gt;0,
        IF(ISNUMBER(tblHorasOut[Jornada Diária]),
              IF(HOUR(tblHorasOut[Horas Trabalhadas Além Jornada])&gt;=VLOOKUP(LIMITE,tblLimiteHora[],Tabelas!$I$1,FALSE),
                    VLOOKUP(LIMITE,tblLimiteHora[],Tabelas!$J$1,FALSE),
                    tblHorasOut[Horas Trabalhadas Além Jornada]),
              tblHorasOut[Horas Trabalhadas Além Jornada]),
        tblHorasOut[Horas Trabalhadas Além Jornada])+O18</f>
        <v>0</v>
      </c>
      <c r="P19" s="14" t="str">
        <f>IF(tblHorasOut[Horas Trabalhadas Além Jornada]&lt;0,IF(OR(tblHorasOut[Evento 
(1º Período)]="",tblHorasOut[Evento 
(2º Período)]=""),tblHorasOut[Horas Trabalhadas Além Jornada],""),"")</f>
        <v/>
      </c>
      <c r="Q19" s="14" t="str">
        <f>IF(tblHorasOut[Jornada Diária]&lt;&gt;"",IF((N(tblHorasOut[Jornada Diária])-ABS(N(tblHorasOut[Horas Trabalhadas Além Jornada])))=0,1,""),"")</f>
        <v/>
      </c>
      <c r="R19" s="14" t="str">
        <f>IF(tblHorasOut[Horas Trabalhadas Além Jornada]&gt;0,
IF(AND(VLOOKUP(TEXT(tblHorasOut[Data],"dddd"),tblDiaUtil[],3,FALSE)="Sim",IF(tblHorasOut[Evento 
(1º Período)]&lt;&gt;"",IF(VLOOKUP(tblHorasOut[Evento 
(1º Período)],tblEvento[],Tabelas!$E$1,FALSE)="Sim",FALSE,TRUE),TRUE),IF(tblHorasOut[Evento 
(2º Período)]&lt;&gt;"",IF(VLOOKUP(tblHorasOut[Evento 
(2º Período)],tblEvento[],Tabelas!$E$1,FALSE)="Sim",FALSE,TRUE),TRUE)),
tblHorasOut[Horas Trabalhadas Além Jornada],""),"")</f>
        <v/>
      </c>
      <c r="S19" s="14" t="str">
        <f>IF(tblHorasOut[Horas Trabalhadas Além Jornada]&gt;0,
IF(OR(VLOOKUP(TEXT(tblHorasOut[Data],"dddd"),tblDiaUtil[],3,FALSE)="Não",IF(tblHorasOut[Evento 
(1º Período)]&lt;&gt;"",IF(VLOOKUP(tblHorasOut[Evento 
(1º Período)],tblEvento[],Tabelas!$E$1,FALSE)="Sim",TRUE,FALSE),FALSE),IF(tblHorasOut[Evento 
(2º Período)]&lt;&gt;"",IF(VLOOKUP(tblHorasOut[Evento 
(2º Período)],tblEvento[],Tabelas!$E$1,FALSE)="Sim",TRUE,FALSE),FALSE)),
tblHorasOut[Horas Trabalhadas Além Jornada],""),"")</f>
        <v/>
      </c>
      <c r="T19" s="15" t="str">
        <f>IF(tblHorasOut[Evento 
(1º Período)]&lt;&gt;""," - " &amp;VLOOKUP(tblHorasOut[Evento 
(1º Período)],tblEvento[],Tabelas!$F$1,FALSE),"")&amp;IF(AND(tblHorasOut[Evento 
(2º Período)]&lt;&gt;"",tblHorasOut[Evento 
(2º Período)]&lt;&gt;tblHorasOut[Evento 
(1º Período)])," - " &amp; VLOOKUP(tblHorasOut[Evento 
(2º Período)],tblEvento[],Tabelas!$F$1,FALSE),"")</f>
        <v/>
      </c>
    </row>
    <row r="20" spans="2:20" x14ac:dyDescent="0.25">
      <c r="B20" s="11" t="str">
        <f t="shared" si="0"/>
        <v/>
      </c>
      <c r="C20" s="12" t="str">
        <f>TEXT(tblHorasOut[Data],"ddd")</f>
        <v/>
      </c>
      <c r="D20" s="25"/>
      <c r="E20" s="1"/>
      <c r="F20" s="1"/>
      <c r="G20" s="1"/>
      <c r="H20" s="1"/>
      <c r="I20" s="53"/>
      <c r="J20" s="4">
        <f>IF($B$6&lt;&gt;"",
IF(AND(tblHorasOut[Evento 
(1º Período)]&lt;&gt;"",IF(ISERROR(VLOOKUP(tblHorasOut[Evento 
(1º Período)],tblEvento[],Tabelas!$D$1,FALSE)),FALSE,VLOOKUP(tblHorasOut[Evento 
(1º Período)],tblEvento[],Tabelas!$D$1,FALSE)="Sim")),
        IF(JORNADA_PERIODO_1&lt;&gt;"",
IF(VLOOKUP(tblHorasOut[Dia],tblDiaUtil[[Abreviatura]:[1º Período]],3,FALSE)&gt;0,VLOOKUP(tblHorasOut[Dia],tblDiaUtil[[Abreviatura]:[1º Período]],3,FALSE),JORNADA_PERIODO_1),
IF(VLOOKUP(tblHorasOut[Dia],tblDiaUtil[[Abreviatura]:[1º Período]],3,FALSE)&gt;0,VLOOKUP(tblHorasOut[Dia],tblDiaUtil[[Abreviatura]:[1º Período]],3,FALSE),JORNADA/2)),
        IF(AND(ISNUMBER(tblHorasOut[Saída - 1 (Almoço)]),ISNUMBER(tblHorasOut[Entrada - 1])),
              IF(OR(AND(tblHorasOut[Evento 
(1º Período)]&lt;&gt;"",IF(ISERROR(VLOOKUP(tblHorasOut[Evento 
(1º Período)],tblEvento[],Tabelas!$E$1,FALSE)),FALSE,VLOOKUP(tblHorasOut[Evento 
(1º Período)],tblEvento[],Tabelas!$E$1,FALSE)="Sim")),IF(VLOOKUP(TEXT(tblHorasOut[Data],"dddd"),tblDiaUtil[],2,FALSE)="Não",TRUE,FALSE)),
                   tblHorasOut[Saída - 1 (Almoço)]-tblHorasOut[Entrada - 1],
                   IF(OR(HOUR(tblHorasOut[Saída - 1 (Almoço)]-tblHorasOut[Entrada - 1])&gt;0,ROUND(tblHorasOut[Saída - 1 (Almoço)]-tblHorasOut[Entrada - 1],6)&gt;ROUND(CARENCIA,6)),
                          tblHorasOut[Saída - 1 (Almoço)]-tblHorasOut[Entrada - 1],
                          0)),
                    0)),0)</f>
        <v>0</v>
      </c>
      <c r="K20" s="4">
        <f>IF($B$6&lt;&gt;"",
IF(AND(tblHorasOut[Evento 
(2º Período)]&lt;&gt;"",IF(ISERROR(VLOOKUP(tblHorasOut[Evento 
(2º Período)],tblEvento[],Tabelas!$D$1,FALSE)),FALSE,VLOOKUP(tblHorasOut[Evento 
(2º Período)],tblEvento[],Tabelas!$D$1,FALSE)="Sim")),
        IF(JORNADA_PERIODO_2&lt;&gt;"",
IF(VLOOKUP(tblHorasOut[Dia],tblDiaUtil[[Abreviatura]:[2º Período]],4,FALSE)&gt;0,VLOOKUP(tblHorasOut[Dia],tblDiaUtil[[Abreviatura]:[2º Período]],4,FALSE),JORNADA_PERIODO_2),
IF(VLOOKUP(tblHorasOut[Dia],tblDiaUtil[[Abreviatura]:[2º Período]],4,FALSE)&gt;0,VLOOKUP(tblHorasOut[Dia],tblDiaUtil[[Abreviatura]:[2º Período]],4,FALSE),JORNADA/2)),
        IF(AND(ISNUMBER(tblHorasOut[Saída - 2]),ISNUMBER(tblHorasOut[Entrada - 2 (Almoço)])),
              IF(OR(AND(tblHorasOut[Evento 
(2º Período)]&lt;&gt;"",IF(ISERROR(VLOOKUP(tblHorasOut[Evento 
(2º Período)],tblEvento[],Tabelas!$E$1,FALSE)),FALSE,VLOOKUP(tblHorasOut[Evento 
(2º Período)],tblEvento[],Tabelas!$E$1,FALSE)="Sim")),IF(VLOOKUP(TEXT(tblHorasOut[Data],"dddd"),tblDiaUtil[],2,FALSE)="Não",TRUE,FALSE)),
                   tblHorasOut[Saída - 2]-tblHorasOut[Entrada - 2 (Almoço)],
                   IF(OR(HOUR(tblHorasOut[Saída - 2]-tblHorasOut[Entrada - 2 (Almoço)])&gt;0,MINUTE(tblHorasOut[Saída - 2]-tblHorasOut[Entrada - 2 (Almoço)])&gt;CARENCIA),
                         tblHorasOut[Saída - 2]-tblHorasOut[Entrada - 2 (Almoço)],
                         0)),
       0)),0)</f>
        <v>0</v>
      </c>
      <c r="L20" s="4">
        <f>tblHorasOut[Horas Trabalhadas (1º Período)]+tblHorasOut[Horas Trabalhadas (2º Período)]</f>
        <v>0</v>
      </c>
      <c r="M20" s="4" t="str">
        <f>IF(tblHorasOut[Data]&lt;&gt;"",
        IF(
AND(VLOOKUP(TEXT(tblHorasOut[Data],"dddd"),tblDiaUtil[],3,FALSE)="Sim",IF(tblHorasOut[Evento 
(1º Período)]&lt;&gt;"",IF(VLOOKUP(tblHorasOut[Evento 
(1º Período)],tblEvento[],Tabelas!$E$1,FALSE)="Sim",FALSE,TRUE),TRUE),IF(tblHorasOut[Evento 
(2º Período)]&lt;&gt;"",IF(VLOOKUP(tblHorasOut[Evento 
(2º Período)],tblEvento[],Tabelas!$E$1,FALSE)="Sim",FALSE,TRUE),TRUE)),
              IF(VLOOKUP(tblHorasOut[Dia],tblDiaUtil[[Abreviatura]:[1º Período]],3,FALSE)&gt;0,VLOOKUP(tblHorasOut[Dia],tblDiaUtil[[Abreviatura]:[1º Período]],3,FALSE),JORNADA),
              ""),
         "")</f>
        <v/>
      </c>
      <c r="N20" s="14">
        <f>IF(OR(tblHorasOut[Horas Trabalhadas (1º Período)]&lt;&gt;0,tblHorasOut[Horas Trabalhadas (2º Período)]&lt;&gt;0),
        IF(ISNUMBER(tblHorasOut[Jornada Diária]),
              IF(tblHorasOut[Jornada Diária]&gt;(tblHorasOut[Horas Trabalhadas (2º Período)]+tblHorasOut[Horas Trabalhadas (1º Período)]),
                     IF(ROUND((tblHorasOut[Jornada Diária]-(tblHorasOut[Horas Trabalhadas (2º Período)]+tblHorasOut[Horas Trabalhadas (1º Período)])),6)&gt;ROUND(CARENCIA,6),
                           -tblHorasOut[Jornada Diária]+(tblHorasOut[Horas Trabalhadas (2º Período)]+tblHorasOut[Horas Trabalhadas (1º Período)]),
                           0),
                      IF(ROUND((tblHorasOut[Jornada Diária]-(tblHorasOut[Horas Trabalhadas (2º Período)]+tblHorasOut[Horas Trabalhadas (1º Período)])),6)&lt;ROUND(-CARENCIA,6),
                           -tblHorasOut[Jornada Diária]+(tblHorasOut[Horas Trabalhadas (2º Período)]+tblHorasOut[Horas Trabalhadas (1º Período)]),
                           0)),
              tblHorasOut[Horas Trabalhadas (2º Período)]+tblHorasOut[Horas Trabalhadas (1º Período)]),
         IF(AND(IF(ISERROR(VLOOKUP(tblHorasOut[Evento 
(1º Período)],tblEvento[[Evento]:[Libera o Período]],4,FALSE)),FALSE,IF(VLOOKUP(tblHorasOut[Evento 
(1º Período)],tblEvento[[Evento]:[Libera o Período]],4,FALSE)="Não",TRUE,FALSE)),IF(ISERROR(VLOOKUP(tblHorasOut[Evento 
(2º Período)],tblEvento[[Evento]:[Libera o Período]],4,FALSE)),FALSE,IF(VLOOKUP(tblHorasOut[Evento 
(2º Período)],tblEvento[[Evento]:[Libera o Período]],4,FALSE)="Não",TRUE,FALSE))),
-IF(VLOOKUP(tblHorasOut[Dia],tblDiaUtil[[Abreviatura]:[Total Jornada]],5,FALSE)&lt;&gt;"",VLOOKUP(tblHorasOut[Dia],tblDiaUtil[[Abreviatura]:[Total Jornada]],5,FALSE),JORNADA),
IF(IF(ISERROR(VLOOKUP(tblHorasOut[Evento 
(1º Período)],tblEvento[[Evento]:[Libera o Período]],4,FALSE)),FALSE,
IF(VLOOKUP(tblHorasOut[Evento 
(1º Período)],tblEvento[[Evento]:[Libera o Período]],4,FALSE)="Não",TRUE,FALSE)
),
-IF(VLOOKUP(tblHorasOut[Dia],tblDiaUtil[[Abreviatura]:[1º Período]],3,FALSE)&lt;&gt;"",VLOOKUP(tblHorasOut[Dia],tblDiaUtil[[Abreviatura]:[1º Período]],3,FALSE),JORNADA_PERIODO_1),
IF(IF(ISERROR(VLOOKUP(tblHorasOut[Evento 
(2º Período)],tblEvento[[Evento]:[Libera o Período]],4,FALSE)),FALSE,IF(VLOOKUP(tblHorasOut[Evento 
(2º Período)],tblEvento[[Evento]:[Libera o Período]],4,FALSE)="Não",TRUE,FALSE)),
-IF(VLOOKUP(tblHorasOut[Dia],tblDiaUtil[[Abreviatura]:[2º Período]],4,FALSE)&lt;&gt;"",VLOOKUP(tblHorasOut[Dia],tblDiaUtil[[Abreviatura]:[2º Período]],4,FALSE),JORNADA_PERIODO_2),0))))</f>
        <v>0</v>
      </c>
      <c r="O20" s="14">
        <f>IF(tblHorasOut[Horas Trabalhadas Além Jornada]&gt;0,
        IF(ISNUMBER(tblHorasOut[Jornada Diária]),
              IF(HOUR(tblHorasOut[Horas Trabalhadas Além Jornada])&gt;=VLOOKUP(LIMITE,tblLimiteHora[],Tabelas!$I$1,FALSE),
                    VLOOKUP(LIMITE,tblLimiteHora[],Tabelas!$J$1,FALSE),
                    tblHorasOut[Horas Trabalhadas Além Jornada]),
              tblHorasOut[Horas Trabalhadas Além Jornada]),
        tblHorasOut[Horas Trabalhadas Além Jornada])+O19</f>
        <v>0</v>
      </c>
      <c r="P20" s="14" t="str">
        <f>IF(tblHorasOut[Horas Trabalhadas Além Jornada]&lt;0,IF(OR(tblHorasOut[Evento 
(1º Período)]="",tblHorasOut[Evento 
(2º Período)]=""),tblHorasOut[Horas Trabalhadas Além Jornada],""),"")</f>
        <v/>
      </c>
      <c r="Q20" s="14" t="str">
        <f>IF(tblHorasOut[Jornada Diária]&lt;&gt;"",IF((N(tblHorasOut[Jornada Diária])-ABS(N(tblHorasOut[Horas Trabalhadas Além Jornada])))=0,1,""),"")</f>
        <v/>
      </c>
      <c r="R20" s="14" t="str">
        <f>IF(tblHorasOut[Horas Trabalhadas Além Jornada]&gt;0,
IF(AND(VLOOKUP(TEXT(tblHorasOut[Data],"dddd"),tblDiaUtil[],3,FALSE)="Sim",IF(tblHorasOut[Evento 
(1º Período)]&lt;&gt;"",IF(VLOOKUP(tblHorasOut[Evento 
(1º Período)],tblEvento[],Tabelas!$E$1,FALSE)="Sim",FALSE,TRUE),TRUE),IF(tblHorasOut[Evento 
(2º Período)]&lt;&gt;"",IF(VLOOKUP(tblHorasOut[Evento 
(2º Período)],tblEvento[],Tabelas!$E$1,FALSE)="Sim",FALSE,TRUE),TRUE)),
tblHorasOut[Horas Trabalhadas Além Jornada],""),"")</f>
        <v/>
      </c>
      <c r="S20" s="14" t="str">
        <f>IF(tblHorasOut[Horas Trabalhadas Além Jornada]&gt;0,
IF(OR(VLOOKUP(TEXT(tblHorasOut[Data],"dddd"),tblDiaUtil[],3,FALSE)="Não",IF(tblHorasOut[Evento 
(1º Período)]&lt;&gt;"",IF(VLOOKUP(tblHorasOut[Evento 
(1º Período)],tblEvento[],Tabelas!$E$1,FALSE)="Sim",TRUE,FALSE),FALSE),IF(tblHorasOut[Evento 
(2º Período)]&lt;&gt;"",IF(VLOOKUP(tblHorasOut[Evento 
(2º Período)],tblEvento[],Tabelas!$E$1,FALSE)="Sim",TRUE,FALSE),FALSE)),
tblHorasOut[Horas Trabalhadas Além Jornada],""),"")</f>
        <v/>
      </c>
      <c r="T20" s="15" t="str">
        <f>IF(tblHorasOut[Evento 
(1º Período)]&lt;&gt;""," - " &amp;VLOOKUP(tblHorasOut[Evento 
(1º Período)],tblEvento[],Tabelas!$F$1,FALSE),"")&amp;IF(AND(tblHorasOut[Evento 
(2º Período)]&lt;&gt;"",tblHorasOut[Evento 
(2º Período)]&lt;&gt;tblHorasOut[Evento 
(1º Período)])," - " &amp; VLOOKUP(tblHorasOut[Evento 
(2º Período)],tblEvento[],Tabelas!$F$1,FALSE),"")</f>
        <v/>
      </c>
    </row>
    <row r="21" spans="2:20" x14ac:dyDescent="0.25">
      <c r="B21" s="11" t="str">
        <f t="shared" si="0"/>
        <v/>
      </c>
      <c r="C21" s="12" t="str">
        <f>TEXT(tblHorasOut[Data],"ddd")</f>
        <v/>
      </c>
      <c r="D21" s="25"/>
      <c r="E21" s="1"/>
      <c r="F21" s="1"/>
      <c r="G21" s="1"/>
      <c r="H21" s="1"/>
      <c r="I21" s="53"/>
      <c r="J21" s="4">
        <f>IF($B$6&lt;&gt;"",
IF(AND(tblHorasOut[Evento 
(1º Período)]&lt;&gt;"",IF(ISERROR(VLOOKUP(tblHorasOut[Evento 
(1º Período)],tblEvento[],Tabelas!$D$1,FALSE)),FALSE,VLOOKUP(tblHorasOut[Evento 
(1º Período)],tblEvento[],Tabelas!$D$1,FALSE)="Sim")),
        IF(JORNADA_PERIODO_1&lt;&gt;"",
IF(VLOOKUP(tblHorasOut[Dia],tblDiaUtil[[Abreviatura]:[1º Período]],3,FALSE)&gt;0,VLOOKUP(tblHorasOut[Dia],tblDiaUtil[[Abreviatura]:[1º Período]],3,FALSE),JORNADA_PERIODO_1),
IF(VLOOKUP(tblHorasOut[Dia],tblDiaUtil[[Abreviatura]:[1º Período]],3,FALSE)&gt;0,VLOOKUP(tblHorasOut[Dia],tblDiaUtil[[Abreviatura]:[1º Período]],3,FALSE),JORNADA/2)),
        IF(AND(ISNUMBER(tblHorasOut[Saída - 1 (Almoço)]),ISNUMBER(tblHorasOut[Entrada - 1])),
              IF(OR(AND(tblHorasOut[Evento 
(1º Período)]&lt;&gt;"",IF(ISERROR(VLOOKUP(tblHorasOut[Evento 
(1º Período)],tblEvento[],Tabelas!$E$1,FALSE)),FALSE,VLOOKUP(tblHorasOut[Evento 
(1º Período)],tblEvento[],Tabelas!$E$1,FALSE)="Sim")),IF(VLOOKUP(TEXT(tblHorasOut[Data],"dddd"),tblDiaUtil[],2,FALSE)="Não",TRUE,FALSE)),
                   tblHorasOut[Saída - 1 (Almoço)]-tblHorasOut[Entrada - 1],
                   IF(OR(HOUR(tblHorasOut[Saída - 1 (Almoço)]-tblHorasOut[Entrada - 1])&gt;0,ROUND(tblHorasOut[Saída - 1 (Almoço)]-tblHorasOut[Entrada - 1],6)&gt;ROUND(CARENCIA,6)),
                          tblHorasOut[Saída - 1 (Almoço)]-tblHorasOut[Entrada - 1],
                          0)),
                    0)),0)</f>
        <v>0</v>
      </c>
      <c r="K21" s="4">
        <f>IF($B$6&lt;&gt;"",
IF(AND(tblHorasOut[Evento 
(2º Período)]&lt;&gt;"",IF(ISERROR(VLOOKUP(tblHorasOut[Evento 
(2º Período)],tblEvento[],Tabelas!$D$1,FALSE)),FALSE,VLOOKUP(tblHorasOut[Evento 
(2º Período)],tblEvento[],Tabelas!$D$1,FALSE)="Sim")),
        IF(JORNADA_PERIODO_2&lt;&gt;"",
IF(VLOOKUP(tblHorasOut[Dia],tblDiaUtil[[Abreviatura]:[2º Período]],4,FALSE)&gt;0,VLOOKUP(tblHorasOut[Dia],tblDiaUtil[[Abreviatura]:[2º Período]],4,FALSE),JORNADA_PERIODO_2),
IF(VLOOKUP(tblHorasOut[Dia],tblDiaUtil[[Abreviatura]:[2º Período]],4,FALSE)&gt;0,VLOOKUP(tblHorasOut[Dia],tblDiaUtil[[Abreviatura]:[2º Período]],4,FALSE),JORNADA/2)),
        IF(AND(ISNUMBER(tblHorasOut[Saída - 2]),ISNUMBER(tblHorasOut[Entrada - 2 (Almoço)])),
              IF(OR(AND(tblHorasOut[Evento 
(2º Período)]&lt;&gt;"",IF(ISERROR(VLOOKUP(tblHorasOut[Evento 
(2º Período)],tblEvento[],Tabelas!$E$1,FALSE)),FALSE,VLOOKUP(tblHorasOut[Evento 
(2º Período)],tblEvento[],Tabelas!$E$1,FALSE)="Sim")),IF(VLOOKUP(TEXT(tblHorasOut[Data],"dddd"),tblDiaUtil[],2,FALSE)="Não",TRUE,FALSE)),
                   tblHorasOut[Saída - 2]-tblHorasOut[Entrada - 2 (Almoço)],
                   IF(OR(HOUR(tblHorasOut[Saída - 2]-tblHorasOut[Entrada - 2 (Almoço)])&gt;0,MINUTE(tblHorasOut[Saída - 2]-tblHorasOut[Entrada - 2 (Almoço)])&gt;CARENCIA),
                         tblHorasOut[Saída - 2]-tblHorasOut[Entrada - 2 (Almoço)],
                         0)),
       0)),0)</f>
        <v>0</v>
      </c>
      <c r="L21" s="4">
        <f>tblHorasOut[Horas Trabalhadas (1º Período)]+tblHorasOut[Horas Trabalhadas (2º Período)]</f>
        <v>0</v>
      </c>
      <c r="M21" s="4" t="str">
        <f>IF(tblHorasOut[Data]&lt;&gt;"",
        IF(
AND(VLOOKUP(TEXT(tblHorasOut[Data],"dddd"),tblDiaUtil[],3,FALSE)="Sim",IF(tblHorasOut[Evento 
(1º Período)]&lt;&gt;"",IF(VLOOKUP(tblHorasOut[Evento 
(1º Período)],tblEvento[],Tabelas!$E$1,FALSE)="Sim",FALSE,TRUE),TRUE),IF(tblHorasOut[Evento 
(2º Período)]&lt;&gt;"",IF(VLOOKUP(tblHorasOut[Evento 
(2º Período)],tblEvento[],Tabelas!$E$1,FALSE)="Sim",FALSE,TRUE),TRUE)),
              IF(VLOOKUP(tblHorasOut[Dia],tblDiaUtil[[Abreviatura]:[1º Período]],3,FALSE)&gt;0,VLOOKUP(tblHorasOut[Dia],tblDiaUtil[[Abreviatura]:[1º Período]],3,FALSE),JORNADA),
              ""),
         "")</f>
        <v/>
      </c>
      <c r="N21" s="14">
        <f>IF(OR(tblHorasOut[Horas Trabalhadas (1º Período)]&lt;&gt;0,tblHorasOut[Horas Trabalhadas (2º Período)]&lt;&gt;0),
        IF(ISNUMBER(tblHorasOut[Jornada Diária]),
              IF(tblHorasOut[Jornada Diária]&gt;(tblHorasOut[Horas Trabalhadas (2º Período)]+tblHorasOut[Horas Trabalhadas (1º Período)]),
                     IF(ROUND((tblHorasOut[Jornada Diária]-(tblHorasOut[Horas Trabalhadas (2º Período)]+tblHorasOut[Horas Trabalhadas (1º Período)])),6)&gt;ROUND(CARENCIA,6),
                           -tblHorasOut[Jornada Diária]+(tblHorasOut[Horas Trabalhadas (2º Período)]+tblHorasOut[Horas Trabalhadas (1º Período)]),
                           0),
                      IF(ROUND((tblHorasOut[Jornada Diária]-(tblHorasOut[Horas Trabalhadas (2º Período)]+tblHorasOut[Horas Trabalhadas (1º Período)])),6)&lt;ROUND(-CARENCIA,6),
                           -tblHorasOut[Jornada Diária]+(tblHorasOut[Horas Trabalhadas (2º Período)]+tblHorasOut[Horas Trabalhadas (1º Período)]),
                           0)),
              tblHorasOut[Horas Trabalhadas (2º Período)]+tblHorasOut[Horas Trabalhadas (1º Período)]),
         IF(AND(IF(ISERROR(VLOOKUP(tblHorasOut[Evento 
(1º Período)],tblEvento[[Evento]:[Libera o Período]],4,FALSE)),FALSE,IF(VLOOKUP(tblHorasOut[Evento 
(1º Período)],tblEvento[[Evento]:[Libera o Período]],4,FALSE)="Não",TRUE,FALSE)),IF(ISERROR(VLOOKUP(tblHorasOut[Evento 
(2º Período)],tblEvento[[Evento]:[Libera o Período]],4,FALSE)),FALSE,IF(VLOOKUP(tblHorasOut[Evento 
(2º Período)],tblEvento[[Evento]:[Libera o Período]],4,FALSE)="Não",TRUE,FALSE))),
-IF(VLOOKUP(tblHorasOut[Dia],tblDiaUtil[[Abreviatura]:[Total Jornada]],5,FALSE)&lt;&gt;"",VLOOKUP(tblHorasOut[Dia],tblDiaUtil[[Abreviatura]:[Total Jornada]],5,FALSE),JORNADA),
IF(IF(ISERROR(VLOOKUP(tblHorasOut[Evento 
(1º Período)],tblEvento[[Evento]:[Libera o Período]],4,FALSE)),FALSE,
IF(VLOOKUP(tblHorasOut[Evento 
(1º Período)],tblEvento[[Evento]:[Libera o Período]],4,FALSE)="Não",TRUE,FALSE)
),
-IF(VLOOKUP(tblHorasOut[Dia],tblDiaUtil[[Abreviatura]:[1º Período]],3,FALSE)&lt;&gt;"",VLOOKUP(tblHorasOut[Dia],tblDiaUtil[[Abreviatura]:[1º Período]],3,FALSE),JORNADA_PERIODO_1),
IF(IF(ISERROR(VLOOKUP(tblHorasOut[Evento 
(2º Período)],tblEvento[[Evento]:[Libera o Período]],4,FALSE)),FALSE,IF(VLOOKUP(tblHorasOut[Evento 
(2º Período)],tblEvento[[Evento]:[Libera o Período]],4,FALSE)="Não",TRUE,FALSE)),
-IF(VLOOKUP(tblHorasOut[Dia],tblDiaUtil[[Abreviatura]:[2º Período]],4,FALSE)&lt;&gt;"",VLOOKUP(tblHorasOut[Dia],tblDiaUtil[[Abreviatura]:[2º Período]],4,FALSE),JORNADA_PERIODO_2),0))))</f>
        <v>0</v>
      </c>
      <c r="O21" s="14">
        <f>IF(tblHorasOut[Horas Trabalhadas Além Jornada]&gt;0,
        IF(ISNUMBER(tblHorasOut[Jornada Diária]),
              IF(HOUR(tblHorasOut[Horas Trabalhadas Além Jornada])&gt;=VLOOKUP(LIMITE,tblLimiteHora[],Tabelas!$I$1,FALSE),
                    VLOOKUP(LIMITE,tblLimiteHora[],Tabelas!$J$1,FALSE),
                    tblHorasOut[Horas Trabalhadas Além Jornada]),
              tblHorasOut[Horas Trabalhadas Além Jornada]),
        tblHorasOut[Horas Trabalhadas Além Jornada])+O20</f>
        <v>0</v>
      </c>
      <c r="P21" s="14" t="str">
        <f>IF(tblHorasOut[Horas Trabalhadas Além Jornada]&lt;0,IF(OR(tblHorasOut[Evento 
(1º Período)]="",tblHorasOut[Evento 
(2º Período)]=""),tblHorasOut[Horas Trabalhadas Além Jornada],""),"")</f>
        <v/>
      </c>
      <c r="Q21" s="14" t="str">
        <f>IF(tblHorasOut[Jornada Diária]&lt;&gt;"",IF((N(tblHorasOut[Jornada Diária])-ABS(N(tblHorasOut[Horas Trabalhadas Além Jornada])))=0,1,""),"")</f>
        <v/>
      </c>
      <c r="R21" s="14" t="str">
        <f>IF(tblHorasOut[Horas Trabalhadas Além Jornada]&gt;0,
IF(AND(VLOOKUP(TEXT(tblHorasOut[Data],"dddd"),tblDiaUtil[],3,FALSE)="Sim",IF(tblHorasOut[Evento 
(1º Período)]&lt;&gt;"",IF(VLOOKUP(tblHorasOut[Evento 
(1º Período)],tblEvento[],Tabelas!$E$1,FALSE)="Sim",FALSE,TRUE),TRUE),IF(tblHorasOut[Evento 
(2º Período)]&lt;&gt;"",IF(VLOOKUP(tblHorasOut[Evento 
(2º Período)],tblEvento[],Tabelas!$E$1,FALSE)="Sim",FALSE,TRUE),TRUE)),
tblHorasOut[Horas Trabalhadas Além Jornada],""),"")</f>
        <v/>
      </c>
      <c r="S21" s="14" t="str">
        <f>IF(tblHorasOut[Horas Trabalhadas Além Jornada]&gt;0,
IF(OR(VLOOKUP(TEXT(tblHorasOut[Data],"dddd"),tblDiaUtil[],3,FALSE)="Não",IF(tblHorasOut[Evento 
(1º Período)]&lt;&gt;"",IF(VLOOKUP(tblHorasOut[Evento 
(1º Período)],tblEvento[],Tabelas!$E$1,FALSE)="Sim",TRUE,FALSE),FALSE),IF(tblHorasOut[Evento 
(2º Período)]&lt;&gt;"",IF(VLOOKUP(tblHorasOut[Evento 
(2º Período)],tblEvento[],Tabelas!$E$1,FALSE)="Sim",TRUE,FALSE),FALSE)),
tblHorasOut[Horas Trabalhadas Além Jornada],""),"")</f>
        <v/>
      </c>
      <c r="T21" s="15" t="str">
        <f>IF(tblHorasOut[Evento 
(1º Período)]&lt;&gt;""," - " &amp;VLOOKUP(tblHorasOut[Evento 
(1º Período)],tblEvento[],Tabelas!$F$1,FALSE),"")&amp;IF(AND(tblHorasOut[Evento 
(2º Período)]&lt;&gt;"",tblHorasOut[Evento 
(2º Período)]&lt;&gt;tblHorasOut[Evento 
(1º Período)])," - " &amp; VLOOKUP(tblHorasOut[Evento 
(2º Período)],tblEvento[],Tabelas!$F$1,FALSE),"")</f>
        <v/>
      </c>
    </row>
    <row r="22" spans="2:20" x14ac:dyDescent="0.25">
      <c r="B22" s="11" t="str">
        <f t="shared" si="0"/>
        <v/>
      </c>
      <c r="C22" s="12" t="str">
        <f>TEXT(tblHorasOut[Data],"ddd")</f>
        <v/>
      </c>
      <c r="D22" s="25"/>
      <c r="E22" s="1"/>
      <c r="F22" s="1"/>
      <c r="G22" s="1"/>
      <c r="H22" s="1"/>
      <c r="I22" s="53"/>
      <c r="J22" s="4">
        <f>IF($B$6&lt;&gt;"",
IF(AND(tblHorasOut[Evento 
(1º Período)]&lt;&gt;"",IF(ISERROR(VLOOKUP(tblHorasOut[Evento 
(1º Período)],tblEvento[],Tabelas!$D$1,FALSE)),FALSE,VLOOKUP(tblHorasOut[Evento 
(1º Período)],tblEvento[],Tabelas!$D$1,FALSE)="Sim")),
        IF(JORNADA_PERIODO_1&lt;&gt;"",
IF(VLOOKUP(tblHorasOut[Dia],tblDiaUtil[[Abreviatura]:[1º Período]],3,FALSE)&gt;0,VLOOKUP(tblHorasOut[Dia],tblDiaUtil[[Abreviatura]:[1º Período]],3,FALSE),JORNADA_PERIODO_1),
IF(VLOOKUP(tblHorasOut[Dia],tblDiaUtil[[Abreviatura]:[1º Período]],3,FALSE)&gt;0,VLOOKUP(tblHorasOut[Dia],tblDiaUtil[[Abreviatura]:[1º Período]],3,FALSE),JORNADA/2)),
        IF(AND(ISNUMBER(tblHorasOut[Saída - 1 (Almoço)]),ISNUMBER(tblHorasOut[Entrada - 1])),
              IF(OR(AND(tblHorasOut[Evento 
(1º Período)]&lt;&gt;"",IF(ISERROR(VLOOKUP(tblHorasOut[Evento 
(1º Período)],tblEvento[],Tabelas!$E$1,FALSE)),FALSE,VLOOKUP(tblHorasOut[Evento 
(1º Período)],tblEvento[],Tabelas!$E$1,FALSE)="Sim")),IF(VLOOKUP(TEXT(tblHorasOut[Data],"dddd"),tblDiaUtil[],2,FALSE)="Não",TRUE,FALSE)),
                   tblHorasOut[Saída - 1 (Almoço)]-tblHorasOut[Entrada - 1],
                   IF(OR(HOUR(tblHorasOut[Saída - 1 (Almoço)]-tblHorasOut[Entrada - 1])&gt;0,ROUND(tblHorasOut[Saída - 1 (Almoço)]-tblHorasOut[Entrada - 1],6)&gt;ROUND(CARENCIA,6)),
                          tblHorasOut[Saída - 1 (Almoço)]-tblHorasOut[Entrada - 1],
                          0)),
                    0)),0)</f>
        <v>0</v>
      </c>
      <c r="K22" s="4">
        <f>IF($B$6&lt;&gt;"",
IF(AND(tblHorasOut[Evento 
(2º Período)]&lt;&gt;"",IF(ISERROR(VLOOKUP(tblHorasOut[Evento 
(2º Período)],tblEvento[],Tabelas!$D$1,FALSE)),FALSE,VLOOKUP(tblHorasOut[Evento 
(2º Período)],tblEvento[],Tabelas!$D$1,FALSE)="Sim")),
        IF(JORNADA_PERIODO_2&lt;&gt;"",
IF(VLOOKUP(tblHorasOut[Dia],tblDiaUtil[[Abreviatura]:[2º Período]],4,FALSE)&gt;0,VLOOKUP(tblHorasOut[Dia],tblDiaUtil[[Abreviatura]:[2º Período]],4,FALSE),JORNADA_PERIODO_2),
IF(VLOOKUP(tblHorasOut[Dia],tblDiaUtil[[Abreviatura]:[2º Período]],4,FALSE)&gt;0,VLOOKUP(tblHorasOut[Dia],tblDiaUtil[[Abreviatura]:[2º Período]],4,FALSE),JORNADA/2)),
        IF(AND(ISNUMBER(tblHorasOut[Saída - 2]),ISNUMBER(tblHorasOut[Entrada - 2 (Almoço)])),
              IF(OR(AND(tblHorasOut[Evento 
(2º Período)]&lt;&gt;"",IF(ISERROR(VLOOKUP(tblHorasOut[Evento 
(2º Período)],tblEvento[],Tabelas!$E$1,FALSE)),FALSE,VLOOKUP(tblHorasOut[Evento 
(2º Período)],tblEvento[],Tabelas!$E$1,FALSE)="Sim")),IF(VLOOKUP(TEXT(tblHorasOut[Data],"dddd"),tblDiaUtil[],2,FALSE)="Não",TRUE,FALSE)),
                   tblHorasOut[Saída - 2]-tblHorasOut[Entrada - 2 (Almoço)],
                   IF(OR(HOUR(tblHorasOut[Saída - 2]-tblHorasOut[Entrada - 2 (Almoço)])&gt;0,MINUTE(tblHorasOut[Saída - 2]-tblHorasOut[Entrada - 2 (Almoço)])&gt;CARENCIA),
                         tblHorasOut[Saída - 2]-tblHorasOut[Entrada - 2 (Almoço)],
                         0)),
       0)),0)</f>
        <v>0</v>
      </c>
      <c r="L22" s="4">
        <f>tblHorasOut[Horas Trabalhadas (1º Período)]+tblHorasOut[Horas Trabalhadas (2º Período)]</f>
        <v>0</v>
      </c>
      <c r="M22" s="4" t="str">
        <f>IF(tblHorasOut[Data]&lt;&gt;"",
        IF(
AND(VLOOKUP(TEXT(tblHorasOut[Data],"dddd"),tblDiaUtil[],3,FALSE)="Sim",IF(tblHorasOut[Evento 
(1º Período)]&lt;&gt;"",IF(VLOOKUP(tblHorasOut[Evento 
(1º Período)],tblEvento[],Tabelas!$E$1,FALSE)="Sim",FALSE,TRUE),TRUE),IF(tblHorasOut[Evento 
(2º Período)]&lt;&gt;"",IF(VLOOKUP(tblHorasOut[Evento 
(2º Período)],tblEvento[],Tabelas!$E$1,FALSE)="Sim",FALSE,TRUE),TRUE)),
              IF(VLOOKUP(tblHorasOut[Dia],tblDiaUtil[[Abreviatura]:[1º Período]],3,FALSE)&gt;0,VLOOKUP(tblHorasOut[Dia],tblDiaUtil[[Abreviatura]:[1º Período]],3,FALSE),JORNADA),
              ""),
         "")</f>
        <v/>
      </c>
      <c r="N22" s="14">
        <f>IF(OR(tblHorasOut[Horas Trabalhadas (1º Período)]&lt;&gt;0,tblHorasOut[Horas Trabalhadas (2º Período)]&lt;&gt;0),
        IF(ISNUMBER(tblHorasOut[Jornada Diária]),
              IF(tblHorasOut[Jornada Diária]&gt;(tblHorasOut[Horas Trabalhadas (2º Período)]+tblHorasOut[Horas Trabalhadas (1º Período)]),
                     IF(ROUND((tblHorasOut[Jornada Diária]-(tblHorasOut[Horas Trabalhadas (2º Período)]+tblHorasOut[Horas Trabalhadas (1º Período)])),6)&gt;ROUND(CARENCIA,6),
                           -tblHorasOut[Jornada Diária]+(tblHorasOut[Horas Trabalhadas (2º Período)]+tblHorasOut[Horas Trabalhadas (1º Período)]),
                           0),
                      IF(ROUND((tblHorasOut[Jornada Diária]-(tblHorasOut[Horas Trabalhadas (2º Período)]+tblHorasOut[Horas Trabalhadas (1º Período)])),6)&lt;ROUND(-CARENCIA,6),
                           -tblHorasOut[Jornada Diária]+(tblHorasOut[Horas Trabalhadas (2º Período)]+tblHorasOut[Horas Trabalhadas (1º Período)]),
                           0)),
              tblHorasOut[Horas Trabalhadas (2º Período)]+tblHorasOut[Horas Trabalhadas (1º Período)]),
         IF(AND(IF(ISERROR(VLOOKUP(tblHorasOut[Evento 
(1º Período)],tblEvento[[Evento]:[Libera o Período]],4,FALSE)),FALSE,IF(VLOOKUP(tblHorasOut[Evento 
(1º Período)],tblEvento[[Evento]:[Libera o Período]],4,FALSE)="Não",TRUE,FALSE)),IF(ISERROR(VLOOKUP(tblHorasOut[Evento 
(2º Período)],tblEvento[[Evento]:[Libera o Período]],4,FALSE)),FALSE,IF(VLOOKUP(tblHorasOut[Evento 
(2º Período)],tblEvento[[Evento]:[Libera o Período]],4,FALSE)="Não",TRUE,FALSE))),
-IF(VLOOKUP(tblHorasOut[Dia],tblDiaUtil[[Abreviatura]:[Total Jornada]],5,FALSE)&lt;&gt;"",VLOOKUP(tblHorasOut[Dia],tblDiaUtil[[Abreviatura]:[Total Jornada]],5,FALSE),JORNADA),
IF(IF(ISERROR(VLOOKUP(tblHorasOut[Evento 
(1º Período)],tblEvento[[Evento]:[Libera o Período]],4,FALSE)),FALSE,
IF(VLOOKUP(tblHorasOut[Evento 
(1º Período)],tblEvento[[Evento]:[Libera o Período]],4,FALSE)="Não",TRUE,FALSE)
),
-IF(VLOOKUP(tblHorasOut[Dia],tblDiaUtil[[Abreviatura]:[1º Período]],3,FALSE)&lt;&gt;"",VLOOKUP(tblHorasOut[Dia],tblDiaUtil[[Abreviatura]:[1º Período]],3,FALSE),JORNADA_PERIODO_1),
IF(IF(ISERROR(VLOOKUP(tblHorasOut[Evento 
(2º Período)],tblEvento[[Evento]:[Libera o Período]],4,FALSE)),FALSE,IF(VLOOKUP(tblHorasOut[Evento 
(2º Período)],tblEvento[[Evento]:[Libera o Período]],4,FALSE)="Não",TRUE,FALSE)),
-IF(VLOOKUP(tblHorasOut[Dia],tblDiaUtil[[Abreviatura]:[2º Período]],4,FALSE)&lt;&gt;"",VLOOKUP(tblHorasOut[Dia],tblDiaUtil[[Abreviatura]:[2º Período]],4,FALSE),JORNADA_PERIODO_2),0))))</f>
        <v>0</v>
      </c>
      <c r="O22" s="14">
        <f>IF(tblHorasOut[Horas Trabalhadas Além Jornada]&gt;0,
        IF(ISNUMBER(tblHorasOut[Jornada Diária]),
              IF(HOUR(tblHorasOut[Horas Trabalhadas Além Jornada])&gt;=VLOOKUP(LIMITE,tblLimiteHora[],Tabelas!$I$1,FALSE),
                    VLOOKUP(LIMITE,tblLimiteHora[],Tabelas!$J$1,FALSE),
                    tblHorasOut[Horas Trabalhadas Além Jornada]),
              tblHorasOut[Horas Trabalhadas Além Jornada]),
        tblHorasOut[Horas Trabalhadas Além Jornada])+O21</f>
        <v>0</v>
      </c>
      <c r="P22" s="14" t="str">
        <f>IF(tblHorasOut[Horas Trabalhadas Além Jornada]&lt;0,IF(OR(tblHorasOut[Evento 
(1º Período)]="",tblHorasOut[Evento 
(2º Período)]=""),tblHorasOut[Horas Trabalhadas Além Jornada],""),"")</f>
        <v/>
      </c>
      <c r="Q22" s="14" t="str">
        <f>IF(tblHorasOut[Jornada Diária]&lt;&gt;"",IF((N(tblHorasOut[Jornada Diária])-ABS(N(tblHorasOut[Horas Trabalhadas Além Jornada])))=0,1,""),"")</f>
        <v/>
      </c>
      <c r="R22" s="14" t="str">
        <f>IF(tblHorasOut[Horas Trabalhadas Além Jornada]&gt;0,
IF(AND(VLOOKUP(TEXT(tblHorasOut[Data],"dddd"),tblDiaUtil[],3,FALSE)="Sim",IF(tblHorasOut[Evento 
(1º Período)]&lt;&gt;"",IF(VLOOKUP(tblHorasOut[Evento 
(1º Período)],tblEvento[],Tabelas!$E$1,FALSE)="Sim",FALSE,TRUE),TRUE),IF(tblHorasOut[Evento 
(2º Período)]&lt;&gt;"",IF(VLOOKUP(tblHorasOut[Evento 
(2º Período)],tblEvento[],Tabelas!$E$1,FALSE)="Sim",FALSE,TRUE),TRUE)),
tblHorasOut[Horas Trabalhadas Além Jornada],""),"")</f>
        <v/>
      </c>
      <c r="S22" s="14" t="str">
        <f>IF(tblHorasOut[Horas Trabalhadas Além Jornada]&gt;0,
IF(OR(VLOOKUP(TEXT(tblHorasOut[Data],"dddd"),tblDiaUtil[],3,FALSE)="Não",IF(tblHorasOut[Evento 
(1º Período)]&lt;&gt;"",IF(VLOOKUP(tblHorasOut[Evento 
(1º Período)],tblEvento[],Tabelas!$E$1,FALSE)="Sim",TRUE,FALSE),FALSE),IF(tblHorasOut[Evento 
(2º Período)]&lt;&gt;"",IF(VLOOKUP(tblHorasOut[Evento 
(2º Período)],tblEvento[],Tabelas!$E$1,FALSE)="Sim",TRUE,FALSE),FALSE)),
tblHorasOut[Horas Trabalhadas Além Jornada],""),"")</f>
        <v/>
      </c>
      <c r="T22" s="15" t="str">
        <f>IF(tblHorasOut[Evento 
(1º Período)]&lt;&gt;""," - " &amp;VLOOKUP(tblHorasOut[Evento 
(1º Período)],tblEvento[],Tabelas!$F$1,FALSE),"")&amp;IF(AND(tblHorasOut[Evento 
(2º Período)]&lt;&gt;"",tblHorasOut[Evento 
(2º Período)]&lt;&gt;tblHorasOut[Evento 
(1º Período)])," - " &amp; VLOOKUP(tblHorasOut[Evento 
(2º Período)],tblEvento[],Tabelas!$F$1,FALSE),"")</f>
        <v/>
      </c>
    </row>
    <row r="23" spans="2:20" x14ac:dyDescent="0.25">
      <c r="B23" s="11" t="str">
        <f t="shared" si="0"/>
        <v/>
      </c>
      <c r="C23" s="12" t="str">
        <f>TEXT(tblHorasOut[Data],"ddd")</f>
        <v/>
      </c>
      <c r="D23" s="25"/>
      <c r="E23" s="1"/>
      <c r="F23" s="1"/>
      <c r="G23" s="1"/>
      <c r="H23" s="1"/>
      <c r="I23" s="53"/>
      <c r="J23" s="4">
        <f>IF($B$6&lt;&gt;"",
IF(AND(tblHorasOut[Evento 
(1º Período)]&lt;&gt;"",IF(ISERROR(VLOOKUP(tblHorasOut[Evento 
(1º Período)],tblEvento[],Tabelas!$D$1,FALSE)),FALSE,VLOOKUP(tblHorasOut[Evento 
(1º Período)],tblEvento[],Tabelas!$D$1,FALSE)="Sim")),
        IF(JORNADA_PERIODO_1&lt;&gt;"",
IF(VLOOKUP(tblHorasOut[Dia],tblDiaUtil[[Abreviatura]:[1º Período]],3,FALSE)&gt;0,VLOOKUP(tblHorasOut[Dia],tblDiaUtil[[Abreviatura]:[1º Período]],3,FALSE),JORNADA_PERIODO_1),
IF(VLOOKUP(tblHorasOut[Dia],tblDiaUtil[[Abreviatura]:[1º Período]],3,FALSE)&gt;0,VLOOKUP(tblHorasOut[Dia],tblDiaUtil[[Abreviatura]:[1º Período]],3,FALSE),JORNADA/2)),
        IF(AND(ISNUMBER(tblHorasOut[Saída - 1 (Almoço)]),ISNUMBER(tblHorasOut[Entrada - 1])),
              IF(OR(AND(tblHorasOut[Evento 
(1º Período)]&lt;&gt;"",IF(ISERROR(VLOOKUP(tblHorasOut[Evento 
(1º Período)],tblEvento[],Tabelas!$E$1,FALSE)),FALSE,VLOOKUP(tblHorasOut[Evento 
(1º Período)],tblEvento[],Tabelas!$E$1,FALSE)="Sim")),IF(VLOOKUP(TEXT(tblHorasOut[Data],"dddd"),tblDiaUtil[],2,FALSE)="Não",TRUE,FALSE)),
                   tblHorasOut[Saída - 1 (Almoço)]-tblHorasOut[Entrada - 1],
                   IF(OR(HOUR(tblHorasOut[Saída - 1 (Almoço)]-tblHorasOut[Entrada - 1])&gt;0,ROUND(tblHorasOut[Saída - 1 (Almoço)]-tblHorasOut[Entrada - 1],6)&gt;ROUND(CARENCIA,6)),
                          tblHorasOut[Saída - 1 (Almoço)]-tblHorasOut[Entrada - 1],
                          0)),
                    0)),0)</f>
        <v>0</v>
      </c>
      <c r="K23" s="4">
        <f>IF($B$6&lt;&gt;"",
IF(AND(tblHorasOut[Evento 
(2º Período)]&lt;&gt;"",IF(ISERROR(VLOOKUP(tblHorasOut[Evento 
(2º Período)],tblEvento[],Tabelas!$D$1,FALSE)),FALSE,VLOOKUP(tblHorasOut[Evento 
(2º Período)],tblEvento[],Tabelas!$D$1,FALSE)="Sim")),
        IF(JORNADA_PERIODO_2&lt;&gt;"",
IF(VLOOKUP(tblHorasOut[Dia],tblDiaUtil[[Abreviatura]:[2º Período]],4,FALSE)&gt;0,VLOOKUP(tblHorasOut[Dia],tblDiaUtil[[Abreviatura]:[2º Período]],4,FALSE),JORNADA_PERIODO_2),
IF(VLOOKUP(tblHorasOut[Dia],tblDiaUtil[[Abreviatura]:[2º Período]],4,FALSE)&gt;0,VLOOKUP(tblHorasOut[Dia],tblDiaUtil[[Abreviatura]:[2º Período]],4,FALSE),JORNADA/2)),
        IF(AND(ISNUMBER(tblHorasOut[Saída - 2]),ISNUMBER(tblHorasOut[Entrada - 2 (Almoço)])),
              IF(OR(AND(tblHorasOut[Evento 
(2º Período)]&lt;&gt;"",IF(ISERROR(VLOOKUP(tblHorasOut[Evento 
(2º Período)],tblEvento[],Tabelas!$E$1,FALSE)),FALSE,VLOOKUP(tblHorasOut[Evento 
(2º Período)],tblEvento[],Tabelas!$E$1,FALSE)="Sim")),IF(VLOOKUP(TEXT(tblHorasOut[Data],"dddd"),tblDiaUtil[],2,FALSE)="Não",TRUE,FALSE)),
                   tblHorasOut[Saída - 2]-tblHorasOut[Entrada - 2 (Almoço)],
                   IF(OR(HOUR(tblHorasOut[Saída - 2]-tblHorasOut[Entrada - 2 (Almoço)])&gt;0,MINUTE(tblHorasOut[Saída - 2]-tblHorasOut[Entrada - 2 (Almoço)])&gt;CARENCIA),
                         tblHorasOut[Saída - 2]-tblHorasOut[Entrada - 2 (Almoço)],
                         0)),
       0)),0)</f>
        <v>0</v>
      </c>
      <c r="L23" s="4">
        <f>tblHorasOut[Horas Trabalhadas (1º Período)]+tblHorasOut[Horas Trabalhadas (2º Período)]</f>
        <v>0</v>
      </c>
      <c r="M23" s="4" t="str">
        <f>IF(tblHorasOut[Data]&lt;&gt;"",
        IF(
AND(VLOOKUP(TEXT(tblHorasOut[Data],"dddd"),tblDiaUtil[],3,FALSE)="Sim",IF(tblHorasOut[Evento 
(1º Período)]&lt;&gt;"",IF(VLOOKUP(tblHorasOut[Evento 
(1º Período)],tblEvento[],Tabelas!$E$1,FALSE)="Sim",FALSE,TRUE),TRUE),IF(tblHorasOut[Evento 
(2º Período)]&lt;&gt;"",IF(VLOOKUP(tblHorasOut[Evento 
(2º Período)],tblEvento[],Tabelas!$E$1,FALSE)="Sim",FALSE,TRUE),TRUE)),
              IF(VLOOKUP(tblHorasOut[Dia],tblDiaUtil[[Abreviatura]:[1º Período]],3,FALSE)&gt;0,VLOOKUP(tblHorasOut[Dia],tblDiaUtil[[Abreviatura]:[1º Período]],3,FALSE),JORNADA),
              ""),
         "")</f>
        <v/>
      </c>
      <c r="N23" s="14">
        <f>IF(OR(tblHorasOut[Horas Trabalhadas (1º Período)]&lt;&gt;0,tblHorasOut[Horas Trabalhadas (2º Período)]&lt;&gt;0),
        IF(ISNUMBER(tblHorasOut[Jornada Diária]),
              IF(tblHorasOut[Jornada Diária]&gt;(tblHorasOut[Horas Trabalhadas (2º Período)]+tblHorasOut[Horas Trabalhadas (1º Período)]),
                     IF(ROUND((tblHorasOut[Jornada Diária]-(tblHorasOut[Horas Trabalhadas (2º Período)]+tblHorasOut[Horas Trabalhadas (1º Período)])),6)&gt;ROUND(CARENCIA,6),
                           -tblHorasOut[Jornada Diária]+(tblHorasOut[Horas Trabalhadas (2º Período)]+tblHorasOut[Horas Trabalhadas (1º Período)]),
                           0),
                      IF(ROUND((tblHorasOut[Jornada Diária]-(tblHorasOut[Horas Trabalhadas (2º Período)]+tblHorasOut[Horas Trabalhadas (1º Período)])),6)&lt;ROUND(-CARENCIA,6),
                           -tblHorasOut[Jornada Diária]+(tblHorasOut[Horas Trabalhadas (2º Período)]+tblHorasOut[Horas Trabalhadas (1º Período)]),
                           0)),
              tblHorasOut[Horas Trabalhadas (2º Período)]+tblHorasOut[Horas Trabalhadas (1º Período)]),
         IF(AND(IF(ISERROR(VLOOKUP(tblHorasOut[Evento 
(1º Período)],tblEvento[[Evento]:[Libera o Período]],4,FALSE)),FALSE,IF(VLOOKUP(tblHorasOut[Evento 
(1º Período)],tblEvento[[Evento]:[Libera o Período]],4,FALSE)="Não",TRUE,FALSE)),IF(ISERROR(VLOOKUP(tblHorasOut[Evento 
(2º Período)],tblEvento[[Evento]:[Libera o Período]],4,FALSE)),FALSE,IF(VLOOKUP(tblHorasOut[Evento 
(2º Período)],tblEvento[[Evento]:[Libera o Período]],4,FALSE)="Não",TRUE,FALSE))),
-IF(VLOOKUP(tblHorasOut[Dia],tblDiaUtil[[Abreviatura]:[Total Jornada]],5,FALSE)&lt;&gt;"",VLOOKUP(tblHorasOut[Dia],tblDiaUtil[[Abreviatura]:[Total Jornada]],5,FALSE),JORNADA),
IF(IF(ISERROR(VLOOKUP(tblHorasOut[Evento 
(1º Período)],tblEvento[[Evento]:[Libera o Período]],4,FALSE)),FALSE,
IF(VLOOKUP(tblHorasOut[Evento 
(1º Período)],tblEvento[[Evento]:[Libera o Período]],4,FALSE)="Não",TRUE,FALSE)
),
-IF(VLOOKUP(tblHorasOut[Dia],tblDiaUtil[[Abreviatura]:[1º Período]],3,FALSE)&lt;&gt;"",VLOOKUP(tblHorasOut[Dia],tblDiaUtil[[Abreviatura]:[1º Período]],3,FALSE),JORNADA_PERIODO_1),
IF(IF(ISERROR(VLOOKUP(tblHorasOut[Evento 
(2º Período)],tblEvento[[Evento]:[Libera o Período]],4,FALSE)),FALSE,IF(VLOOKUP(tblHorasOut[Evento 
(2º Período)],tblEvento[[Evento]:[Libera o Período]],4,FALSE)="Não",TRUE,FALSE)),
-IF(VLOOKUP(tblHorasOut[Dia],tblDiaUtil[[Abreviatura]:[2º Período]],4,FALSE)&lt;&gt;"",VLOOKUP(tblHorasOut[Dia],tblDiaUtil[[Abreviatura]:[2º Período]],4,FALSE),JORNADA_PERIODO_2),0))))</f>
        <v>0</v>
      </c>
      <c r="O23" s="14">
        <f>IF(tblHorasOut[Horas Trabalhadas Além Jornada]&gt;0,
        IF(ISNUMBER(tblHorasOut[Jornada Diária]),
              IF(HOUR(tblHorasOut[Horas Trabalhadas Além Jornada])&gt;=VLOOKUP(LIMITE,tblLimiteHora[],Tabelas!$I$1,FALSE),
                    VLOOKUP(LIMITE,tblLimiteHora[],Tabelas!$J$1,FALSE),
                    tblHorasOut[Horas Trabalhadas Além Jornada]),
              tblHorasOut[Horas Trabalhadas Além Jornada]),
        tblHorasOut[Horas Trabalhadas Além Jornada])+O22</f>
        <v>0</v>
      </c>
      <c r="P23" s="14" t="str">
        <f>IF(tblHorasOut[Horas Trabalhadas Além Jornada]&lt;0,IF(OR(tblHorasOut[Evento 
(1º Período)]="",tblHorasOut[Evento 
(2º Período)]=""),tblHorasOut[Horas Trabalhadas Além Jornada],""),"")</f>
        <v/>
      </c>
      <c r="Q23" s="14" t="str">
        <f>IF(tblHorasOut[Jornada Diária]&lt;&gt;"",IF((N(tblHorasOut[Jornada Diária])-ABS(N(tblHorasOut[Horas Trabalhadas Além Jornada])))=0,1,""),"")</f>
        <v/>
      </c>
      <c r="R23" s="14" t="str">
        <f>IF(tblHorasOut[Horas Trabalhadas Além Jornada]&gt;0,
IF(AND(VLOOKUP(TEXT(tblHorasOut[Data],"dddd"),tblDiaUtil[],3,FALSE)="Sim",IF(tblHorasOut[Evento 
(1º Período)]&lt;&gt;"",IF(VLOOKUP(tblHorasOut[Evento 
(1º Período)],tblEvento[],Tabelas!$E$1,FALSE)="Sim",FALSE,TRUE),TRUE),IF(tblHorasOut[Evento 
(2º Período)]&lt;&gt;"",IF(VLOOKUP(tblHorasOut[Evento 
(2º Período)],tblEvento[],Tabelas!$E$1,FALSE)="Sim",FALSE,TRUE),TRUE)),
tblHorasOut[Horas Trabalhadas Além Jornada],""),"")</f>
        <v/>
      </c>
      <c r="S23" s="14" t="str">
        <f>IF(tblHorasOut[Horas Trabalhadas Além Jornada]&gt;0,
IF(OR(VLOOKUP(TEXT(tblHorasOut[Data],"dddd"),tblDiaUtil[],3,FALSE)="Não",IF(tblHorasOut[Evento 
(1º Período)]&lt;&gt;"",IF(VLOOKUP(tblHorasOut[Evento 
(1º Período)],tblEvento[],Tabelas!$E$1,FALSE)="Sim",TRUE,FALSE),FALSE),IF(tblHorasOut[Evento 
(2º Período)]&lt;&gt;"",IF(VLOOKUP(tblHorasOut[Evento 
(2º Período)],tblEvento[],Tabelas!$E$1,FALSE)="Sim",TRUE,FALSE),FALSE)),
tblHorasOut[Horas Trabalhadas Além Jornada],""),"")</f>
        <v/>
      </c>
      <c r="T23" s="15" t="str">
        <f>IF(tblHorasOut[Evento 
(1º Período)]&lt;&gt;""," - " &amp;VLOOKUP(tblHorasOut[Evento 
(1º Período)],tblEvento[],Tabelas!$F$1,FALSE),"")&amp;IF(AND(tblHorasOut[Evento 
(2º Período)]&lt;&gt;"",tblHorasOut[Evento 
(2º Período)]&lt;&gt;tblHorasOut[Evento 
(1º Período)])," - " &amp; VLOOKUP(tblHorasOut[Evento 
(2º Período)],tblEvento[],Tabelas!$F$1,FALSE),"")</f>
        <v/>
      </c>
    </row>
    <row r="24" spans="2:20" x14ac:dyDescent="0.25">
      <c r="B24" s="11" t="str">
        <f t="shared" si="0"/>
        <v/>
      </c>
      <c r="C24" s="12" t="str">
        <f>TEXT(tblHorasOut[Data],"ddd")</f>
        <v/>
      </c>
      <c r="D24" s="25"/>
      <c r="E24" s="1"/>
      <c r="F24" s="1"/>
      <c r="G24" s="1"/>
      <c r="H24" s="1"/>
      <c r="I24" s="53"/>
      <c r="J24" s="4">
        <f>IF($B$6&lt;&gt;"",
IF(AND(tblHorasOut[Evento 
(1º Período)]&lt;&gt;"",IF(ISERROR(VLOOKUP(tblHorasOut[Evento 
(1º Período)],tblEvento[],Tabelas!$D$1,FALSE)),FALSE,VLOOKUP(tblHorasOut[Evento 
(1º Período)],tblEvento[],Tabelas!$D$1,FALSE)="Sim")),
        IF(JORNADA_PERIODO_1&lt;&gt;"",
IF(VLOOKUP(tblHorasOut[Dia],tblDiaUtil[[Abreviatura]:[1º Período]],3,FALSE)&gt;0,VLOOKUP(tblHorasOut[Dia],tblDiaUtil[[Abreviatura]:[1º Período]],3,FALSE),JORNADA_PERIODO_1),
IF(VLOOKUP(tblHorasOut[Dia],tblDiaUtil[[Abreviatura]:[1º Período]],3,FALSE)&gt;0,VLOOKUP(tblHorasOut[Dia],tblDiaUtil[[Abreviatura]:[1º Período]],3,FALSE),JORNADA/2)),
        IF(AND(ISNUMBER(tblHorasOut[Saída - 1 (Almoço)]),ISNUMBER(tblHorasOut[Entrada - 1])),
              IF(OR(AND(tblHorasOut[Evento 
(1º Período)]&lt;&gt;"",IF(ISERROR(VLOOKUP(tblHorasOut[Evento 
(1º Período)],tblEvento[],Tabelas!$E$1,FALSE)),FALSE,VLOOKUP(tblHorasOut[Evento 
(1º Período)],tblEvento[],Tabelas!$E$1,FALSE)="Sim")),IF(VLOOKUP(TEXT(tblHorasOut[Data],"dddd"),tblDiaUtil[],2,FALSE)="Não",TRUE,FALSE)),
                   tblHorasOut[Saída - 1 (Almoço)]-tblHorasOut[Entrada - 1],
                   IF(OR(HOUR(tblHorasOut[Saída - 1 (Almoço)]-tblHorasOut[Entrada - 1])&gt;0,ROUND(tblHorasOut[Saída - 1 (Almoço)]-tblHorasOut[Entrada - 1],6)&gt;ROUND(CARENCIA,6)),
                          tblHorasOut[Saída - 1 (Almoço)]-tblHorasOut[Entrada - 1],
                          0)),
                    0)),0)</f>
        <v>0</v>
      </c>
      <c r="K24" s="4">
        <f>IF($B$6&lt;&gt;"",
IF(AND(tblHorasOut[Evento 
(2º Período)]&lt;&gt;"",IF(ISERROR(VLOOKUP(tblHorasOut[Evento 
(2º Período)],tblEvento[],Tabelas!$D$1,FALSE)),FALSE,VLOOKUP(tblHorasOut[Evento 
(2º Período)],tblEvento[],Tabelas!$D$1,FALSE)="Sim")),
        IF(JORNADA_PERIODO_2&lt;&gt;"",
IF(VLOOKUP(tblHorasOut[Dia],tblDiaUtil[[Abreviatura]:[2º Período]],4,FALSE)&gt;0,VLOOKUP(tblHorasOut[Dia],tblDiaUtil[[Abreviatura]:[2º Período]],4,FALSE),JORNADA_PERIODO_2),
IF(VLOOKUP(tblHorasOut[Dia],tblDiaUtil[[Abreviatura]:[2º Período]],4,FALSE)&gt;0,VLOOKUP(tblHorasOut[Dia],tblDiaUtil[[Abreviatura]:[2º Período]],4,FALSE),JORNADA/2)),
        IF(AND(ISNUMBER(tblHorasOut[Saída - 2]),ISNUMBER(tblHorasOut[Entrada - 2 (Almoço)])),
              IF(OR(AND(tblHorasOut[Evento 
(2º Período)]&lt;&gt;"",IF(ISERROR(VLOOKUP(tblHorasOut[Evento 
(2º Período)],tblEvento[],Tabelas!$E$1,FALSE)),FALSE,VLOOKUP(tblHorasOut[Evento 
(2º Período)],tblEvento[],Tabelas!$E$1,FALSE)="Sim")),IF(VLOOKUP(TEXT(tblHorasOut[Data],"dddd"),tblDiaUtil[],2,FALSE)="Não",TRUE,FALSE)),
                   tblHorasOut[Saída - 2]-tblHorasOut[Entrada - 2 (Almoço)],
                   IF(OR(HOUR(tblHorasOut[Saída - 2]-tblHorasOut[Entrada - 2 (Almoço)])&gt;0,MINUTE(tblHorasOut[Saída - 2]-tblHorasOut[Entrada - 2 (Almoço)])&gt;CARENCIA),
                         tblHorasOut[Saída - 2]-tblHorasOut[Entrada - 2 (Almoço)],
                         0)),
       0)),0)</f>
        <v>0</v>
      </c>
      <c r="L24" s="4">
        <f>tblHorasOut[Horas Trabalhadas (1º Período)]+tblHorasOut[Horas Trabalhadas (2º Período)]</f>
        <v>0</v>
      </c>
      <c r="M24" s="4" t="str">
        <f>IF(tblHorasOut[Data]&lt;&gt;"",
        IF(
AND(VLOOKUP(TEXT(tblHorasOut[Data],"dddd"),tblDiaUtil[],3,FALSE)="Sim",IF(tblHorasOut[Evento 
(1º Período)]&lt;&gt;"",IF(VLOOKUP(tblHorasOut[Evento 
(1º Período)],tblEvento[],Tabelas!$E$1,FALSE)="Sim",FALSE,TRUE),TRUE),IF(tblHorasOut[Evento 
(2º Período)]&lt;&gt;"",IF(VLOOKUP(tblHorasOut[Evento 
(2º Período)],tblEvento[],Tabelas!$E$1,FALSE)="Sim",FALSE,TRUE),TRUE)),
              IF(VLOOKUP(tblHorasOut[Dia],tblDiaUtil[[Abreviatura]:[1º Período]],3,FALSE)&gt;0,VLOOKUP(tblHorasOut[Dia],tblDiaUtil[[Abreviatura]:[1º Período]],3,FALSE),JORNADA),
              ""),
         "")</f>
        <v/>
      </c>
      <c r="N24" s="14">
        <f>IF(OR(tblHorasOut[Horas Trabalhadas (1º Período)]&lt;&gt;0,tblHorasOut[Horas Trabalhadas (2º Período)]&lt;&gt;0),
        IF(ISNUMBER(tblHorasOut[Jornada Diária]),
              IF(tblHorasOut[Jornada Diária]&gt;(tblHorasOut[Horas Trabalhadas (2º Período)]+tblHorasOut[Horas Trabalhadas (1º Período)]),
                     IF(ROUND((tblHorasOut[Jornada Diária]-(tblHorasOut[Horas Trabalhadas (2º Período)]+tblHorasOut[Horas Trabalhadas (1º Período)])),6)&gt;ROUND(CARENCIA,6),
                           -tblHorasOut[Jornada Diária]+(tblHorasOut[Horas Trabalhadas (2º Período)]+tblHorasOut[Horas Trabalhadas (1º Período)]),
                           0),
                      IF(ROUND((tblHorasOut[Jornada Diária]-(tblHorasOut[Horas Trabalhadas (2º Período)]+tblHorasOut[Horas Trabalhadas (1º Período)])),6)&lt;ROUND(-CARENCIA,6),
                           -tblHorasOut[Jornada Diária]+(tblHorasOut[Horas Trabalhadas (2º Período)]+tblHorasOut[Horas Trabalhadas (1º Período)]),
                           0)),
              tblHorasOut[Horas Trabalhadas (2º Período)]+tblHorasOut[Horas Trabalhadas (1º Período)]),
         IF(AND(IF(ISERROR(VLOOKUP(tblHorasOut[Evento 
(1º Período)],tblEvento[[Evento]:[Libera o Período]],4,FALSE)),FALSE,IF(VLOOKUP(tblHorasOut[Evento 
(1º Período)],tblEvento[[Evento]:[Libera o Período]],4,FALSE)="Não",TRUE,FALSE)),IF(ISERROR(VLOOKUP(tblHorasOut[Evento 
(2º Período)],tblEvento[[Evento]:[Libera o Período]],4,FALSE)),FALSE,IF(VLOOKUP(tblHorasOut[Evento 
(2º Período)],tblEvento[[Evento]:[Libera o Período]],4,FALSE)="Não",TRUE,FALSE))),
-IF(VLOOKUP(tblHorasOut[Dia],tblDiaUtil[[Abreviatura]:[Total Jornada]],5,FALSE)&lt;&gt;"",VLOOKUP(tblHorasOut[Dia],tblDiaUtil[[Abreviatura]:[Total Jornada]],5,FALSE),JORNADA),
IF(IF(ISERROR(VLOOKUP(tblHorasOut[Evento 
(1º Período)],tblEvento[[Evento]:[Libera o Período]],4,FALSE)),FALSE,
IF(VLOOKUP(tblHorasOut[Evento 
(1º Período)],tblEvento[[Evento]:[Libera o Período]],4,FALSE)="Não",TRUE,FALSE)
),
-IF(VLOOKUP(tblHorasOut[Dia],tblDiaUtil[[Abreviatura]:[1º Período]],3,FALSE)&lt;&gt;"",VLOOKUP(tblHorasOut[Dia],tblDiaUtil[[Abreviatura]:[1º Período]],3,FALSE),JORNADA_PERIODO_1),
IF(IF(ISERROR(VLOOKUP(tblHorasOut[Evento 
(2º Período)],tblEvento[[Evento]:[Libera o Período]],4,FALSE)),FALSE,IF(VLOOKUP(tblHorasOut[Evento 
(2º Período)],tblEvento[[Evento]:[Libera o Período]],4,FALSE)="Não",TRUE,FALSE)),
-IF(VLOOKUP(tblHorasOut[Dia],tblDiaUtil[[Abreviatura]:[2º Período]],4,FALSE)&lt;&gt;"",VLOOKUP(tblHorasOut[Dia],tblDiaUtil[[Abreviatura]:[2º Período]],4,FALSE),JORNADA_PERIODO_2),0))))</f>
        <v>0</v>
      </c>
      <c r="O24" s="14">
        <f>IF(tblHorasOut[Horas Trabalhadas Além Jornada]&gt;0,
        IF(ISNUMBER(tblHorasOut[Jornada Diária]),
              IF(HOUR(tblHorasOut[Horas Trabalhadas Além Jornada])&gt;=VLOOKUP(LIMITE,tblLimiteHora[],Tabelas!$I$1,FALSE),
                    VLOOKUP(LIMITE,tblLimiteHora[],Tabelas!$J$1,FALSE),
                    tblHorasOut[Horas Trabalhadas Além Jornada]),
              tblHorasOut[Horas Trabalhadas Além Jornada]),
        tblHorasOut[Horas Trabalhadas Além Jornada])+O23</f>
        <v>0</v>
      </c>
      <c r="P24" s="14" t="str">
        <f>IF(tblHorasOut[Horas Trabalhadas Além Jornada]&lt;0,IF(OR(tblHorasOut[Evento 
(1º Período)]="",tblHorasOut[Evento 
(2º Período)]=""),tblHorasOut[Horas Trabalhadas Além Jornada],""),"")</f>
        <v/>
      </c>
      <c r="Q24" s="14" t="str">
        <f>IF(tblHorasOut[Jornada Diária]&lt;&gt;"",IF((N(tblHorasOut[Jornada Diária])-ABS(N(tblHorasOut[Horas Trabalhadas Além Jornada])))=0,1,""),"")</f>
        <v/>
      </c>
      <c r="R24" s="14" t="str">
        <f>IF(tblHorasOut[Horas Trabalhadas Além Jornada]&gt;0,
IF(AND(VLOOKUP(TEXT(tblHorasOut[Data],"dddd"),tblDiaUtil[],3,FALSE)="Sim",IF(tblHorasOut[Evento 
(1º Período)]&lt;&gt;"",IF(VLOOKUP(tblHorasOut[Evento 
(1º Período)],tblEvento[],Tabelas!$E$1,FALSE)="Sim",FALSE,TRUE),TRUE),IF(tblHorasOut[Evento 
(2º Período)]&lt;&gt;"",IF(VLOOKUP(tblHorasOut[Evento 
(2º Período)],tblEvento[],Tabelas!$E$1,FALSE)="Sim",FALSE,TRUE),TRUE)),
tblHorasOut[Horas Trabalhadas Além Jornada],""),"")</f>
        <v/>
      </c>
      <c r="S24" s="14" t="str">
        <f>IF(tblHorasOut[Horas Trabalhadas Além Jornada]&gt;0,
IF(OR(VLOOKUP(TEXT(tblHorasOut[Data],"dddd"),tblDiaUtil[],3,FALSE)="Não",IF(tblHorasOut[Evento 
(1º Período)]&lt;&gt;"",IF(VLOOKUP(tblHorasOut[Evento 
(1º Período)],tblEvento[],Tabelas!$E$1,FALSE)="Sim",TRUE,FALSE),FALSE),IF(tblHorasOut[Evento 
(2º Período)]&lt;&gt;"",IF(VLOOKUP(tblHorasOut[Evento 
(2º Período)],tblEvento[],Tabelas!$E$1,FALSE)="Sim",TRUE,FALSE),FALSE)),
tblHorasOut[Horas Trabalhadas Além Jornada],""),"")</f>
        <v/>
      </c>
      <c r="T24" s="15" t="str">
        <f>IF(tblHorasOut[Evento 
(1º Período)]&lt;&gt;""," - " &amp;VLOOKUP(tblHorasOut[Evento 
(1º Período)],tblEvento[],Tabelas!$F$1,FALSE),"")&amp;IF(AND(tblHorasOut[Evento 
(2º Período)]&lt;&gt;"",tblHorasOut[Evento 
(2º Período)]&lt;&gt;tblHorasOut[Evento 
(1º Período)])," - " &amp; VLOOKUP(tblHorasOut[Evento 
(2º Período)],tblEvento[],Tabelas!$F$1,FALSE),"")</f>
        <v/>
      </c>
    </row>
    <row r="25" spans="2:20" x14ac:dyDescent="0.25">
      <c r="B25" s="11" t="str">
        <f t="shared" si="0"/>
        <v/>
      </c>
      <c r="C25" s="12" t="str">
        <f>TEXT(tblHorasOut[Data],"ddd")</f>
        <v/>
      </c>
      <c r="D25" s="25"/>
      <c r="E25" s="1"/>
      <c r="F25" s="1"/>
      <c r="G25" s="1"/>
      <c r="H25" s="1"/>
      <c r="I25" s="53"/>
      <c r="J25" s="4">
        <f>IF($B$6&lt;&gt;"",
IF(AND(tblHorasOut[Evento 
(1º Período)]&lt;&gt;"",IF(ISERROR(VLOOKUP(tblHorasOut[Evento 
(1º Período)],tblEvento[],Tabelas!$D$1,FALSE)),FALSE,VLOOKUP(tblHorasOut[Evento 
(1º Período)],tblEvento[],Tabelas!$D$1,FALSE)="Sim")),
        IF(JORNADA_PERIODO_1&lt;&gt;"",
IF(VLOOKUP(tblHorasOut[Dia],tblDiaUtil[[Abreviatura]:[1º Período]],3,FALSE)&gt;0,VLOOKUP(tblHorasOut[Dia],tblDiaUtil[[Abreviatura]:[1º Período]],3,FALSE),JORNADA_PERIODO_1),
IF(VLOOKUP(tblHorasOut[Dia],tblDiaUtil[[Abreviatura]:[1º Período]],3,FALSE)&gt;0,VLOOKUP(tblHorasOut[Dia],tblDiaUtil[[Abreviatura]:[1º Período]],3,FALSE),JORNADA/2)),
        IF(AND(ISNUMBER(tblHorasOut[Saída - 1 (Almoço)]),ISNUMBER(tblHorasOut[Entrada - 1])),
              IF(OR(AND(tblHorasOut[Evento 
(1º Período)]&lt;&gt;"",IF(ISERROR(VLOOKUP(tblHorasOut[Evento 
(1º Período)],tblEvento[],Tabelas!$E$1,FALSE)),FALSE,VLOOKUP(tblHorasOut[Evento 
(1º Período)],tblEvento[],Tabelas!$E$1,FALSE)="Sim")),IF(VLOOKUP(TEXT(tblHorasOut[Data],"dddd"),tblDiaUtil[],2,FALSE)="Não",TRUE,FALSE)),
                   tblHorasOut[Saída - 1 (Almoço)]-tblHorasOut[Entrada - 1],
                   IF(OR(HOUR(tblHorasOut[Saída - 1 (Almoço)]-tblHorasOut[Entrada - 1])&gt;0,ROUND(tblHorasOut[Saída - 1 (Almoço)]-tblHorasOut[Entrada - 1],6)&gt;ROUND(CARENCIA,6)),
                          tblHorasOut[Saída - 1 (Almoço)]-tblHorasOut[Entrada - 1],
                          0)),
                    0)),0)</f>
        <v>0</v>
      </c>
      <c r="K25" s="4">
        <f>IF($B$6&lt;&gt;"",
IF(AND(tblHorasOut[Evento 
(2º Período)]&lt;&gt;"",IF(ISERROR(VLOOKUP(tblHorasOut[Evento 
(2º Período)],tblEvento[],Tabelas!$D$1,FALSE)),FALSE,VLOOKUP(tblHorasOut[Evento 
(2º Período)],tblEvento[],Tabelas!$D$1,FALSE)="Sim")),
        IF(JORNADA_PERIODO_2&lt;&gt;"",
IF(VLOOKUP(tblHorasOut[Dia],tblDiaUtil[[Abreviatura]:[2º Período]],4,FALSE)&gt;0,VLOOKUP(tblHorasOut[Dia],tblDiaUtil[[Abreviatura]:[2º Período]],4,FALSE),JORNADA_PERIODO_2),
IF(VLOOKUP(tblHorasOut[Dia],tblDiaUtil[[Abreviatura]:[2º Período]],4,FALSE)&gt;0,VLOOKUP(tblHorasOut[Dia],tblDiaUtil[[Abreviatura]:[2º Período]],4,FALSE),JORNADA/2)),
        IF(AND(ISNUMBER(tblHorasOut[Saída - 2]),ISNUMBER(tblHorasOut[Entrada - 2 (Almoço)])),
              IF(OR(AND(tblHorasOut[Evento 
(2º Período)]&lt;&gt;"",IF(ISERROR(VLOOKUP(tblHorasOut[Evento 
(2º Período)],tblEvento[],Tabelas!$E$1,FALSE)),FALSE,VLOOKUP(tblHorasOut[Evento 
(2º Período)],tblEvento[],Tabelas!$E$1,FALSE)="Sim")),IF(VLOOKUP(TEXT(tblHorasOut[Data],"dddd"),tblDiaUtil[],2,FALSE)="Não",TRUE,FALSE)),
                   tblHorasOut[Saída - 2]-tblHorasOut[Entrada - 2 (Almoço)],
                   IF(OR(HOUR(tblHorasOut[Saída - 2]-tblHorasOut[Entrada - 2 (Almoço)])&gt;0,MINUTE(tblHorasOut[Saída - 2]-tblHorasOut[Entrada - 2 (Almoço)])&gt;CARENCIA),
                         tblHorasOut[Saída - 2]-tblHorasOut[Entrada - 2 (Almoço)],
                         0)),
       0)),0)</f>
        <v>0</v>
      </c>
      <c r="L25" s="4">
        <f>tblHorasOut[Horas Trabalhadas (1º Período)]+tblHorasOut[Horas Trabalhadas (2º Período)]</f>
        <v>0</v>
      </c>
      <c r="M25" s="4" t="str">
        <f>IF(tblHorasOut[Data]&lt;&gt;"",
        IF(
AND(VLOOKUP(TEXT(tblHorasOut[Data],"dddd"),tblDiaUtil[],3,FALSE)="Sim",IF(tblHorasOut[Evento 
(1º Período)]&lt;&gt;"",IF(VLOOKUP(tblHorasOut[Evento 
(1º Período)],tblEvento[],Tabelas!$E$1,FALSE)="Sim",FALSE,TRUE),TRUE),IF(tblHorasOut[Evento 
(2º Período)]&lt;&gt;"",IF(VLOOKUP(tblHorasOut[Evento 
(2º Período)],tblEvento[],Tabelas!$E$1,FALSE)="Sim",FALSE,TRUE),TRUE)),
              IF(VLOOKUP(tblHorasOut[Dia],tblDiaUtil[[Abreviatura]:[1º Período]],3,FALSE)&gt;0,VLOOKUP(tblHorasOut[Dia],tblDiaUtil[[Abreviatura]:[1º Período]],3,FALSE),JORNADA),
              ""),
         "")</f>
        <v/>
      </c>
      <c r="N25" s="14">
        <f>IF(OR(tblHorasOut[Horas Trabalhadas (1º Período)]&lt;&gt;0,tblHorasOut[Horas Trabalhadas (2º Período)]&lt;&gt;0),
        IF(ISNUMBER(tblHorasOut[Jornada Diária]),
              IF(tblHorasOut[Jornada Diária]&gt;(tblHorasOut[Horas Trabalhadas (2º Período)]+tblHorasOut[Horas Trabalhadas (1º Período)]),
                     IF(ROUND((tblHorasOut[Jornada Diária]-(tblHorasOut[Horas Trabalhadas (2º Período)]+tblHorasOut[Horas Trabalhadas (1º Período)])),6)&gt;ROUND(CARENCIA,6),
                           -tblHorasOut[Jornada Diária]+(tblHorasOut[Horas Trabalhadas (2º Período)]+tblHorasOut[Horas Trabalhadas (1º Período)]),
                           0),
                      IF(ROUND((tblHorasOut[Jornada Diária]-(tblHorasOut[Horas Trabalhadas (2º Período)]+tblHorasOut[Horas Trabalhadas (1º Período)])),6)&lt;ROUND(-CARENCIA,6),
                           -tblHorasOut[Jornada Diária]+(tblHorasOut[Horas Trabalhadas (2º Período)]+tblHorasOut[Horas Trabalhadas (1º Período)]),
                           0)),
              tblHorasOut[Horas Trabalhadas (2º Período)]+tblHorasOut[Horas Trabalhadas (1º Período)]),
         IF(AND(IF(ISERROR(VLOOKUP(tblHorasOut[Evento 
(1º Período)],tblEvento[[Evento]:[Libera o Período]],4,FALSE)),FALSE,IF(VLOOKUP(tblHorasOut[Evento 
(1º Período)],tblEvento[[Evento]:[Libera o Período]],4,FALSE)="Não",TRUE,FALSE)),IF(ISERROR(VLOOKUP(tblHorasOut[Evento 
(2º Período)],tblEvento[[Evento]:[Libera o Período]],4,FALSE)),FALSE,IF(VLOOKUP(tblHorasOut[Evento 
(2º Período)],tblEvento[[Evento]:[Libera o Período]],4,FALSE)="Não",TRUE,FALSE))),
-IF(VLOOKUP(tblHorasOut[Dia],tblDiaUtil[[Abreviatura]:[Total Jornada]],5,FALSE)&lt;&gt;"",VLOOKUP(tblHorasOut[Dia],tblDiaUtil[[Abreviatura]:[Total Jornada]],5,FALSE),JORNADA),
IF(IF(ISERROR(VLOOKUP(tblHorasOut[Evento 
(1º Período)],tblEvento[[Evento]:[Libera o Período]],4,FALSE)),FALSE,
IF(VLOOKUP(tblHorasOut[Evento 
(1º Período)],tblEvento[[Evento]:[Libera o Período]],4,FALSE)="Não",TRUE,FALSE)
),
-IF(VLOOKUP(tblHorasOut[Dia],tblDiaUtil[[Abreviatura]:[1º Período]],3,FALSE)&lt;&gt;"",VLOOKUP(tblHorasOut[Dia],tblDiaUtil[[Abreviatura]:[1º Período]],3,FALSE),JORNADA_PERIODO_1),
IF(IF(ISERROR(VLOOKUP(tblHorasOut[Evento 
(2º Período)],tblEvento[[Evento]:[Libera o Período]],4,FALSE)),FALSE,IF(VLOOKUP(tblHorasOut[Evento 
(2º Período)],tblEvento[[Evento]:[Libera o Período]],4,FALSE)="Não",TRUE,FALSE)),
-IF(VLOOKUP(tblHorasOut[Dia],tblDiaUtil[[Abreviatura]:[2º Período]],4,FALSE)&lt;&gt;"",VLOOKUP(tblHorasOut[Dia],tblDiaUtil[[Abreviatura]:[2º Período]],4,FALSE),JORNADA_PERIODO_2),0))))</f>
        <v>0</v>
      </c>
      <c r="O25" s="14">
        <f>IF(tblHorasOut[Horas Trabalhadas Além Jornada]&gt;0,
        IF(ISNUMBER(tblHorasOut[Jornada Diária]),
              IF(HOUR(tblHorasOut[Horas Trabalhadas Além Jornada])&gt;=VLOOKUP(LIMITE,tblLimiteHora[],Tabelas!$I$1,FALSE),
                    VLOOKUP(LIMITE,tblLimiteHora[],Tabelas!$J$1,FALSE),
                    tblHorasOut[Horas Trabalhadas Além Jornada]),
              tblHorasOut[Horas Trabalhadas Além Jornada]),
        tblHorasOut[Horas Trabalhadas Além Jornada])+O24</f>
        <v>0</v>
      </c>
      <c r="P25" s="14" t="str">
        <f>IF(tblHorasOut[Horas Trabalhadas Além Jornada]&lt;0,IF(OR(tblHorasOut[Evento 
(1º Período)]="",tblHorasOut[Evento 
(2º Período)]=""),tblHorasOut[Horas Trabalhadas Além Jornada],""),"")</f>
        <v/>
      </c>
      <c r="Q25" s="14" t="str">
        <f>IF(tblHorasOut[Jornada Diária]&lt;&gt;"",IF((N(tblHorasOut[Jornada Diária])-ABS(N(tblHorasOut[Horas Trabalhadas Além Jornada])))=0,1,""),"")</f>
        <v/>
      </c>
      <c r="R25" s="14" t="str">
        <f>IF(tblHorasOut[Horas Trabalhadas Além Jornada]&gt;0,
IF(AND(VLOOKUP(TEXT(tblHorasOut[Data],"dddd"),tblDiaUtil[],3,FALSE)="Sim",IF(tblHorasOut[Evento 
(1º Período)]&lt;&gt;"",IF(VLOOKUP(tblHorasOut[Evento 
(1º Período)],tblEvento[],Tabelas!$E$1,FALSE)="Sim",FALSE,TRUE),TRUE),IF(tblHorasOut[Evento 
(2º Período)]&lt;&gt;"",IF(VLOOKUP(tblHorasOut[Evento 
(2º Período)],tblEvento[],Tabelas!$E$1,FALSE)="Sim",FALSE,TRUE),TRUE)),
tblHorasOut[Horas Trabalhadas Além Jornada],""),"")</f>
        <v/>
      </c>
      <c r="S25" s="14" t="str">
        <f>IF(tblHorasOut[Horas Trabalhadas Além Jornada]&gt;0,
IF(OR(VLOOKUP(TEXT(tblHorasOut[Data],"dddd"),tblDiaUtil[],3,FALSE)="Não",IF(tblHorasOut[Evento 
(1º Período)]&lt;&gt;"",IF(VLOOKUP(tblHorasOut[Evento 
(1º Período)],tblEvento[],Tabelas!$E$1,FALSE)="Sim",TRUE,FALSE),FALSE),IF(tblHorasOut[Evento 
(2º Período)]&lt;&gt;"",IF(VLOOKUP(tblHorasOut[Evento 
(2º Período)],tblEvento[],Tabelas!$E$1,FALSE)="Sim",TRUE,FALSE),FALSE)),
tblHorasOut[Horas Trabalhadas Além Jornada],""),"")</f>
        <v/>
      </c>
      <c r="T25" s="15" t="str">
        <f>IF(tblHorasOut[Evento 
(1º Período)]&lt;&gt;""," - " &amp;VLOOKUP(tblHorasOut[Evento 
(1º Período)],tblEvento[],Tabelas!$F$1,FALSE),"")&amp;IF(AND(tblHorasOut[Evento 
(2º Período)]&lt;&gt;"",tblHorasOut[Evento 
(2º Período)]&lt;&gt;tblHorasOut[Evento 
(1º Período)])," - " &amp; VLOOKUP(tblHorasOut[Evento 
(2º Período)],tblEvento[],Tabelas!$F$1,FALSE),"")</f>
        <v/>
      </c>
    </row>
    <row r="26" spans="2:20" x14ac:dyDescent="0.25">
      <c r="B26" s="11" t="str">
        <f t="shared" si="0"/>
        <v/>
      </c>
      <c r="C26" s="12" t="str">
        <f>TEXT(tblHorasOut[Data],"ddd")</f>
        <v/>
      </c>
      <c r="D26" s="25"/>
      <c r="E26" s="1"/>
      <c r="F26" s="1"/>
      <c r="G26" s="1"/>
      <c r="H26" s="1"/>
      <c r="I26" s="53"/>
      <c r="J26" s="4">
        <f>IF($B$6&lt;&gt;"",
IF(AND(tblHorasOut[Evento 
(1º Período)]&lt;&gt;"",IF(ISERROR(VLOOKUP(tblHorasOut[Evento 
(1º Período)],tblEvento[],Tabelas!$D$1,FALSE)),FALSE,VLOOKUP(tblHorasOut[Evento 
(1º Período)],tblEvento[],Tabelas!$D$1,FALSE)="Sim")),
        IF(JORNADA_PERIODO_1&lt;&gt;"",
IF(VLOOKUP(tblHorasOut[Dia],tblDiaUtil[[Abreviatura]:[1º Período]],3,FALSE)&gt;0,VLOOKUP(tblHorasOut[Dia],tblDiaUtil[[Abreviatura]:[1º Período]],3,FALSE),JORNADA_PERIODO_1),
IF(VLOOKUP(tblHorasOut[Dia],tblDiaUtil[[Abreviatura]:[1º Período]],3,FALSE)&gt;0,VLOOKUP(tblHorasOut[Dia],tblDiaUtil[[Abreviatura]:[1º Período]],3,FALSE),JORNADA/2)),
        IF(AND(ISNUMBER(tblHorasOut[Saída - 1 (Almoço)]),ISNUMBER(tblHorasOut[Entrada - 1])),
              IF(OR(AND(tblHorasOut[Evento 
(1º Período)]&lt;&gt;"",IF(ISERROR(VLOOKUP(tblHorasOut[Evento 
(1º Período)],tblEvento[],Tabelas!$E$1,FALSE)),FALSE,VLOOKUP(tblHorasOut[Evento 
(1º Período)],tblEvento[],Tabelas!$E$1,FALSE)="Sim")),IF(VLOOKUP(TEXT(tblHorasOut[Data],"dddd"),tblDiaUtil[],2,FALSE)="Não",TRUE,FALSE)),
                   tblHorasOut[Saída - 1 (Almoço)]-tblHorasOut[Entrada - 1],
                   IF(OR(HOUR(tblHorasOut[Saída - 1 (Almoço)]-tblHorasOut[Entrada - 1])&gt;0,ROUND(tblHorasOut[Saída - 1 (Almoço)]-tblHorasOut[Entrada - 1],6)&gt;ROUND(CARENCIA,6)),
                          tblHorasOut[Saída - 1 (Almoço)]-tblHorasOut[Entrada - 1],
                          0)),
                    0)),0)</f>
        <v>0</v>
      </c>
      <c r="K26" s="4">
        <f>IF($B$6&lt;&gt;"",
IF(AND(tblHorasOut[Evento 
(2º Período)]&lt;&gt;"",IF(ISERROR(VLOOKUP(tblHorasOut[Evento 
(2º Período)],tblEvento[],Tabelas!$D$1,FALSE)),FALSE,VLOOKUP(tblHorasOut[Evento 
(2º Período)],tblEvento[],Tabelas!$D$1,FALSE)="Sim")),
        IF(JORNADA_PERIODO_2&lt;&gt;"",
IF(VLOOKUP(tblHorasOut[Dia],tblDiaUtil[[Abreviatura]:[2º Período]],4,FALSE)&gt;0,VLOOKUP(tblHorasOut[Dia],tblDiaUtil[[Abreviatura]:[2º Período]],4,FALSE),JORNADA_PERIODO_2),
IF(VLOOKUP(tblHorasOut[Dia],tblDiaUtil[[Abreviatura]:[2º Período]],4,FALSE)&gt;0,VLOOKUP(tblHorasOut[Dia],tblDiaUtil[[Abreviatura]:[2º Período]],4,FALSE),JORNADA/2)),
        IF(AND(ISNUMBER(tblHorasOut[Saída - 2]),ISNUMBER(tblHorasOut[Entrada - 2 (Almoço)])),
              IF(OR(AND(tblHorasOut[Evento 
(2º Período)]&lt;&gt;"",IF(ISERROR(VLOOKUP(tblHorasOut[Evento 
(2º Período)],tblEvento[],Tabelas!$E$1,FALSE)),FALSE,VLOOKUP(tblHorasOut[Evento 
(2º Período)],tblEvento[],Tabelas!$E$1,FALSE)="Sim")),IF(VLOOKUP(TEXT(tblHorasOut[Data],"dddd"),tblDiaUtil[],2,FALSE)="Não",TRUE,FALSE)),
                   tblHorasOut[Saída - 2]-tblHorasOut[Entrada - 2 (Almoço)],
                   IF(OR(HOUR(tblHorasOut[Saída - 2]-tblHorasOut[Entrada - 2 (Almoço)])&gt;0,MINUTE(tblHorasOut[Saída - 2]-tblHorasOut[Entrada - 2 (Almoço)])&gt;CARENCIA),
                         tblHorasOut[Saída - 2]-tblHorasOut[Entrada - 2 (Almoço)],
                         0)),
       0)),0)</f>
        <v>0</v>
      </c>
      <c r="L26" s="4">
        <f>tblHorasOut[Horas Trabalhadas (1º Período)]+tblHorasOut[Horas Trabalhadas (2º Período)]</f>
        <v>0</v>
      </c>
      <c r="M26" s="4" t="str">
        <f>IF(tblHorasOut[Data]&lt;&gt;"",
        IF(
AND(VLOOKUP(TEXT(tblHorasOut[Data],"dddd"),tblDiaUtil[],3,FALSE)="Sim",IF(tblHorasOut[Evento 
(1º Período)]&lt;&gt;"",IF(VLOOKUP(tblHorasOut[Evento 
(1º Período)],tblEvento[],Tabelas!$E$1,FALSE)="Sim",FALSE,TRUE),TRUE),IF(tblHorasOut[Evento 
(2º Período)]&lt;&gt;"",IF(VLOOKUP(tblHorasOut[Evento 
(2º Período)],tblEvento[],Tabelas!$E$1,FALSE)="Sim",FALSE,TRUE),TRUE)),
              IF(VLOOKUP(tblHorasOut[Dia],tblDiaUtil[[Abreviatura]:[1º Período]],3,FALSE)&gt;0,VLOOKUP(tblHorasOut[Dia],tblDiaUtil[[Abreviatura]:[1º Período]],3,FALSE),JORNADA),
              ""),
         "")</f>
        <v/>
      </c>
      <c r="N26" s="14">
        <f>IF(OR(tblHorasOut[Horas Trabalhadas (1º Período)]&lt;&gt;0,tblHorasOut[Horas Trabalhadas (2º Período)]&lt;&gt;0),
        IF(ISNUMBER(tblHorasOut[Jornada Diária]),
              IF(tblHorasOut[Jornada Diária]&gt;(tblHorasOut[Horas Trabalhadas (2º Período)]+tblHorasOut[Horas Trabalhadas (1º Período)]),
                     IF(ROUND((tblHorasOut[Jornada Diária]-(tblHorasOut[Horas Trabalhadas (2º Período)]+tblHorasOut[Horas Trabalhadas (1º Período)])),6)&gt;ROUND(CARENCIA,6),
                           -tblHorasOut[Jornada Diária]+(tblHorasOut[Horas Trabalhadas (2º Período)]+tblHorasOut[Horas Trabalhadas (1º Período)]),
                           0),
                      IF(ROUND((tblHorasOut[Jornada Diária]-(tblHorasOut[Horas Trabalhadas (2º Período)]+tblHorasOut[Horas Trabalhadas (1º Período)])),6)&lt;ROUND(-CARENCIA,6),
                           -tblHorasOut[Jornada Diária]+(tblHorasOut[Horas Trabalhadas (2º Período)]+tblHorasOut[Horas Trabalhadas (1º Período)]),
                           0)),
              tblHorasOut[Horas Trabalhadas (2º Período)]+tblHorasOut[Horas Trabalhadas (1º Período)]),
         IF(AND(IF(ISERROR(VLOOKUP(tblHorasOut[Evento 
(1º Período)],tblEvento[[Evento]:[Libera o Período]],4,FALSE)),FALSE,IF(VLOOKUP(tblHorasOut[Evento 
(1º Período)],tblEvento[[Evento]:[Libera o Período]],4,FALSE)="Não",TRUE,FALSE)),IF(ISERROR(VLOOKUP(tblHorasOut[Evento 
(2º Período)],tblEvento[[Evento]:[Libera o Período]],4,FALSE)),FALSE,IF(VLOOKUP(tblHorasOut[Evento 
(2º Período)],tblEvento[[Evento]:[Libera o Período]],4,FALSE)="Não",TRUE,FALSE))),
-IF(VLOOKUP(tblHorasOut[Dia],tblDiaUtil[[Abreviatura]:[Total Jornada]],5,FALSE)&lt;&gt;"",VLOOKUP(tblHorasOut[Dia],tblDiaUtil[[Abreviatura]:[Total Jornada]],5,FALSE),JORNADA),
IF(IF(ISERROR(VLOOKUP(tblHorasOut[Evento 
(1º Período)],tblEvento[[Evento]:[Libera o Período]],4,FALSE)),FALSE,
IF(VLOOKUP(tblHorasOut[Evento 
(1º Período)],tblEvento[[Evento]:[Libera o Período]],4,FALSE)="Não",TRUE,FALSE)
),
-IF(VLOOKUP(tblHorasOut[Dia],tblDiaUtil[[Abreviatura]:[1º Período]],3,FALSE)&lt;&gt;"",VLOOKUP(tblHorasOut[Dia],tblDiaUtil[[Abreviatura]:[1º Período]],3,FALSE),JORNADA_PERIODO_1),
IF(IF(ISERROR(VLOOKUP(tblHorasOut[Evento 
(2º Período)],tblEvento[[Evento]:[Libera o Período]],4,FALSE)),FALSE,IF(VLOOKUP(tblHorasOut[Evento 
(2º Período)],tblEvento[[Evento]:[Libera o Período]],4,FALSE)="Não",TRUE,FALSE)),
-IF(VLOOKUP(tblHorasOut[Dia],tblDiaUtil[[Abreviatura]:[2º Período]],4,FALSE)&lt;&gt;"",VLOOKUP(tblHorasOut[Dia],tblDiaUtil[[Abreviatura]:[2º Período]],4,FALSE),JORNADA_PERIODO_2),0))))</f>
        <v>0</v>
      </c>
      <c r="O26" s="14">
        <f>IF(tblHorasOut[Horas Trabalhadas Além Jornada]&gt;0,
        IF(ISNUMBER(tblHorasOut[Jornada Diária]),
              IF(HOUR(tblHorasOut[Horas Trabalhadas Além Jornada])&gt;=VLOOKUP(LIMITE,tblLimiteHora[],Tabelas!$I$1,FALSE),
                    VLOOKUP(LIMITE,tblLimiteHora[],Tabelas!$J$1,FALSE),
                    tblHorasOut[Horas Trabalhadas Além Jornada]),
              tblHorasOut[Horas Trabalhadas Além Jornada]),
        tblHorasOut[Horas Trabalhadas Além Jornada])+O25</f>
        <v>0</v>
      </c>
      <c r="P26" s="14" t="str">
        <f>IF(tblHorasOut[Horas Trabalhadas Além Jornada]&lt;0,IF(OR(tblHorasOut[Evento 
(1º Período)]="",tblHorasOut[Evento 
(2º Período)]=""),tblHorasOut[Horas Trabalhadas Além Jornada],""),"")</f>
        <v/>
      </c>
      <c r="Q26" s="14" t="str">
        <f>IF(tblHorasOut[Jornada Diária]&lt;&gt;"",IF((N(tblHorasOut[Jornada Diária])-ABS(N(tblHorasOut[Horas Trabalhadas Além Jornada])))=0,1,""),"")</f>
        <v/>
      </c>
      <c r="R26" s="14" t="str">
        <f>IF(tblHorasOut[Horas Trabalhadas Além Jornada]&gt;0,
IF(AND(VLOOKUP(TEXT(tblHorasOut[Data],"dddd"),tblDiaUtil[],3,FALSE)="Sim",IF(tblHorasOut[Evento 
(1º Período)]&lt;&gt;"",IF(VLOOKUP(tblHorasOut[Evento 
(1º Período)],tblEvento[],Tabelas!$E$1,FALSE)="Sim",FALSE,TRUE),TRUE),IF(tblHorasOut[Evento 
(2º Período)]&lt;&gt;"",IF(VLOOKUP(tblHorasOut[Evento 
(2º Período)],tblEvento[],Tabelas!$E$1,FALSE)="Sim",FALSE,TRUE),TRUE)),
tblHorasOut[Horas Trabalhadas Além Jornada],""),"")</f>
        <v/>
      </c>
      <c r="S26" s="14" t="str">
        <f>IF(tblHorasOut[Horas Trabalhadas Além Jornada]&gt;0,
IF(OR(VLOOKUP(TEXT(tblHorasOut[Data],"dddd"),tblDiaUtil[],3,FALSE)="Não",IF(tblHorasOut[Evento 
(1º Período)]&lt;&gt;"",IF(VLOOKUP(tblHorasOut[Evento 
(1º Período)],tblEvento[],Tabelas!$E$1,FALSE)="Sim",TRUE,FALSE),FALSE),IF(tblHorasOut[Evento 
(2º Período)]&lt;&gt;"",IF(VLOOKUP(tblHorasOut[Evento 
(2º Período)],tblEvento[],Tabelas!$E$1,FALSE)="Sim",TRUE,FALSE),FALSE)),
tblHorasOut[Horas Trabalhadas Além Jornada],""),"")</f>
        <v/>
      </c>
      <c r="T26" s="15" t="str">
        <f>IF(tblHorasOut[Evento 
(1º Período)]&lt;&gt;""," - " &amp;VLOOKUP(tblHorasOut[Evento 
(1º Período)],tblEvento[],Tabelas!$F$1,FALSE),"")&amp;IF(AND(tblHorasOut[Evento 
(2º Período)]&lt;&gt;"",tblHorasOut[Evento 
(2º Período)]&lt;&gt;tblHorasOut[Evento 
(1º Período)])," - " &amp; VLOOKUP(tblHorasOut[Evento 
(2º Período)],tblEvento[],Tabelas!$F$1,FALSE),"")</f>
        <v/>
      </c>
    </row>
    <row r="27" spans="2:20" x14ac:dyDescent="0.25">
      <c r="B27" s="11" t="str">
        <f t="shared" si="0"/>
        <v/>
      </c>
      <c r="C27" s="12" t="str">
        <f>TEXT(tblHorasOut[Data],"ddd")</f>
        <v/>
      </c>
      <c r="D27" s="25"/>
      <c r="E27" s="1"/>
      <c r="F27" s="1"/>
      <c r="G27" s="1"/>
      <c r="H27" s="1"/>
      <c r="I27" s="53"/>
      <c r="J27" s="4">
        <f>IF($B$6&lt;&gt;"",
IF(AND(tblHorasOut[Evento 
(1º Período)]&lt;&gt;"",IF(ISERROR(VLOOKUP(tblHorasOut[Evento 
(1º Período)],tblEvento[],Tabelas!$D$1,FALSE)),FALSE,VLOOKUP(tblHorasOut[Evento 
(1º Período)],tblEvento[],Tabelas!$D$1,FALSE)="Sim")),
        IF(JORNADA_PERIODO_1&lt;&gt;"",
IF(VLOOKUP(tblHorasOut[Dia],tblDiaUtil[[Abreviatura]:[1º Período]],3,FALSE)&gt;0,VLOOKUP(tblHorasOut[Dia],tblDiaUtil[[Abreviatura]:[1º Período]],3,FALSE),JORNADA_PERIODO_1),
IF(VLOOKUP(tblHorasOut[Dia],tblDiaUtil[[Abreviatura]:[1º Período]],3,FALSE)&gt;0,VLOOKUP(tblHorasOut[Dia],tblDiaUtil[[Abreviatura]:[1º Período]],3,FALSE),JORNADA/2)),
        IF(AND(ISNUMBER(tblHorasOut[Saída - 1 (Almoço)]),ISNUMBER(tblHorasOut[Entrada - 1])),
              IF(OR(AND(tblHorasOut[Evento 
(1º Período)]&lt;&gt;"",IF(ISERROR(VLOOKUP(tblHorasOut[Evento 
(1º Período)],tblEvento[],Tabelas!$E$1,FALSE)),FALSE,VLOOKUP(tblHorasOut[Evento 
(1º Período)],tblEvento[],Tabelas!$E$1,FALSE)="Sim")),IF(VLOOKUP(TEXT(tblHorasOut[Data],"dddd"),tblDiaUtil[],2,FALSE)="Não",TRUE,FALSE)),
                   tblHorasOut[Saída - 1 (Almoço)]-tblHorasOut[Entrada - 1],
                   IF(OR(HOUR(tblHorasOut[Saída - 1 (Almoço)]-tblHorasOut[Entrada - 1])&gt;0,ROUND(tblHorasOut[Saída - 1 (Almoço)]-tblHorasOut[Entrada - 1],6)&gt;ROUND(CARENCIA,6)),
                          tblHorasOut[Saída - 1 (Almoço)]-tblHorasOut[Entrada - 1],
                          0)),
                    0)),0)</f>
        <v>0</v>
      </c>
      <c r="K27" s="4">
        <f>IF($B$6&lt;&gt;"",
IF(AND(tblHorasOut[Evento 
(2º Período)]&lt;&gt;"",IF(ISERROR(VLOOKUP(tblHorasOut[Evento 
(2º Período)],tblEvento[],Tabelas!$D$1,FALSE)),FALSE,VLOOKUP(tblHorasOut[Evento 
(2º Período)],tblEvento[],Tabelas!$D$1,FALSE)="Sim")),
        IF(JORNADA_PERIODO_2&lt;&gt;"",
IF(VLOOKUP(tblHorasOut[Dia],tblDiaUtil[[Abreviatura]:[2º Período]],4,FALSE)&gt;0,VLOOKUP(tblHorasOut[Dia],tblDiaUtil[[Abreviatura]:[2º Período]],4,FALSE),JORNADA_PERIODO_2),
IF(VLOOKUP(tblHorasOut[Dia],tblDiaUtil[[Abreviatura]:[2º Período]],4,FALSE)&gt;0,VLOOKUP(tblHorasOut[Dia],tblDiaUtil[[Abreviatura]:[2º Período]],4,FALSE),JORNADA/2)),
        IF(AND(ISNUMBER(tblHorasOut[Saída - 2]),ISNUMBER(tblHorasOut[Entrada - 2 (Almoço)])),
              IF(OR(AND(tblHorasOut[Evento 
(2º Período)]&lt;&gt;"",IF(ISERROR(VLOOKUP(tblHorasOut[Evento 
(2º Período)],tblEvento[],Tabelas!$E$1,FALSE)),FALSE,VLOOKUP(tblHorasOut[Evento 
(2º Período)],tblEvento[],Tabelas!$E$1,FALSE)="Sim")),IF(VLOOKUP(TEXT(tblHorasOut[Data],"dddd"),tblDiaUtil[],2,FALSE)="Não",TRUE,FALSE)),
                   tblHorasOut[Saída - 2]-tblHorasOut[Entrada - 2 (Almoço)],
                   IF(OR(HOUR(tblHorasOut[Saída - 2]-tblHorasOut[Entrada - 2 (Almoço)])&gt;0,MINUTE(tblHorasOut[Saída - 2]-tblHorasOut[Entrada - 2 (Almoço)])&gt;CARENCIA),
                         tblHorasOut[Saída - 2]-tblHorasOut[Entrada - 2 (Almoço)],
                         0)),
       0)),0)</f>
        <v>0</v>
      </c>
      <c r="L27" s="4">
        <f>tblHorasOut[Horas Trabalhadas (1º Período)]+tblHorasOut[Horas Trabalhadas (2º Período)]</f>
        <v>0</v>
      </c>
      <c r="M27" s="4" t="str">
        <f>IF(tblHorasOut[Data]&lt;&gt;"",
        IF(
AND(VLOOKUP(TEXT(tblHorasOut[Data],"dddd"),tblDiaUtil[],3,FALSE)="Sim",IF(tblHorasOut[Evento 
(1º Período)]&lt;&gt;"",IF(VLOOKUP(tblHorasOut[Evento 
(1º Período)],tblEvento[],Tabelas!$E$1,FALSE)="Sim",FALSE,TRUE),TRUE),IF(tblHorasOut[Evento 
(2º Período)]&lt;&gt;"",IF(VLOOKUP(tblHorasOut[Evento 
(2º Período)],tblEvento[],Tabelas!$E$1,FALSE)="Sim",FALSE,TRUE),TRUE)),
              IF(VLOOKUP(tblHorasOut[Dia],tblDiaUtil[[Abreviatura]:[1º Período]],3,FALSE)&gt;0,VLOOKUP(tblHorasOut[Dia],tblDiaUtil[[Abreviatura]:[1º Período]],3,FALSE),JORNADA),
              ""),
         "")</f>
        <v/>
      </c>
      <c r="N27" s="14">
        <f>IF(OR(tblHorasOut[Horas Trabalhadas (1º Período)]&lt;&gt;0,tblHorasOut[Horas Trabalhadas (2º Período)]&lt;&gt;0),
        IF(ISNUMBER(tblHorasOut[Jornada Diária]),
              IF(tblHorasOut[Jornada Diária]&gt;(tblHorasOut[Horas Trabalhadas (2º Período)]+tblHorasOut[Horas Trabalhadas (1º Período)]),
                     IF(ROUND((tblHorasOut[Jornada Diária]-(tblHorasOut[Horas Trabalhadas (2º Período)]+tblHorasOut[Horas Trabalhadas (1º Período)])),6)&gt;ROUND(CARENCIA,6),
                           -tblHorasOut[Jornada Diária]+(tblHorasOut[Horas Trabalhadas (2º Período)]+tblHorasOut[Horas Trabalhadas (1º Período)]),
                           0),
                      IF(ROUND((tblHorasOut[Jornada Diária]-(tblHorasOut[Horas Trabalhadas (2º Período)]+tblHorasOut[Horas Trabalhadas (1º Período)])),6)&lt;ROUND(-CARENCIA,6),
                           -tblHorasOut[Jornada Diária]+(tblHorasOut[Horas Trabalhadas (2º Período)]+tblHorasOut[Horas Trabalhadas (1º Período)]),
                           0)),
              tblHorasOut[Horas Trabalhadas (2º Período)]+tblHorasOut[Horas Trabalhadas (1º Período)]),
         IF(AND(IF(ISERROR(VLOOKUP(tblHorasOut[Evento 
(1º Período)],tblEvento[[Evento]:[Libera o Período]],4,FALSE)),FALSE,IF(VLOOKUP(tblHorasOut[Evento 
(1º Período)],tblEvento[[Evento]:[Libera o Período]],4,FALSE)="Não",TRUE,FALSE)),IF(ISERROR(VLOOKUP(tblHorasOut[Evento 
(2º Período)],tblEvento[[Evento]:[Libera o Período]],4,FALSE)),FALSE,IF(VLOOKUP(tblHorasOut[Evento 
(2º Período)],tblEvento[[Evento]:[Libera o Período]],4,FALSE)="Não",TRUE,FALSE))),
-IF(VLOOKUP(tblHorasOut[Dia],tblDiaUtil[[Abreviatura]:[Total Jornada]],5,FALSE)&lt;&gt;"",VLOOKUP(tblHorasOut[Dia],tblDiaUtil[[Abreviatura]:[Total Jornada]],5,FALSE),JORNADA),
IF(IF(ISERROR(VLOOKUP(tblHorasOut[Evento 
(1º Período)],tblEvento[[Evento]:[Libera o Período]],4,FALSE)),FALSE,
IF(VLOOKUP(tblHorasOut[Evento 
(1º Período)],tblEvento[[Evento]:[Libera o Período]],4,FALSE)="Não",TRUE,FALSE)
),
-IF(VLOOKUP(tblHorasOut[Dia],tblDiaUtil[[Abreviatura]:[1º Período]],3,FALSE)&lt;&gt;"",VLOOKUP(tblHorasOut[Dia],tblDiaUtil[[Abreviatura]:[1º Período]],3,FALSE),JORNADA_PERIODO_1),
IF(IF(ISERROR(VLOOKUP(tblHorasOut[Evento 
(2º Período)],tblEvento[[Evento]:[Libera o Período]],4,FALSE)),FALSE,IF(VLOOKUP(tblHorasOut[Evento 
(2º Período)],tblEvento[[Evento]:[Libera o Período]],4,FALSE)="Não",TRUE,FALSE)),
-IF(VLOOKUP(tblHorasOut[Dia],tblDiaUtil[[Abreviatura]:[2º Período]],4,FALSE)&lt;&gt;"",VLOOKUP(tblHorasOut[Dia],tblDiaUtil[[Abreviatura]:[2º Período]],4,FALSE),JORNADA_PERIODO_2),0))))</f>
        <v>0</v>
      </c>
      <c r="O27" s="14">
        <f>IF(tblHorasOut[Horas Trabalhadas Além Jornada]&gt;0,
        IF(ISNUMBER(tblHorasOut[Jornada Diária]),
              IF(HOUR(tblHorasOut[Horas Trabalhadas Além Jornada])&gt;=VLOOKUP(LIMITE,tblLimiteHora[],Tabelas!$I$1,FALSE),
                    VLOOKUP(LIMITE,tblLimiteHora[],Tabelas!$J$1,FALSE),
                    tblHorasOut[Horas Trabalhadas Além Jornada]),
              tblHorasOut[Horas Trabalhadas Além Jornada]),
        tblHorasOut[Horas Trabalhadas Além Jornada])+O26</f>
        <v>0</v>
      </c>
      <c r="P27" s="14" t="str">
        <f>IF(tblHorasOut[Horas Trabalhadas Além Jornada]&lt;0,IF(OR(tblHorasOut[Evento 
(1º Período)]="",tblHorasOut[Evento 
(2º Período)]=""),tblHorasOut[Horas Trabalhadas Além Jornada],""),"")</f>
        <v/>
      </c>
      <c r="Q27" s="14" t="str">
        <f>IF(tblHorasOut[Jornada Diária]&lt;&gt;"",IF((N(tblHorasOut[Jornada Diária])-ABS(N(tblHorasOut[Horas Trabalhadas Além Jornada])))=0,1,""),"")</f>
        <v/>
      </c>
      <c r="R27" s="14" t="str">
        <f>IF(tblHorasOut[Horas Trabalhadas Além Jornada]&gt;0,
IF(AND(VLOOKUP(TEXT(tblHorasOut[Data],"dddd"),tblDiaUtil[],3,FALSE)="Sim",IF(tblHorasOut[Evento 
(1º Período)]&lt;&gt;"",IF(VLOOKUP(tblHorasOut[Evento 
(1º Período)],tblEvento[],Tabelas!$E$1,FALSE)="Sim",FALSE,TRUE),TRUE),IF(tblHorasOut[Evento 
(2º Período)]&lt;&gt;"",IF(VLOOKUP(tblHorasOut[Evento 
(2º Período)],tblEvento[],Tabelas!$E$1,FALSE)="Sim",FALSE,TRUE),TRUE)),
tblHorasOut[Horas Trabalhadas Além Jornada],""),"")</f>
        <v/>
      </c>
      <c r="S27" s="14" t="str">
        <f>IF(tblHorasOut[Horas Trabalhadas Além Jornada]&gt;0,
IF(OR(VLOOKUP(TEXT(tblHorasOut[Data],"dddd"),tblDiaUtil[],3,FALSE)="Não",IF(tblHorasOut[Evento 
(1º Período)]&lt;&gt;"",IF(VLOOKUP(tblHorasOut[Evento 
(1º Período)],tblEvento[],Tabelas!$E$1,FALSE)="Sim",TRUE,FALSE),FALSE),IF(tblHorasOut[Evento 
(2º Período)]&lt;&gt;"",IF(VLOOKUP(tblHorasOut[Evento 
(2º Período)],tblEvento[],Tabelas!$E$1,FALSE)="Sim",TRUE,FALSE),FALSE)),
tblHorasOut[Horas Trabalhadas Além Jornada],""),"")</f>
        <v/>
      </c>
      <c r="T27" s="15" t="str">
        <f>IF(tblHorasOut[Evento 
(1º Período)]&lt;&gt;""," - " &amp;VLOOKUP(tblHorasOut[Evento 
(1º Período)],tblEvento[],Tabelas!$F$1,FALSE),"")&amp;IF(AND(tblHorasOut[Evento 
(2º Período)]&lt;&gt;"",tblHorasOut[Evento 
(2º Período)]&lt;&gt;tblHorasOut[Evento 
(1º Período)])," - " &amp; VLOOKUP(tblHorasOut[Evento 
(2º Período)],tblEvento[],Tabelas!$F$1,FALSE),"")</f>
        <v/>
      </c>
    </row>
    <row r="28" spans="2:20" x14ac:dyDescent="0.25">
      <c r="B28" s="11" t="str">
        <f t="shared" si="0"/>
        <v/>
      </c>
      <c r="C28" s="12" t="str">
        <f>TEXT(tblHorasOut[Data],"ddd")</f>
        <v/>
      </c>
      <c r="D28" s="25"/>
      <c r="E28" s="1"/>
      <c r="F28" s="1"/>
      <c r="G28" s="1"/>
      <c r="H28" s="1"/>
      <c r="I28" s="53"/>
      <c r="J28" s="4">
        <f>IF($B$6&lt;&gt;"",
IF(AND(tblHorasOut[Evento 
(1º Período)]&lt;&gt;"",IF(ISERROR(VLOOKUP(tblHorasOut[Evento 
(1º Período)],tblEvento[],Tabelas!$D$1,FALSE)),FALSE,VLOOKUP(tblHorasOut[Evento 
(1º Período)],tblEvento[],Tabelas!$D$1,FALSE)="Sim")),
        IF(JORNADA_PERIODO_1&lt;&gt;"",
IF(VLOOKUP(tblHorasOut[Dia],tblDiaUtil[[Abreviatura]:[1º Período]],3,FALSE)&gt;0,VLOOKUP(tblHorasOut[Dia],tblDiaUtil[[Abreviatura]:[1º Período]],3,FALSE),JORNADA_PERIODO_1),
IF(VLOOKUP(tblHorasOut[Dia],tblDiaUtil[[Abreviatura]:[1º Período]],3,FALSE)&gt;0,VLOOKUP(tblHorasOut[Dia],tblDiaUtil[[Abreviatura]:[1º Período]],3,FALSE),JORNADA/2)),
        IF(AND(ISNUMBER(tblHorasOut[Saída - 1 (Almoço)]),ISNUMBER(tblHorasOut[Entrada - 1])),
              IF(OR(AND(tblHorasOut[Evento 
(1º Período)]&lt;&gt;"",IF(ISERROR(VLOOKUP(tblHorasOut[Evento 
(1º Período)],tblEvento[],Tabelas!$E$1,FALSE)),FALSE,VLOOKUP(tblHorasOut[Evento 
(1º Período)],tblEvento[],Tabelas!$E$1,FALSE)="Sim")),IF(VLOOKUP(TEXT(tblHorasOut[Data],"dddd"),tblDiaUtil[],2,FALSE)="Não",TRUE,FALSE)),
                   tblHorasOut[Saída - 1 (Almoço)]-tblHorasOut[Entrada - 1],
                   IF(OR(HOUR(tblHorasOut[Saída - 1 (Almoço)]-tblHorasOut[Entrada - 1])&gt;0,ROUND(tblHorasOut[Saída - 1 (Almoço)]-tblHorasOut[Entrada - 1],6)&gt;ROUND(CARENCIA,6)),
                          tblHorasOut[Saída - 1 (Almoço)]-tblHorasOut[Entrada - 1],
                          0)),
                    0)),0)</f>
        <v>0</v>
      </c>
      <c r="K28" s="4">
        <f>IF($B$6&lt;&gt;"",
IF(AND(tblHorasOut[Evento 
(2º Período)]&lt;&gt;"",IF(ISERROR(VLOOKUP(tblHorasOut[Evento 
(2º Período)],tblEvento[],Tabelas!$D$1,FALSE)),FALSE,VLOOKUP(tblHorasOut[Evento 
(2º Período)],tblEvento[],Tabelas!$D$1,FALSE)="Sim")),
        IF(JORNADA_PERIODO_2&lt;&gt;"",
IF(VLOOKUP(tblHorasOut[Dia],tblDiaUtil[[Abreviatura]:[2º Período]],4,FALSE)&gt;0,VLOOKUP(tblHorasOut[Dia],tblDiaUtil[[Abreviatura]:[2º Período]],4,FALSE),JORNADA_PERIODO_2),
IF(VLOOKUP(tblHorasOut[Dia],tblDiaUtil[[Abreviatura]:[2º Período]],4,FALSE)&gt;0,VLOOKUP(tblHorasOut[Dia],tblDiaUtil[[Abreviatura]:[2º Período]],4,FALSE),JORNADA/2)),
        IF(AND(ISNUMBER(tblHorasOut[Saída - 2]),ISNUMBER(tblHorasOut[Entrada - 2 (Almoço)])),
              IF(OR(AND(tblHorasOut[Evento 
(2º Período)]&lt;&gt;"",IF(ISERROR(VLOOKUP(tblHorasOut[Evento 
(2º Período)],tblEvento[],Tabelas!$E$1,FALSE)),FALSE,VLOOKUP(tblHorasOut[Evento 
(2º Período)],tblEvento[],Tabelas!$E$1,FALSE)="Sim")),IF(VLOOKUP(TEXT(tblHorasOut[Data],"dddd"),tblDiaUtil[],2,FALSE)="Não",TRUE,FALSE)),
                   tblHorasOut[Saída - 2]-tblHorasOut[Entrada - 2 (Almoço)],
                   IF(OR(HOUR(tblHorasOut[Saída - 2]-tblHorasOut[Entrada - 2 (Almoço)])&gt;0,MINUTE(tblHorasOut[Saída - 2]-tblHorasOut[Entrada - 2 (Almoço)])&gt;CARENCIA),
                         tblHorasOut[Saída - 2]-tblHorasOut[Entrada - 2 (Almoço)],
                         0)),
       0)),0)</f>
        <v>0</v>
      </c>
      <c r="L28" s="4">
        <f>tblHorasOut[Horas Trabalhadas (1º Período)]+tblHorasOut[Horas Trabalhadas (2º Período)]</f>
        <v>0</v>
      </c>
      <c r="M28" s="4" t="str">
        <f>IF(tblHorasOut[Data]&lt;&gt;"",
        IF(
AND(VLOOKUP(TEXT(tblHorasOut[Data],"dddd"),tblDiaUtil[],3,FALSE)="Sim",IF(tblHorasOut[Evento 
(1º Período)]&lt;&gt;"",IF(VLOOKUP(tblHorasOut[Evento 
(1º Período)],tblEvento[],Tabelas!$E$1,FALSE)="Sim",FALSE,TRUE),TRUE),IF(tblHorasOut[Evento 
(2º Período)]&lt;&gt;"",IF(VLOOKUP(tblHorasOut[Evento 
(2º Período)],tblEvento[],Tabelas!$E$1,FALSE)="Sim",FALSE,TRUE),TRUE)),
              IF(VLOOKUP(tblHorasOut[Dia],tblDiaUtil[[Abreviatura]:[1º Período]],3,FALSE)&gt;0,VLOOKUP(tblHorasOut[Dia],tblDiaUtil[[Abreviatura]:[1º Período]],3,FALSE),JORNADA),
              ""),
         "")</f>
        <v/>
      </c>
      <c r="N28" s="14">
        <f>IF(OR(tblHorasOut[Horas Trabalhadas (1º Período)]&lt;&gt;0,tblHorasOut[Horas Trabalhadas (2º Período)]&lt;&gt;0),
        IF(ISNUMBER(tblHorasOut[Jornada Diária]),
              IF(tblHorasOut[Jornada Diária]&gt;(tblHorasOut[Horas Trabalhadas (2º Período)]+tblHorasOut[Horas Trabalhadas (1º Período)]),
                     IF(ROUND((tblHorasOut[Jornada Diária]-(tblHorasOut[Horas Trabalhadas (2º Período)]+tblHorasOut[Horas Trabalhadas (1º Período)])),6)&gt;ROUND(CARENCIA,6),
                           -tblHorasOut[Jornada Diária]+(tblHorasOut[Horas Trabalhadas (2º Período)]+tblHorasOut[Horas Trabalhadas (1º Período)]),
                           0),
                      IF(ROUND((tblHorasOut[Jornada Diária]-(tblHorasOut[Horas Trabalhadas (2º Período)]+tblHorasOut[Horas Trabalhadas (1º Período)])),6)&lt;ROUND(-CARENCIA,6),
                           -tblHorasOut[Jornada Diária]+(tblHorasOut[Horas Trabalhadas (2º Período)]+tblHorasOut[Horas Trabalhadas (1º Período)]),
                           0)),
              tblHorasOut[Horas Trabalhadas (2º Período)]+tblHorasOut[Horas Trabalhadas (1º Período)]),
         IF(AND(IF(ISERROR(VLOOKUP(tblHorasOut[Evento 
(1º Período)],tblEvento[[Evento]:[Libera o Período]],4,FALSE)),FALSE,IF(VLOOKUP(tblHorasOut[Evento 
(1º Período)],tblEvento[[Evento]:[Libera o Período]],4,FALSE)="Não",TRUE,FALSE)),IF(ISERROR(VLOOKUP(tblHorasOut[Evento 
(2º Período)],tblEvento[[Evento]:[Libera o Período]],4,FALSE)),FALSE,IF(VLOOKUP(tblHorasOut[Evento 
(2º Período)],tblEvento[[Evento]:[Libera o Período]],4,FALSE)="Não",TRUE,FALSE))),
-IF(VLOOKUP(tblHorasOut[Dia],tblDiaUtil[[Abreviatura]:[Total Jornada]],5,FALSE)&lt;&gt;"",VLOOKUP(tblHorasOut[Dia],tblDiaUtil[[Abreviatura]:[Total Jornada]],5,FALSE),JORNADA),
IF(IF(ISERROR(VLOOKUP(tblHorasOut[Evento 
(1º Período)],tblEvento[[Evento]:[Libera o Período]],4,FALSE)),FALSE,
IF(VLOOKUP(tblHorasOut[Evento 
(1º Período)],tblEvento[[Evento]:[Libera o Período]],4,FALSE)="Não",TRUE,FALSE)
),
-IF(VLOOKUP(tblHorasOut[Dia],tblDiaUtil[[Abreviatura]:[1º Período]],3,FALSE)&lt;&gt;"",VLOOKUP(tblHorasOut[Dia],tblDiaUtil[[Abreviatura]:[1º Período]],3,FALSE),JORNADA_PERIODO_1),
IF(IF(ISERROR(VLOOKUP(tblHorasOut[Evento 
(2º Período)],tblEvento[[Evento]:[Libera o Período]],4,FALSE)),FALSE,IF(VLOOKUP(tblHorasOut[Evento 
(2º Período)],tblEvento[[Evento]:[Libera o Período]],4,FALSE)="Não",TRUE,FALSE)),
-IF(VLOOKUP(tblHorasOut[Dia],tblDiaUtil[[Abreviatura]:[2º Período]],4,FALSE)&lt;&gt;"",VLOOKUP(tblHorasOut[Dia],tblDiaUtil[[Abreviatura]:[2º Período]],4,FALSE),JORNADA_PERIODO_2),0))))</f>
        <v>0</v>
      </c>
      <c r="O28" s="14">
        <f>IF(tblHorasOut[Horas Trabalhadas Além Jornada]&gt;0,
        IF(ISNUMBER(tblHorasOut[Jornada Diária]),
              IF(HOUR(tblHorasOut[Horas Trabalhadas Além Jornada])&gt;=VLOOKUP(LIMITE,tblLimiteHora[],Tabelas!$I$1,FALSE),
                    VLOOKUP(LIMITE,tblLimiteHora[],Tabelas!$J$1,FALSE),
                    tblHorasOut[Horas Trabalhadas Além Jornada]),
              tblHorasOut[Horas Trabalhadas Além Jornada]),
        tblHorasOut[Horas Trabalhadas Além Jornada])+O27</f>
        <v>0</v>
      </c>
      <c r="P28" s="14" t="str">
        <f>IF(tblHorasOut[Horas Trabalhadas Além Jornada]&lt;0,IF(OR(tblHorasOut[Evento 
(1º Período)]="",tblHorasOut[Evento 
(2º Período)]=""),tblHorasOut[Horas Trabalhadas Além Jornada],""),"")</f>
        <v/>
      </c>
      <c r="Q28" s="14" t="str">
        <f>IF(tblHorasOut[Jornada Diária]&lt;&gt;"",IF((N(tblHorasOut[Jornada Diária])-ABS(N(tblHorasOut[Horas Trabalhadas Além Jornada])))=0,1,""),"")</f>
        <v/>
      </c>
      <c r="R28" s="14" t="str">
        <f>IF(tblHorasOut[Horas Trabalhadas Além Jornada]&gt;0,
IF(AND(VLOOKUP(TEXT(tblHorasOut[Data],"dddd"),tblDiaUtil[],3,FALSE)="Sim",IF(tblHorasOut[Evento 
(1º Período)]&lt;&gt;"",IF(VLOOKUP(tblHorasOut[Evento 
(1º Período)],tblEvento[],Tabelas!$E$1,FALSE)="Sim",FALSE,TRUE),TRUE),IF(tblHorasOut[Evento 
(2º Período)]&lt;&gt;"",IF(VLOOKUP(tblHorasOut[Evento 
(2º Período)],tblEvento[],Tabelas!$E$1,FALSE)="Sim",FALSE,TRUE),TRUE)),
tblHorasOut[Horas Trabalhadas Além Jornada],""),"")</f>
        <v/>
      </c>
      <c r="S28" s="14" t="str">
        <f>IF(tblHorasOut[Horas Trabalhadas Além Jornada]&gt;0,
IF(OR(VLOOKUP(TEXT(tblHorasOut[Data],"dddd"),tblDiaUtil[],3,FALSE)="Não",IF(tblHorasOut[Evento 
(1º Período)]&lt;&gt;"",IF(VLOOKUP(tblHorasOut[Evento 
(1º Período)],tblEvento[],Tabelas!$E$1,FALSE)="Sim",TRUE,FALSE),FALSE),IF(tblHorasOut[Evento 
(2º Período)]&lt;&gt;"",IF(VLOOKUP(tblHorasOut[Evento 
(2º Período)],tblEvento[],Tabelas!$E$1,FALSE)="Sim",TRUE,FALSE),FALSE)),
tblHorasOut[Horas Trabalhadas Além Jornada],""),"")</f>
        <v/>
      </c>
      <c r="T28" s="15" t="str">
        <f>IF(tblHorasOut[Evento 
(1º Período)]&lt;&gt;""," - " &amp;VLOOKUP(tblHorasOut[Evento 
(1º Período)],tblEvento[],Tabelas!$F$1,FALSE),"")&amp;IF(AND(tblHorasOut[Evento 
(2º Período)]&lt;&gt;"",tblHorasOut[Evento 
(2º Período)]&lt;&gt;tblHorasOut[Evento 
(1º Período)])," - " &amp; VLOOKUP(tblHorasOut[Evento 
(2º Período)],tblEvento[],Tabelas!$F$1,FALSE),"")</f>
        <v/>
      </c>
    </row>
    <row r="29" spans="2:20" x14ac:dyDescent="0.25">
      <c r="B29" s="11" t="str">
        <f t="shared" si="0"/>
        <v/>
      </c>
      <c r="C29" s="12" t="str">
        <f>TEXT(tblHorasOut[Data],"ddd")</f>
        <v/>
      </c>
      <c r="D29" s="25"/>
      <c r="E29" s="1"/>
      <c r="F29" s="1"/>
      <c r="G29" s="1"/>
      <c r="H29" s="1"/>
      <c r="I29" s="53"/>
      <c r="J29" s="4">
        <f>IF($B$6&lt;&gt;"",
IF(AND(tblHorasOut[Evento 
(1º Período)]&lt;&gt;"",IF(ISERROR(VLOOKUP(tblHorasOut[Evento 
(1º Período)],tblEvento[],Tabelas!$D$1,FALSE)),FALSE,VLOOKUP(tblHorasOut[Evento 
(1º Período)],tblEvento[],Tabelas!$D$1,FALSE)="Sim")),
        IF(JORNADA_PERIODO_1&lt;&gt;"",
IF(VLOOKUP(tblHorasOut[Dia],tblDiaUtil[[Abreviatura]:[1º Período]],3,FALSE)&gt;0,VLOOKUP(tblHorasOut[Dia],tblDiaUtil[[Abreviatura]:[1º Período]],3,FALSE),JORNADA_PERIODO_1),
IF(VLOOKUP(tblHorasOut[Dia],tblDiaUtil[[Abreviatura]:[1º Período]],3,FALSE)&gt;0,VLOOKUP(tblHorasOut[Dia],tblDiaUtil[[Abreviatura]:[1º Período]],3,FALSE),JORNADA/2)),
        IF(AND(ISNUMBER(tblHorasOut[Saída - 1 (Almoço)]),ISNUMBER(tblHorasOut[Entrada - 1])),
              IF(OR(AND(tblHorasOut[Evento 
(1º Período)]&lt;&gt;"",IF(ISERROR(VLOOKUP(tblHorasOut[Evento 
(1º Período)],tblEvento[],Tabelas!$E$1,FALSE)),FALSE,VLOOKUP(tblHorasOut[Evento 
(1º Período)],tblEvento[],Tabelas!$E$1,FALSE)="Sim")),IF(VLOOKUP(TEXT(tblHorasOut[Data],"dddd"),tblDiaUtil[],2,FALSE)="Não",TRUE,FALSE)),
                   tblHorasOut[Saída - 1 (Almoço)]-tblHorasOut[Entrada - 1],
                   IF(OR(HOUR(tblHorasOut[Saída - 1 (Almoço)]-tblHorasOut[Entrada - 1])&gt;0,ROUND(tblHorasOut[Saída - 1 (Almoço)]-tblHorasOut[Entrada - 1],6)&gt;ROUND(CARENCIA,6)),
                          tblHorasOut[Saída - 1 (Almoço)]-tblHorasOut[Entrada - 1],
                          0)),
                    0)),0)</f>
        <v>0</v>
      </c>
      <c r="K29" s="4">
        <f>IF($B$6&lt;&gt;"",
IF(AND(tblHorasOut[Evento 
(2º Período)]&lt;&gt;"",IF(ISERROR(VLOOKUP(tblHorasOut[Evento 
(2º Período)],tblEvento[],Tabelas!$D$1,FALSE)),FALSE,VLOOKUP(tblHorasOut[Evento 
(2º Período)],tblEvento[],Tabelas!$D$1,FALSE)="Sim")),
        IF(JORNADA_PERIODO_2&lt;&gt;"",
IF(VLOOKUP(tblHorasOut[Dia],tblDiaUtil[[Abreviatura]:[2º Período]],4,FALSE)&gt;0,VLOOKUP(tblHorasOut[Dia],tblDiaUtil[[Abreviatura]:[2º Período]],4,FALSE),JORNADA_PERIODO_2),
IF(VLOOKUP(tblHorasOut[Dia],tblDiaUtil[[Abreviatura]:[2º Período]],4,FALSE)&gt;0,VLOOKUP(tblHorasOut[Dia],tblDiaUtil[[Abreviatura]:[2º Período]],4,FALSE),JORNADA/2)),
        IF(AND(ISNUMBER(tblHorasOut[Saída - 2]),ISNUMBER(tblHorasOut[Entrada - 2 (Almoço)])),
              IF(OR(AND(tblHorasOut[Evento 
(2º Período)]&lt;&gt;"",IF(ISERROR(VLOOKUP(tblHorasOut[Evento 
(2º Período)],tblEvento[],Tabelas!$E$1,FALSE)),FALSE,VLOOKUP(tblHorasOut[Evento 
(2º Período)],tblEvento[],Tabelas!$E$1,FALSE)="Sim")),IF(VLOOKUP(TEXT(tblHorasOut[Data],"dddd"),tblDiaUtil[],2,FALSE)="Não",TRUE,FALSE)),
                   tblHorasOut[Saída - 2]-tblHorasOut[Entrada - 2 (Almoço)],
                   IF(OR(HOUR(tblHorasOut[Saída - 2]-tblHorasOut[Entrada - 2 (Almoço)])&gt;0,MINUTE(tblHorasOut[Saída - 2]-tblHorasOut[Entrada - 2 (Almoço)])&gt;CARENCIA),
                         tblHorasOut[Saída - 2]-tblHorasOut[Entrada - 2 (Almoço)],
                         0)),
       0)),0)</f>
        <v>0</v>
      </c>
      <c r="L29" s="4">
        <f>tblHorasOut[Horas Trabalhadas (1º Período)]+tblHorasOut[Horas Trabalhadas (2º Período)]</f>
        <v>0</v>
      </c>
      <c r="M29" s="4" t="str">
        <f>IF(tblHorasOut[Data]&lt;&gt;"",
        IF(
AND(VLOOKUP(TEXT(tblHorasOut[Data],"dddd"),tblDiaUtil[],3,FALSE)="Sim",IF(tblHorasOut[Evento 
(1º Período)]&lt;&gt;"",IF(VLOOKUP(tblHorasOut[Evento 
(1º Período)],tblEvento[],Tabelas!$E$1,FALSE)="Sim",FALSE,TRUE),TRUE),IF(tblHorasOut[Evento 
(2º Período)]&lt;&gt;"",IF(VLOOKUP(tblHorasOut[Evento 
(2º Período)],tblEvento[],Tabelas!$E$1,FALSE)="Sim",FALSE,TRUE),TRUE)),
              IF(VLOOKUP(tblHorasOut[Dia],tblDiaUtil[[Abreviatura]:[1º Período]],3,FALSE)&gt;0,VLOOKUP(tblHorasOut[Dia],tblDiaUtil[[Abreviatura]:[1º Período]],3,FALSE),JORNADA),
              ""),
         "")</f>
        <v/>
      </c>
      <c r="N29" s="14">
        <f>IF(OR(tblHorasOut[Horas Trabalhadas (1º Período)]&lt;&gt;0,tblHorasOut[Horas Trabalhadas (2º Período)]&lt;&gt;0),
        IF(ISNUMBER(tblHorasOut[Jornada Diária]),
              IF(tblHorasOut[Jornada Diária]&gt;(tblHorasOut[Horas Trabalhadas (2º Período)]+tblHorasOut[Horas Trabalhadas (1º Período)]),
                     IF(ROUND((tblHorasOut[Jornada Diária]-(tblHorasOut[Horas Trabalhadas (2º Período)]+tblHorasOut[Horas Trabalhadas (1º Período)])),6)&gt;ROUND(CARENCIA,6),
                           -tblHorasOut[Jornada Diária]+(tblHorasOut[Horas Trabalhadas (2º Período)]+tblHorasOut[Horas Trabalhadas (1º Período)]),
                           0),
                      IF(ROUND((tblHorasOut[Jornada Diária]-(tblHorasOut[Horas Trabalhadas (2º Período)]+tblHorasOut[Horas Trabalhadas (1º Período)])),6)&lt;ROUND(-CARENCIA,6),
                           -tblHorasOut[Jornada Diária]+(tblHorasOut[Horas Trabalhadas (2º Período)]+tblHorasOut[Horas Trabalhadas (1º Período)]),
                           0)),
              tblHorasOut[Horas Trabalhadas (2º Período)]+tblHorasOut[Horas Trabalhadas (1º Período)]),
         IF(AND(IF(ISERROR(VLOOKUP(tblHorasOut[Evento 
(1º Período)],tblEvento[[Evento]:[Libera o Período]],4,FALSE)),FALSE,IF(VLOOKUP(tblHorasOut[Evento 
(1º Período)],tblEvento[[Evento]:[Libera o Período]],4,FALSE)="Não",TRUE,FALSE)),IF(ISERROR(VLOOKUP(tblHorasOut[Evento 
(2º Período)],tblEvento[[Evento]:[Libera o Período]],4,FALSE)),FALSE,IF(VLOOKUP(tblHorasOut[Evento 
(2º Período)],tblEvento[[Evento]:[Libera o Período]],4,FALSE)="Não",TRUE,FALSE))),
-IF(VLOOKUP(tblHorasOut[Dia],tblDiaUtil[[Abreviatura]:[Total Jornada]],5,FALSE)&lt;&gt;"",VLOOKUP(tblHorasOut[Dia],tblDiaUtil[[Abreviatura]:[Total Jornada]],5,FALSE),JORNADA),
IF(IF(ISERROR(VLOOKUP(tblHorasOut[Evento 
(1º Período)],tblEvento[[Evento]:[Libera o Período]],4,FALSE)),FALSE,
IF(VLOOKUP(tblHorasOut[Evento 
(1º Período)],tblEvento[[Evento]:[Libera o Período]],4,FALSE)="Não",TRUE,FALSE)
),
-IF(VLOOKUP(tblHorasOut[Dia],tblDiaUtil[[Abreviatura]:[1º Período]],3,FALSE)&lt;&gt;"",VLOOKUP(tblHorasOut[Dia],tblDiaUtil[[Abreviatura]:[1º Período]],3,FALSE),JORNADA_PERIODO_1),
IF(IF(ISERROR(VLOOKUP(tblHorasOut[Evento 
(2º Período)],tblEvento[[Evento]:[Libera o Período]],4,FALSE)),FALSE,IF(VLOOKUP(tblHorasOut[Evento 
(2º Período)],tblEvento[[Evento]:[Libera o Período]],4,FALSE)="Não",TRUE,FALSE)),
-IF(VLOOKUP(tblHorasOut[Dia],tblDiaUtil[[Abreviatura]:[2º Período]],4,FALSE)&lt;&gt;"",VLOOKUP(tblHorasOut[Dia],tblDiaUtil[[Abreviatura]:[2º Período]],4,FALSE),JORNADA_PERIODO_2),0))))</f>
        <v>0</v>
      </c>
      <c r="O29" s="14">
        <f>IF(tblHorasOut[Horas Trabalhadas Além Jornada]&gt;0,
        IF(ISNUMBER(tblHorasOut[Jornada Diária]),
              IF(HOUR(tblHorasOut[Horas Trabalhadas Além Jornada])&gt;=VLOOKUP(LIMITE,tblLimiteHora[],Tabelas!$I$1,FALSE),
                    VLOOKUP(LIMITE,tblLimiteHora[],Tabelas!$J$1,FALSE),
                    tblHorasOut[Horas Trabalhadas Além Jornada]),
              tblHorasOut[Horas Trabalhadas Além Jornada]),
        tblHorasOut[Horas Trabalhadas Além Jornada])+O28</f>
        <v>0</v>
      </c>
      <c r="P29" s="14" t="str">
        <f>IF(tblHorasOut[Horas Trabalhadas Além Jornada]&lt;0,IF(OR(tblHorasOut[Evento 
(1º Período)]="",tblHorasOut[Evento 
(2º Período)]=""),tblHorasOut[Horas Trabalhadas Além Jornada],""),"")</f>
        <v/>
      </c>
      <c r="Q29" s="14" t="str">
        <f>IF(tblHorasOut[Jornada Diária]&lt;&gt;"",IF((N(tblHorasOut[Jornada Diária])-ABS(N(tblHorasOut[Horas Trabalhadas Além Jornada])))=0,1,""),"")</f>
        <v/>
      </c>
      <c r="R29" s="14" t="str">
        <f>IF(tblHorasOut[Horas Trabalhadas Além Jornada]&gt;0,
IF(AND(VLOOKUP(TEXT(tblHorasOut[Data],"dddd"),tblDiaUtil[],3,FALSE)="Sim",IF(tblHorasOut[Evento 
(1º Período)]&lt;&gt;"",IF(VLOOKUP(tblHorasOut[Evento 
(1º Período)],tblEvento[],Tabelas!$E$1,FALSE)="Sim",FALSE,TRUE),TRUE),IF(tblHorasOut[Evento 
(2º Período)]&lt;&gt;"",IF(VLOOKUP(tblHorasOut[Evento 
(2º Período)],tblEvento[],Tabelas!$E$1,FALSE)="Sim",FALSE,TRUE),TRUE)),
tblHorasOut[Horas Trabalhadas Além Jornada],""),"")</f>
        <v/>
      </c>
      <c r="S29" s="14" t="str">
        <f>IF(tblHorasOut[Horas Trabalhadas Além Jornada]&gt;0,
IF(OR(VLOOKUP(TEXT(tblHorasOut[Data],"dddd"),tblDiaUtil[],3,FALSE)="Não",IF(tblHorasOut[Evento 
(1º Período)]&lt;&gt;"",IF(VLOOKUP(tblHorasOut[Evento 
(1º Período)],tblEvento[],Tabelas!$E$1,FALSE)="Sim",TRUE,FALSE),FALSE),IF(tblHorasOut[Evento 
(2º Período)]&lt;&gt;"",IF(VLOOKUP(tblHorasOut[Evento 
(2º Período)],tblEvento[],Tabelas!$E$1,FALSE)="Sim",TRUE,FALSE),FALSE)),
tblHorasOut[Horas Trabalhadas Além Jornada],""),"")</f>
        <v/>
      </c>
      <c r="T29" s="15" t="str">
        <f>IF(tblHorasOut[Evento 
(1º Período)]&lt;&gt;""," - " &amp;VLOOKUP(tblHorasOut[Evento 
(1º Período)],tblEvento[],Tabelas!$F$1,FALSE),"")&amp;IF(AND(tblHorasOut[Evento 
(2º Período)]&lt;&gt;"",tblHorasOut[Evento 
(2º Período)]&lt;&gt;tblHorasOut[Evento 
(1º Período)])," - " &amp; VLOOKUP(tblHorasOut[Evento 
(2º Período)],tblEvento[],Tabelas!$F$1,FALSE),"")</f>
        <v/>
      </c>
    </row>
    <row r="30" spans="2:20" x14ac:dyDescent="0.25">
      <c r="B30" s="11" t="str">
        <f t="shared" si="0"/>
        <v/>
      </c>
      <c r="C30" s="12" t="str">
        <f>TEXT(tblHorasOut[Data],"ddd")</f>
        <v/>
      </c>
      <c r="D30" s="25"/>
      <c r="E30" s="1"/>
      <c r="F30" s="1"/>
      <c r="G30" s="1"/>
      <c r="H30" s="1"/>
      <c r="I30" s="53"/>
      <c r="J30" s="4">
        <f>IF($B$6&lt;&gt;"",
IF(AND(tblHorasOut[Evento 
(1º Período)]&lt;&gt;"",IF(ISERROR(VLOOKUP(tblHorasOut[Evento 
(1º Período)],tblEvento[],Tabelas!$D$1,FALSE)),FALSE,VLOOKUP(tblHorasOut[Evento 
(1º Período)],tblEvento[],Tabelas!$D$1,FALSE)="Sim")),
        IF(JORNADA_PERIODO_1&lt;&gt;"",
IF(VLOOKUP(tblHorasOut[Dia],tblDiaUtil[[Abreviatura]:[1º Período]],3,FALSE)&gt;0,VLOOKUP(tblHorasOut[Dia],tblDiaUtil[[Abreviatura]:[1º Período]],3,FALSE),JORNADA_PERIODO_1),
IF(VLOOKUP(tblHorasOut[Dia],tblDiaUtil[[Abreviatura]:[1º Período]],3,FALSE)&gt;0,VLOOKUP(tblHorasOut[Dia],tblDiaUtil[[Abreviatura]:[1º Período]],3,FALSE),JORNADA/2)),
        IF(AND(ISNUMBER(tblHorasOut[Saída - 1 (Almoço)]),ISNUMBER(tblHorasOut[Entrada - 1])),
              IF(OR(AND(tblHorasOut[Evento 
(1º Período)]&lt;&gt;"",IF(ISERROR(VLOOKUP(tblHorasOut[Evento 
(1º Período)],tblEvento[],Tabelas!$E$1,FALSE)),FALSE,VLOOKUP(tblHorasOut[Evento 
(1º Período)],tblEvento[],Tabelas!$E$1,FALSE)="Sim")),IF(VLOOKUP(TEXT(tblHorasOut[Data],"dddd"),tblDiaUtil[],2,FALSE)="Não",TRUE,FALSE)),
                   tblHorasOut[Saída - 1 (Almoço)]-tblHorasOut[Entrada - 1],
                   IF(OR(HOUR(tblHorasOut[Saída - 1 (Almoço)]-tblHorasOut[Entrada - 1])&gt;0,ROUND(tblHorasOut[Saída - 1 (Almoço)]-tblHorasOut[Entrada - 1],6)&gt;ROUND(CARENCIA,6)),
                          tblHorasOut[Saída - 1 (Almoço)]-tblHorasOut[Entrada - 1],
                          0)),
                    0)),0)</f>
        <v>0</v>
      </c>
      <c r="K30" s="4">
        <f>IF($B$6&lt;&gt;"",
IF(AND(tblHorasOut[Evento 
(2º Período)]&lt;&gt;"",IF(ISERROR(VLOOKUP(tblHorasOut[Evento 
(2º Período)],tblEvento[],Tabelas!$D$1,FALSE)),FALSE,VLOOKUP(tblHorasOut[Evento 
(2º Período)],tblEvento[],Tabelas!$D$1,FALSE)="Sim")),
        IF(JORNADA_PERIODO_2&lt;&gt;"",
IF(VLOOKUP(tblHorasOut[Dia],tblDiaUtil[[Abreviatura]:[2º Período]],4,FALSE)&gt;0,VLOOKUP(tblHorasOut[Dia],tblDiaUtil[[Abreviatura]:[2º Período]],4,FALSE),JORNADA_PERIODO_2),
IF(VLOOKUP(tblHorasOut[Dia],tblDiaUtil[[Abreviatura]:[2º Período]],4,FALSE)&gt;0,VLOOKUP(tblHorasOut[Dia],tblDiaUtil[[Abreviatura]:[2º Período]],4,FALSE),JORNADA/2)),
        IF(AND(ISNUMBER(tblHorasOut[Saída - 2]),ISNUMBER(tblHorasOut[Entrada - 2 (Almoço)])),
              IF(OR(AND(tblHorasOut[Evento 
(2º Período)]&lt;&gt;"",IF(ISERROR(VLOOKUP(tblHorasOut[Evento 
(2º Período)],tblEvento[],Tabelas!$E$1,FALSE)),FALSE,VLOOKUP(tblHorasOut[Evento 
(2º Período)],tblEvento[],Tabelas!$E$1,FALSE)="Sim")),IF(VLOOKUP(TEXT(tblHorasOut[Data],"dddd"),tblDiaUtil[],2,FALSE)="Não",TRUE,FALSE)),
                   tblHorasOut[Saída - 2]-tblHorasOut[Entrada - 2 (Almoço)],
                   IF(OR(HOUR(tblHorasOut[Saída - 2]-tblHorasOut[Entrada - 2 (Almoço)])&gt;0,MINUTE(tblHorasOut[Saída - 2]-tblHorasOut[Entrada - 2 (Almoço)])&gt;CARENCIA),
                         tblHorasOut[Saída - 2]-tblHorasOut[Entrada - 2 (Almoço)],
                         0)),
       0)),0)</f>
        <v>0</v>
      </c>
      <c r="L30" s="4">
        <f>tblHorasOut[Horas Trabalhadas (1º Período)]+tblHorasOut[Horas Trabalhadas (2º Período)]</f>
        <v>0</v>
      </c>
      <c r="M30" s="4" t="str">
        <f>IF(tblHorasOut[Data]&lt;&gt;"",
        IF(
AND(VLOOKUP(TEXT(tblHorasOut[Data],"dddd"),tblDiaUtil[],3,FALSE)="Sim",IF(tblHorasOut[Evento 
(1º Período)]&lt;&gt;"",IF(VLOOKUP(tblHorasOut[Evento 
(1º Período)],tblEvento[],Tabelas!$E$1,FALSE)="Sim",FALSE,TRUE),TRUE),IF(tblHorasOut[Evento 
(2º Período)]&lt;&gt;"",IF(VLOOKUP(tblHorasOut[Evento 
(2º Período)],tblEvento[],Tabelas!$E$1,FALSE)="Sim",FALSE,TRUE),TRUE)),
              IF(VLOOKUP(tblHorasOut[Dia],tblDiaUtil[[Abreviatura]:[1º Período]],3,FALSE)&gt;0,VLOOKUP(tblHorasOut[Dia],tblDiaUtil[[Abreviatura]:[1º Período]],3,FALSE),JORNADA),
              ""),
         "")</f>
        <v/>
      </c>
      <c r="N30" s="14">
        <f>IF(OR(tblHorasOut[Horas Trabalhadas (1º Período)]&lt;&gt;0,tblHorasOut[Horas Trabalhadas (2º Período)]&lt;&gt;0),
        IF(ISNUMBER(tblHorasOut[Jornada Diária]),
              IF(tblHorasOut[Jornada Diária]&gt;(tblHorasOut[Horas Trabalhadas (2º Período)]+tblHorasOut[Horas Trabalhadas (1º Período)]),
                     IF(ROUND((tblHorasOut[Jornada Diária]-(tblHorasOut[Horas Trabalhadas (2º Período)]+tblHorasOut[Horas Trabalhadas (1º Período)])),6)&gt;ROUND(CARENCIA,6),
                           -tblHorasOut[Jornada Diária]+(tblHorasOut[Horas Trabalhadas (2º Período)]+tblHorasOut[Horas Trabalhadas (1º Período)]),
                           0),
                      IF(ROUND((tblHorasOut[Jornada Diária]-(tblHorasOut[Horas Trabalhadas (2º Período)]+tblHorasOut[Horas Trabalhadas (1º Período)])),6)&lt;ROUND(-CARENCIA,6),
                           -tblHorasOut[Jornada Diária]+(tblHorasOut[Horas Trabalhadas (2º Período)]+tblHorasOut[Horas Trabalhadas (1º Período)]),
                           0)),
              tblHorasOut[Horas Trabalhadas (2º Período)]+tblHorasOut[Horas Trabalhadas (1º Período)]),
         IF(AND(IF(ISERROR(VLOOKUP(tblHorasOut[Evento 
(1º Período)],tblEvento[[Evento]:[Libera o Período]],4,FALSE)),FALSE,IF(VLOOKUP(tblHorasOut[Evento 
(1º Período)],tblEvento[[Evento]:[Libera o Período]],4,FALSE)="Não",TRUE,FALSE)),IF(ISERROR(VLOOKUP(tblHorasOut[Evento 
(2º Período)],tblEvento[[Evento]:[Libera o Período]],4,FALSE)),FALSE,IF(VLOOKUP(tblHorasOut[Evento 
(2º Período)],tblEvento[[Evento]:[Libera o Período]],4,FALSE)="Não",TRUE,FALSE))),
-IF(VLOOKUP(tblHorasOut[Dia],tblDiaUtil[[Abreviatura]:[Total Jornada]],5,FALSE)&lt;&gt;"",VLOOKUP(tblHorasOut[Dia],tblDiaUtil[[Abreviatura]:[Total Jornada]],5,FALSE),JORNADA),
IF(IF(ISERROR(VLOOKUP(tblHorasOut[Evento 
(1º Período)],tblEvento[[Evento]:[Libera o Período]],4,FALSE)),FALSE,
IF(VLOOKUP(tblHorasOut[Evento 
(1º Período)],tblEvento[[Evento]:[Libera o Período]],4,FALSE)="Não",TRUE,FALSE)
),
-IF(VLOOKUP(tblHorasOut[Dia],tblDiaUtil[[Abreviatura]:[1º Período]],3,FALSE)&lt;&gt;"",VLOOKUP(tblHorasOut[Dia],tblDiaUtil[[Abreviatura]:[1º Período]],3,FALSE),JORNADA_PERIODO_1),
IF(IF(ISERROR(VLOOKUP(tblHorasOut[Evento 
(2º Período)],tblEvento[[Evento]:[Libera o Período]],4,FALSE)),FALSE,IF(VLOOKUP(tblHorasOut[Evento 
(2º Período)],tblEvento[[Evento]:[Libera o Período]],4,FALSE)="Não",TRUE,FALSE)),
-IF(VLOOKUP(tblHorasOut[Dia],tblDiaUtil[[Abreviatura]:[2º Período]],4,FALSE)&lt;&gt;"",VLOOKUP(tblHorasOut[Dia],tblDiaUtil[[Abreviatura]:[2º Período]],4,FALSE),JORNADA_PERIODO_2),0))))</f>
        <v>0</v>
      </c>
      <c r="O30" s="14">
        <f>IF(tblHorasOut[Horas Trabalhadas Além Jornada]&gt;0,
        IF(ISNUMBER(tblHorasOut[Jornada Diária]),
              IF(HOUR(tblHorasOut[Horas Trabalhadas Além Jornada])&gt;=VLOOKUP(LIMITE,tblLimiteHora[],Tabelas!$I$1,FALSE),
                    VLOOKUP(LIMITE,tblLimiteHora[],Tabelas!$J$1,FALSE),
                    tblHorasOut[Horas Trabalhadas Além Jornada]),
              tblHorasOut[Horas Trabalhadas Além Jornada]),
        tblHorasOut[Horas Trabalhadas Além Jornada])+O29</f>
        <v>0</v>
      </c>
      <c r="P30" s="14" t="str">
        <f>IF(tblHorasOut[Horas Trabalhadas Além Jornada]&lt;0,IF(OR(tblHorasOut[Evento 
(1º Período)]="",tblHorasOut[Evento 
(2º Período)]=""),tblHorasOut[Horas Trabalhadas Além Jornada],""),"")</f>
        <v/>
      </c>
      <c r="Q30" s="14" t="str">
        <f>IF(tblHorasOut[Jornada Diária]&lt;&gt;"",IF((N(tblHorasOut[Jornada Diária])-ABS(N(tblHorasOut[Horas Trabalhadas Além Jornada])))=0,1,""),"")</f>
        <v/>
      </c>
      <c r="R30" s="14" t="str">
        <f>IF(tblHorasOut[Horas Trabalhadas Além Jornada]&gt;0,
IF(AND(VLOOKUP(TEXT(tblHorasOut[Data],"dddd"),tblDiaUtil[],3,FALSE)="Sim",IF(tblHorasOut[Evento 
(1º Período)]&lt;&gt;"",IF(VLOOKUP(tblHorasOut[Evento 
(1º Período)],tblEvento[],Tabelas!$E$1,FALSE)="Sim",FALSE,TRUE),TRUE),IF(tblHorasOut[Evento 
(2º Período)]&lt;&gt;"",IF(VLOOKUP(tblHorasOut[Evento 
(2º Período)],tblEvento[],Tabelas!$E$1,FALSE)="Sim",FALSE,TRUE),TRUE)),
tblHorasOut[Horas Trabalhadas Além Jornada],""),"")</f>
        <v/>
      </c>
      <c r="S30" s="14" t="str">
        <f>IF(tblHorasOut[Horas Trabalhadas Além Jornada]&gt;0,
IF(OR(VLOOKUP(TEXT(tblHorasOut[Data],"dddd"),tblDiaUtil[],3,FALSE)="Não",IF(tblHorasOut[Evento 
(1º Período)]&lt;&gt;"",IF(VLOOKUP(tblHorasOut[Evento 
(1º Período)],tblEvento[],Tabelas!$E$1,FALSE)="Sim",TRUE,FALSE),FALSE),IF(tblHorasOut[Evento 
(2º Período)]&lt;&gt;"",IF(VLOOKUP(tblHorasOut[Evento 
(2º Período)],tblEvento[],Tabelas!$E$1,FALSE)="Sim",TRUE,FALSE),FALSE)),
tblHorasOut[Horas Trabalhadas Além Jornada],""),"")</f>
        <v/>
      </c>
      <c r="T30" s="15" t="str">
        <f>IF(tblHorasOut[Evento 
(1º Período)]&lt;&gt;""," - " &amp;VLOOKUP(tblHorasOut[Evento 
(1º Período)],tblEvento[],Tabelas!$F$1,FALSE),"")&amp;IF(AND(tblHorasOut[Evento 
(2º Período)]&lt;&gt;"",tblHorasOut[Evento 
(2º Período)]&lt;&gt;tblHorasOut[Evento 
(1º Período)])," - " &amp; VLOOKUP(tblHorasOut[Evento 
(2º Período)],tblEvento[],Tabelas!$F$1,FALSE),"")</f>
        <v/>
      </c>
    </row>
    <row r="31" spans="2:20" x14ac:dyDescent="0.25">
      <c r="B31" s="11" t="str">
        <f t="shared" si="0"/>
        <v/>
      </c>
      <c r="C31" s="12" t="str">
        <f>TEXT(tblHorasOut[Data],"ddd")</f>
        <v/>
      </c>
      <c r="D31" s="25"/>
      <c r="E31" s="1"/>
      <c r="F31" s="1"/>
      <c r="G31" s="1"/>
      <c r="H31" s="1"/>
      <c r="I31" s="53"/>
      <c r="J31" s="4">
        <f>IF($B$6&lt;&gt;"",
IF(AND(tblHorasOut[Evento 
(1º Período)]&lt;&gt;"",IF(ISERROR(VLOOKUP(tblHorasOut[Evento 
(1º Período)],tblEvento[],Tabelas!$D$1,FALSE)),FALSE,VLOOKUP(tblHorasOut[Evento 
(1º Período)],tblEvento[],Tabelas!$D$1,FALSE)="Sim")),
        IF(JORNADA_PERIODO_1&lt;&gt;"",
IF(VLOOKUP(tblHorasOut[Dia],tblDiaUtil[[Abreviatura]:[1º Período]],3,FALSE)&gt;0,VLOOKUP(tblHorasOut[Dia],tblDiaUtil[[Abreviatura]:[1º Período]],3,FALSE),JORNADA_PERIODO_1),
IF(VLOOKUP(tblHorasOut[Dia],tblDiaUtil[[Abreviatura]:[1º Período]],3,FALSE)&gt;0,VLOOKUP(tblHorasOut[Dia],tblDiaUtil[[Abreviatura]:[1º Período]],3,FALSE),JORNADA/2)),
        IF(AND(ISNUMBER(tblHorasOut[Saída - 1 (Almoço)]),ISNUMBER(tblHorasOut[Entrada - 1])),
              IF(OR(AND(tblHorasOut[Evento 
(1º Período)]&lt;&gt;"",IF(ISERROR(VLOOKUP(tblHorasOut[Evento 
(1º Período)],tblEvento[],Tabelas!$E$1,FALSE)),FALSE,VLOOKUP(tblHorasOut[Evento 
(1º Período)],tblEvento[],Tabelas!$E$1,FALSE)="Sim")),IF(VLOOKUP(TEXT(tblHorasOut[Data],"dddd"),tblDiaUtil[],2,FALSE)="Não",TRUE,FALSE)),
                   tblHorasOut[Saída - 1 (Almoço)]-tblHorasOut[Entrada - 1],
                   IF(OR(HOUR(tblHorasOut[Saída - 1 (Almoço)]-tblHorasOut[Entrada - 1])&gt;0,ROUND(tblHorasOut[Saída - 1 (Almoço)]-tblHorasOut[Entrada - 1],6)&gt;ROUND(CARENCIA,6)),
                          tblHorasOut[Saída - 1 (Almoço)]-tblHorasOut[Entrada - 1],
                          0)),
                    0)),0)</f>
        <v>0</v>
      </c>
      <c r="K31" s="4">
        <f>IF($B$6&lt;&gt;"",
IF(AND(tblHorasOut[Evento 
(2º Período)]&lt;&gt;"",IF(ISERROR(VLOOKUP(tblHorasOut[Evento 
(2º Período)],tblEvento[],Tabelas!$D$1,FALSE)),FALSE,VLOOKUP(tblHorasOut[Evento 
(2º Período)],tblEvento[],Tabelas!$D$1,FALSE)="Sim")),
        IF(JORNADA_PERIODO_2&lt;&gt;"",
IF(VLOOKUP(tblHorasOut[Dia],tblDiaUtil[[Abreviatura]:[2º Período]],4,FALSE)&gt;0,VLOOKUP(tblHorasOut[Dia],tblDiaUtil[[Abreviatura]:[2º Período]],4,FALSE),JORNADA_PERIODO_2),
IF(VLOOKUP(tblHorasOut[Dia],tblDiaUtil[[Abreviatura]:[2º Período]],4,FALSE)&gt;0,VLOOKUP(tblHorasOut[Dia],tblDiaUtil[[Abreviatura]:[2º Período]],4,FALSE),JORNADA/2)),
        IF(AND(ISNUMBER(tblHorasOut[Saída - 2]),ISNUMBER(tblHorasOut[Entrada - 2 (Almoço)])),
              IF(OR(AND(tblHorasOut[Evento 
(2º Período)]&lt;&gt;"",IF(ISERROR(VLOOKUP(tblHorasOut[Evento 
(2º Período)],tblEvento[],Tabelas!$E$1,FALSE)),FALSE,VLOOKUP(tblHorasOut[Evento 
(2º Período)],tblEvento[],Tabelas!$E$1,FALSE)="Sim")),IF(VLOOKUP(TEXT(tblHorasOut[Data],"dddd"),tblDiaUtil[],2,FALSE)="Não",TRUE,FALSE)),
                   tblHorasOut[Saída - 2]-tblHorasOut[Entrada - 2 (Almoço)],
                   IF(OR(HOUR(tblHorasOut[Saída - 2]-tblHorasOut[Entrada - 2 (Almoço)])&gt;0,MINUTE(tblHorasOut[Saída - 2]-tblHorasOut[Entrada - 2 (Almoço)])&gt;CARENCIA),
                         tblHorasOut[Saída - 2]-tblHorasOut[Entrada - 2 (Almoço)],
                         0)),
       0)),0)</f>
        <v>0</v>
      </c>
      <c r="L31" s="4">
        <f>tblHorasOut[Horas Trabalhadas (1º Período)]+tblHorasOut[Horas Trabalhadas (2º Período)]</f>
        <v>0</v>
      </c>
      <c r="M31" s="4" t="str">
        <f>IF(tblHorasOut[Data]&lt;&gt;"",
        IF(
AND(VLOOKUP(TEXT(tblHorasOut[Data],"dddd"),tblDiaUtil[],3,FALSE)="Sim",IF(tblHorasOut[Evento 
(1º Período)]&lt;&gt;"",IF(VLOOKUP(tblHorasOut[Evento 
(1º Período)],tblEvento[],Tabelas!$E$1,FALSE)="Sim",FALSE,TRUE),TRUE),IF(tblHorasOut[Evento 
(2º Período)]&lt;&gt;"",IF(VLOOKUP(tblHorasOut[Evento 
(2º Período)],tblEvento[],Tabelas!$E$1,FALSE)="Sim",FALSE,TRUE),TRUE)),
              IF(VLOOKUP(tblHorasOut[Dia],tblDiaUtil[[Abreviatura]:[1º Período]],3,FALSE)&gt;0,VLOOKUP(tblHorasOut[Dia],tblDiaUtil[[Abreviatura]:[1º Período]],3,FALSE),JORNADA),
              ""),
         "")</f>
        <v/>
      </c>
      <c r="N31" s="14">
        <f>IF(OR(tblHorasOut[Horas Trabalhadas (1º Período)]&lt;&gt;0,tblHorasOut[Horas Trabalhadas (2º Período)]&lt;&gt;0),
        IF(ISNUMBER(tblHorasOut[Jornada Diária]),
              IF(tblHorasOut[Jornada Diária]&gt;(tblHorasOut[Horas Trabalhadas (2º Período)]+tblHorasOut[Horas Trabalhadas (1º Período)]),
                     IF(ROUND((tblHorasOut[Jornada Diária]-(tblHorasOut[Horas Trabalhadas (2º Período)]+tblHorasOut[Horas Trabalhadas (1º Período)])),6)&gt;ROUND(CARENCIA,6),
                           -tblHorasOut[Jornada Diária]+(tblHorasOut[Horas Trabalhadas (2º Período)]+tblHorasOut[Horas Trabalhadas (1º Período)]),
                           0),
                      IF(ROUND((tblHorasOut[Jornada Diária]-(tblHorasOut[Horas Trabalhadas (2º Período)]+tblHorasOut[Horas Trabalhadas (1º Período)])),6)&lt;ROUND(-CARENCIA,6),
                           -tblHorasOut[Jornada Diária]+(tblHorasOut[Horas Trabalhadas (2º Período)]+tblHorasOut[Horas Trabalhadas (1º Período)]),
                           0)),
              tblHorasOut[Horas Trabalhadas (2º Período)]+tblHorasOut[Horas Trabalhadas (1º Período)]),
         IF(AND(IF(ISERROR(VLOOKUP(tblHorasOut[Evento 
(1º Período)],tblEvento[[Evento]:[Libera o Período]],4,FALSE)),FALSE,IF(VLOOKUP(tblHorasOut[Evento 
(1º Período)],tblEvento[[Evento]:[Libera o Período]],4,FALSE)="Não",TRUE,FALSE)),IF(ISERROR(VLOOKUP(tblHorasOut[Evento 
(2º Período)],tblEvento[[Evento]:[Libera o Período]],4,FALSE)),FALSE,IF(VLOOKUP(tblHorasOut[Evento 
(2º Período)],tblEvento[[Evento]:[Libera o Período]],4,FALSE)="Não",TRUE,FALSE))),
-IF(VLOOKUP(tblHorasOut[Dia],tblDiaUtil[[Abreviatura]:[Total Jornada]],5,FALSE)&lt;&gt;"",VLOOKUP(tblHorasOut[Dia],tblDiaUtil[[Abreviatura]:[Total Jornada]],5,FALSE),JORNADA),
IF(IF(ISERROR(VLOOKUP(tblHorasOut[Evento 
(1º Período)],tblEvento[[Evento]:[Libera o Período]],4,FALSE)),FALSE,
IF(VLOOKUP(tblHorasOut[Evento 
(1º Período)],tblEvento[[Evento]:[Libera o Período]],4,FALSE)="Não",TRUE,FALSE)
),
-IF(VLOOKUP(tblHorasOut[Dia],tblDiaUtil[[Abreviatura]:[1º Período]],3,FALSE)&lt;&gt;"",VLOOKUP(tblHorasOut[Dia],tblDiaUtil[[Abreviatura]:[1º Período]],3,FALSE),JORNADA_PERIODO_1),
IF(IF(ISERROR(VLOOKUP(tblHorasOut[Evento 
(2º Período)],tblEvento[[Evento]:[Libera o Período]],4,FALSE)),FALSE,IF(VLOOKUP(tblHorasOut[Evento 
(2º Período)],tblEvento[[Evento]:[Libera o Período]],4,FALSE)="Não",TRUE,FALSE)),
-IF(VLOOKUP(tblHorasOut[Dia],tblDiaUtil[[Abreviatura]:[2º Período]],4,FALSE)&lt;&gt;"",VLOOKUP(tblHorasOut[Dia],tblDiaUtil[[Abreviatura]:[2º Período]],4,FALSE),JORNADA_PERIODO_2),0))))</f>
        <v>0</v>
      </c>
      <c r="O31" s="14">
        <f>IF(tblHorasOut[Horas Trabalhadas Além Jornada]&gt;0,
        IF(ISNUMBER(tblHorasOut[Jornada Diária]),
              IF(HOUR(tblHorasOut[Horas Trabalhadas Além Jornada])&gt;=VLOOKUP(LIMITE,tblLimiteHora[],Tabelas!$I$1,FALSE),
                    VLOOKUP(LIMITE,tblLimiteHora[],Tabelas!$J$1,FALSE),
                    tblHorasOut[Horas Trabalhadas Além Jornada]),
              tblHorasOut[Horas Trabalhadas Além Jornada]),
        tblHorasOut[Horas Trabalhadas Além Jornada])+O30</f>
        <v>0</v>
      </c>
      <c r="P31" s="14" t="str">
        <f>IF(tblHorasOut[Horas Trabalhadas Além Jornada]&lt;0,IF(OR(tblHorasOut[Evento 
(1º Período)]="",tblHorasOut[Evento 
(2º Período)]=""),tblHorasOut[Horas Trabalhadas Além Jornada],""),"")</f>
        <v/>
      </c>
      <c r="Q31" s="14" t="str">
        <f>IF(tblHorasOut[Jornada Diária]&lt;&gt;"",IF((N(tblHorasOut[Jornada Diária])-ABS(N(tblHorasOut[Horas Trabalhadas Além Jornada])))=0,1,""),"")</f>
        <v/>
      </c>
      <c r="R31" s="14" t="str">
        <f>IF(tblHorasOut[Horas Trabalhadas Além Jornada]&gt;0,
IF(AND(VLOOKUP(TEXT(tblHorasOut[Data],"dddd"),tblDiaUtil[],3,FALSE)="Sim",IF(tblHorasOut[Evento 
(1º Período)]&lt;&gt;"",IF(VLOOKUP(tblHorasOut[Evento 
(1º Período)],tblEvento[],Tabelas!$E$1,FALSE)="Sim",FALSE,TRUE),TRUE),IF(tblHorasOut[Evento 
(2º Período)]&lt;&gt;"",IF(VLOOKUP(tblHorasOut[Evento 
(2º Período)],tblEvento[],Tabelas!$E$1,FALSE)="Sim",FALSE,TRUE),TRUE)),
tblHorasOut[Horas Trabalhadas Além Jornada],""),"")</f>
        <v/>
      </c>
      <c r="S31" s="14" t="str">
        <f>IF(tblHorasOut[Horas Trabalhadas Além Jornada]&gt;0,
IF(OR(VLOOKUP(TEXT(tblHorasOut[Data],"dddd"),tblDiaUtil[],3,FALSE)="Não",IF(tblHorasOut[Evento 
(1º Período)]&lt;&gt;"",IF(VLOOKUP(tblHorasOut[Evento 
(1º Período)],tblEvento[],Tabelas!$E$1,FALSE)="Sim",TRUE,FALSE),FALSE),IF(tblHorasOut[Evento 
(2º Período)]&lt;&gt;"",IF(VLOOKUP(tblHorasOut[Evento 
(2º Período)],tblEvento[],Tabelas!$E$1,FALSE)="Sim",TRUE,FALSE),FALSE)),
tblHorasOut[Horas Trabalhadas Além Jornada],""),"")</f>
        <v/>
      </c>
      <c r="T31" s="15" t="str">
        <f>IF(tblHorasOut[Evento 
(1º Período)]&lt;&gt;""," - " &amp;VLOOKUP(tblHorasOut[Evento 
(1º Período)],tblEvento[],Tabelas!$F$1,FALSE),"")&amp;IF(AND(tblHorasOut[Evento 
(2º Período)]&lt;&gt;"",tblHorasOut[Evento 
(2º Período)]&lt;&gt;tblHorasOut[Evento 
(1º Período)])," - " &amp; VLOOKUP(tblHorasOut[Evento 
(2º Período)],tblEvento[],Tabelas!$F$1,FALSE),"")</f>
        <v/>
      </c>
    </row>
    <row r="32" spans="2:20" x14ac:dyDescent="0.25">
      <c r="B32" s="11" t="str">
        <f t="shared" si="0"/>
        <v/>
      </c>
      <c r="C32" s="12" t="str">
        <f>TEXT(tblHorasOut[Data],"ddd")</f>
        <v/>
      </c>
      <c r="D32" s="25"/>
      <c r="E32" s="1"/>
      <c r="F32" s="1"/>
      <c r="G32" s="1"/>
      <c r="H32" s="1"/>
      <c r="I32" s="53"/>
      <c r="J32" s="4">
        <f>IF($B$6&lt;&gt;"",
IF(AND(tblHorasOut[Evento 
(1º Período)]&lt;&gt;"",IF(ISERROR(VLOOKUP(tblHorasOut[Evento 
(1º Período)],tblEvento[],Tabelas!$D$1,FALSE)),FALSE,VLOOKUP(tblHorasOut[Evento 
(1º Período)],tblEvento[],Tabelas!$D$1,FALSE)="Sim")),
        IF(JORNADA_PERIODO_1&lt;&gt;"",
IF(VLOOKUP(tblHorasOut[Dia],tblDiaUtil[[Abreviatura]:[1º Período]],3,FALSE)&gt;0,VLOOKUP(tblHorasOut[Dia],tblDiaUtil[[Abreviatura]:[1º Período]],3,FALSE),JORNADA_PERIODO_1),
IF(VLOOKUP(tblHorasOut[Dia],tblDiaUtil[[Abreviatura]:[1º Período]],3,FALSE)&gt;0,VLOOKUP(tblHorasOut[Dia],tblDiaUtil[[Abreviatura]:[1º Período]],3,FALSE),JORNADA/2)),
        IF(AND(ISNUMBER(tblHorasOut[Saída - 1 (Almoço)]),ISNUMBER(tblHorasOut[Entrada - 1])),
              IF(OR(AND(tblHorasOut[Evento 
(1º Período)]&lt;&gt;"",IF(ISERROR(VLOOKUP(tblHorasOut[Evento 
(1º Período)],tblEvento[],Tabelas!$E$1,FALSE)),FALSE,VLOOKUP(tblHorasOut[Evento 
(1º Período)],tblEvento[],Tabelas!$E$1,FALSE)="Sim")),IF(VLOOKUP(TEXT(tblHorasOut[Data],"dddd"),tblDiaUtil[],2,FALSE)="Não",TRUE,FALSE)),
                   tblHorasOut[Saída - 1 (Almoço)]-tblHorasOut[Entrada - 1],
                   IF(OR(HOUR(tblHorasOut[Saída - 1 (Almoço)]-tblHorasOut[Entrada - 1])&gt;0,ROUND(tblHorasOut[Saída - 1 (Almoço)]-tblHorasOut[Entrada - 1],6)&gt;ROUND(CARENCIA,6)),
                          tblHorasOut[Saída - 1 (Almoço)]-tblHorasOut[Entrada - 1],
                          0)),
                    0)),0)</f>
        <v>0</v>
      </c>
      <c r="K32" s="4">
        <f>IF($B$6&lt;&gt;"",
IF(AND(tblHorasOut[Evento 
(2º Período)]&lt;&gt;"",IF(ISERROR(VLOOKUP(tblHorasOut[Evento 
(2º Período)],tblEvento[],Tabelas!$D$1,FALSE)),FALSE,VLOOKUP(tblHorasOut[Evento 
(2º Período)],tblEvento[],Tabelas!$D$1,FALSE)="Sim")),
        IF(JORNADA_PERIODO_2&lt;&gt;"",
IF(VLOOKUP(tblHorasOut[Dia],tblDiaUtil[[Abreviatura]:[2º Período]],4,FALSE)&gt;0,VLOOKUP(tblHorasOut[Dia],tblDiaUtil[[Abreviatura]:[2º Período]],4,FALSE),JORNADA_PERIODO_2),
IF(VLOOKUP(tblHorasOut[Dia],tblDiaUtil[[Abreviatura]:[2º Período]],4,FALSE)&gt;0,VLOOKUP(tblHorasOut[Dia],tblDiaUtil[[Abreviatura]:[2º Período]],4,FALSE),JORNADA/2)),
        IF(AND(ISNUMBER(tblHorasOut[Saída - 2]),ISNUMBER(tblHorasOut[Entrada - 2 (Almoço)])),
              IF(OR(AND(tblHorasOut[Evento 
(2º Período)]&lt;&gt;"",IF(ISERROR(VLOOKUP(tblHorasOut[Evento 
(2º Período)],tblEvento[],Tabelas!$E$1,FALSE)),FALSE,VLOOKUP(tblHorasOut[Evento 
(2º Período)],tblEvento[],Tabelas!$E$1,FALSE)="Sim")),IF(VLOOKUP(TEXT(tblHorasOut[Data],"dddd"),tblDiaUtil[],2,FALSE)="Não",TRUE,FALSE)),
                   tblHorasOut[Saída - 2]-tblHorasOut[Entrada - 2 (Almoço)],
                   IF(OR(HOUR(tblHorasOut[Saída - 2]-tblHorasOut[Entrada - 2 (Almoço)])&gt;0,MINUTE(tblHorasOut[Saída - 2]-tblHorasOut[Entrada - 2 (Almoço)])&gt;CARENCIA),
                         tblHorasOut[Saída - 2]-tblHorasOut[Entrada - 2 (Almoço)],
                         0)),
       0)),0)</f>
        <v>0</v>
      </c>
      <c r="L32" s="4">
        <f>tblHorasOut[Horas Trabalhadas (1º Período)]+tblHorasOut[Horas Trabalhadas (2º Período)]</f>
        <v>0</v>
      </c>
      <c r="M32" s="4" t="str">
        <f>IF(tblHorasOut[Data]&lt;&gt;"",
        IF(
AND(VLOOKUP(TEXT(tblHorasOut[Data],"dddd"),tblDiaUtil[],3,FALSE)="Sim",IF(tblHorasOut[Evento 
(1º Período)]&lt;&gt;"",IF(VLOOKUP(tblHorasOut[Evento 
(1º Período)],tblEvento[],Tabelas!$E$1,FALSE)="Sim",FALSE,TRUE),TRUE),IF(tblHorasOut[Evento 
(2º Período)]&lt;&gt;"",IF(VLOOKUP(tblHorasOut[Evento 
(2º Período)],tblEvento[],Tabelas!$E$1,FALSE)="Sim",FALSE,TRUE),TRUE)),
              IF(VLOOKUP(tblHorasOut[Dia],tblDiaUtil[[Abreviatura]:[1º Período]],3,FALSE)&gt;0,VLOOKUP(tblHorasOut[Dia],tblDiaUtil[[Abreviatura]:[1º Período]],3,FALSE),JORNADA),
              ""),
         "")</f>
        <v/>
      </c>
      <c r="N32" s="14">
        <f>IF(OR(tblHorasOut[Horas Trabalhadas (1º Período)]&lt;&gt;0,tblHorasOut[Horas Trabalhadas (2º Período)]&lt;&gt;0),
        IF(ISNUMBER(tblHorasOut[Jornada Diária]),
              IF(tblHorasOut[Jornada Diária]&gt;(tblHorasOut[Horas Trabalhadas (2º Período)]+tblHorasOut[Horas Trabalhadas (1º Período)]),
                     IF(ROUND((tblHorasOut[Jornada Diária]-(tblHorasOut[Horas Trabalhadas (2º Período)]+tblHorasOut[Horas Trabalhadas (1º Período)])),6)&gt;ROUND(CARENCIA,6),
                           -tblHorasOut[Jornada Diária]+(tblHorasOut[Horas Trabalhadas (2º Período)]+tblHorasOut[Horas Trabalhadas (1º Período)]),
                           0),
                      IF(ROUND((tblHorasOut[Jornada Diária]-(tblHorasOut[Horas Trabalhadas (2º Período)]+tblHorasOut[Horas Trabalhadas (1º Período)])),6)&lt;ROUND(-CARENCIA,6),
                           -tblHorasOut[Jornada Diária]+(tblHorasOut[Horas Trabalhadas (2º Período)]+tblHorasOut[Horas Trabalhadas (1º Período)]),
                           0)),
              tblHorasOut[Horas Trabalhadas (2º Período)]+tblHorasOut[Horas Trabalhadas (1º Período)]),
         IF(AND(IF(ISERROR(VLOOKUP(tblHorasOut[Evento 
(1º Período)],tblEvento[[Evento]:[Libera o Período]],4,FALSE)),FALSE,IF(VLOOKUP(tblHorasOut[Evento 
(1º Período)],tblEvento[[Evento]:[Libera o Período]],4,FALSE)="Não",TRUE,FALSE)),IF(ISERROR(VLOOKUP(tblHorasOut[Evento 
(2º Período)],tblEvento[[Evento]:[Libera o Período]],4,FALSE)),FALSE,IF(VLOOKUP(tblHorasOut[Evento 
(2º Período)],tblEvento[[Evento]:[Libera o Período]],4,FALSE)="Não",TRUE,FALSE))),
-IF(VLOOKUP(tblHorasOut[Dia],tblDiaUtil[[Abreviatura]:[Total Jornada]],5,FALSE)&lt;&gt;"",VLOOKUP(tblHorasOut[Dia],tblDiaUtil[[Abreviatura]:[Total Jornada]],5,FALSE),JORNADA),
IF(IF(ISERROR(VLOOKUP(tblHorasOut[Evento 
(1º Período)],tblEvento[[Evento]:[Libera o Período]],4,FALSE)),FALSE,
IF(VLOOKUP(tblHorasOut[Evento 
(1º Período)],tblEvento[[Evento]:[Libera o Período]],4,FALSE)="Não",TRUE,FALSE)
),
-IF(VLOOKUP(tblHorasOut[Dia],tblDiaUtil[[Abreviatura]:[1º Período]],3,FALSE)&lt;&gt;"",VLOOKUP(tblHorasOut[Dia],tblDiaUtil[[Abreviatura]:[1º Período]],3,FALSE),JORNADA_PERIODO_1),
IF(IF(ISERROR(VLOOKUP(tblHorasOut[Evento 
(2º Período)],tblEvento[[Evento]:[Libera o Período]],4,FALSE)),FALSE,IF(VLOOKUP(tblHorasOut[Evento 
(2º Período)],tblEvento[[Evento]:[Libera o Período]],4,FALSE)="Não",TRUE,FALSE)),
-IF(VLOOKUP(tblHorasOut[Dia],tblDiaUtil[[Abreviatura]:[2º Período]],4,FALSE)&lt;&gt;"",VLOOKUP(tblHorasOut[Dia],tblDiaUtil[[Abreviatura]:[2º Período]],4,FALSE),JORNADA_PERIODO_2),0))))</f>
        <v>0</v>
      </c>
      <c r="O32" s="14">
        <f>IF(tblHorasOut[Horas Trabalhadas Além Jornada]&gt;0,
        IF(ISNUMBER(tblHorasOut[Jornada Diária]),
              IF(HOUR(tblHorasOut[Horas Trabalhadas Além Jornada])&gt;=VLOOKUP(LIMITE,tblLimiteHora[],Tabelas!$I$1,FALSE),
                    VLOOKUP(LIMITE,tblLimiteHora[],Tabelas!$J$1,FALSE),
                    tblHorasOut[Horas Trabalhadas Além Jornada]),
              tblHorasOut[Horas Trabalhadas Além Jornada]),
        tblHorasOut[Horas Trabalhadas Além Jornada])+O31</f>
        <v>0</v>
      </c>
      <c r="P32" s="14" t="str">
        <f>IF(tblHorasOut[Horas Trabalhadas Além Jornada]&lt;0,IF(OR(tblHorasOut[Evento 
(1º Período)]="",tblHorasOut[Evento 
(2º Período)]=""),tblHorasOut[Horas Trabalhadas Além Jornada],""),"")</f>
        <v/>
      </c>
      <c r="Q32" s="14" t="str">
        <f>IF(tblHorasOut[Jornada Diária]&lt;&gt;"",IF((N(tblHorasOut[Jornada Diária])-ABS(N(tblHorasOut[Horas Trabalhadas Além Jornada])))=0,1,""),"")</f>
        <v/>
      </c>
      <c r="R32" s="14" t="str">
        <f>IF(tblHorasOut[Horas Trabalhadas Além Jornada]&gt;0,
IF(AND(VLOOKUP(TEXT(tblHorasOut[Data],"dddd"),tblDiaUtil[],3,FALSE)="Sim",IF(tblHorasOut[Evento 
(1º Período)]&lt;&gt;"",IF(VLOOKUP(tblHorasOut[Evento 
(1º Período)],tblEvento[],Tabelas!$E$1,FALSE)="Sim",FALSE,TRUE),TRUE),IF(tblHorasOut[Evento 
(2º Período)]&lt;&gt;"",IF(VLOOKUP(tblHorasOut[Evento 
(2º Período)],tblEvento[],Tabelas!$E$1,FALSE)="Sim",FALSE,TRUE),TRUE)),
tblHorasOut[Horas Trabalhadas Além Jornada],""),"")</f>
        <v/>
      </c>
      <c r="S32" s="14" t="str">
        <f>IF(tblHorasOut[Horas Trabalhadas Além Jornada]&gt;0,
IF(OR(VLOOKUP(TEXT(tblHorasOut[Data],"dddd"),tblDiaUtil[],3,FALSE)="Não",IF(tblHorasOut[Evento 
(1º Período)]&lt;&gt;"",IF(VLOOKUP(tblHorasOut[Evento 
(1º Período)],tblEvento[],Tabelas!$E$1,FALSE)="Sim",TRUE,FALSE),FALSE),IF(tblHorasOut[Evento 
(2º Período)]&lt;&gt;"",IF(VLOOKUP(tblHorasOut[Evento 
(2º Período)],tblEvento[],Tabelas!$E$1,FALSE)="Sim",TRUE,FALSE),FALSE)),
tblHorasOut[Horas Trabalhadas Além Jornada],""),"")</f>
        <v/>
      </c>
      <c r="T32" s="15" t="str">
        <f>IF(tblHorasOut[Evento 
(1º Período)]&lt;&gt;""," - " &amp;VLOOKUP(tblHorasOut[Evento 
(1º Período)],tblEvento[],Tabelas!$F$1,FALSE),"")&amp;IF(AND(tblHorasOut[Evento 
(2º Período)]&lt;&gt;"",tblHorasOut[Evento 
(2º Período)]&lt;&gt;tblHorasOut[Evento 
(1º Período)])," - " &amp; VLOOKUP(tblHorasOut[Evento 
(2º Período)],tblEvento[],Tabelas!$F$1,FALSE),"")</f>
        <v/>
      </c>
    </row>
    <row r="33" spans="2:21" x14ac:dyDescent="0.25">
      <c r="B33" s="11" t="str">
        <f t="shared" si="0"/>
        <v/>
      </c>
      <c r="C33" s="12" t="str">
        <f>TEXT(tblHorasOut[Data],"ddd")</f>
        <v/>
      </c>
      <c r="D33" s="25"/>
      <c r="E33" s="1"/>
      <c r="F33" s="1"/>
      <c r="G33" s="1"/>
      <c r="H33" s="1"/>
      <c r="I33" s="53"/>
      <c r="J33" s="4">
        <f>IF($B$6&lt;&gt;"",
IF(AND(tblHorasOut[Evento 
(1º Período)]&lt;&gt;"",IF(ISERROR(VLOOKUP(tblHorasOut[Evento 
(1º Período)],tblEvento[],Tabelas!$D$1,FALSE)),FALSE,VLOOKUP(tblHorasOut[Evento 
(1º Período)],tblEvento[],Tabelas!$D$1,FALSE)="Sim")),
        IF(JORNADA_PERIODO_1&lt;&gt;"",
IF(VLOOKUP(tblHorasOut[Dia],tblDiaUtil[[Abreviatura]:[1º Período]],3,FALSE)&gt;0,VLOOKUP(tblHorasOut[Dia],tblDiaUtil[[Abreviatura]:[1º Período]],3,FALSE),JORNADA_PERIODO_1),
IF(VLOOKUP(tblHorasOut[Dia],tblDiaUtil[[Abreviatura]:[1º Período]],3,FALSE)&gt;0,VLOOKUP(tblHorasOut[Dia],tblDiaUtil[[Abreviatura]:[1º Período]],3,FALSE),JORNADA/2)),
        IF(AND(ISNUMBER(tblHorasOut[Saída - 1 (Almoço)]),ISNUMBER(tblHorasOut[Entrada - 1])),
              IF(OR(AND(tblHorasOut[Evento 
(1º Período)]&lt;&gt;"",IF(ISERROR(VLOOKUP(tblHorasOut[Evento 
(1º Período)],tblEvento[],Tabelas!$E$1,FALSE)),FALSE,VLOOKUP(tblHorasOut[Evento 
(1º Período)],tblEvento[],Tabelas!$E$1,FALSE)="Sim")),IF(VLOOKUP(TEXT(tblHorasOut[Data],"dddd"),tblDiaUtil[],2,FALSE)="Não",TRUE,FALSE)),
                   tblHorasOut[Saída - 1 (Almoço)]-tblHorasOut[Entrada - 1],
                   IF(OR(HOUR(tblHorasOut[Saída - 1 (Almoço)]-tblHorasOut[Entrada - 1])&gt;0,ROUND(tblHorasOut[Saída - 1 (Almoço)]-tblHorasOut[Entrada - 1],6)&gt;ROUND(CARENCIA,6)),
                          tblHorasOut[Saída - 1 (Almoço)]-tblHorasOut[Entrada - 1],
                          0)),
                    0)),0)</f>
        <v>0</v>
      </c>
      <c r="K33" s="4">
        <f>IF($B$6&lt;&gt;"",
IF(AND(tblHorasOut[Evento 
(2º Período)]&lt;&gt;"",IF(ISERROR(VLOOKUP(tblHorasOut[Evento 
(2º Período)],tblEvento[],Tabelas!$D$1,FALSE)),FALSE,VLOOKUP(tblHorasOut[Evento 
(2º Período)],tblEvento[],Tabelas!$D$1,FALSE)="Sim")),
        IF(JORNADA_PERIODO_2&lt;&gt;"",
IF(VLOOKUP(tblHorasOut[Dia],tblDiaUtil[[Abreviatura]:[2º Período]],4,FALSE)&gt;0,VLOOKUP(tblHorasOut[Dia],tblDiaUtil[[Abreviatura]:[2º Período]],4,FALSE),JORNADA_PERIODO_2),
IF(VLOOKUP(tblHorasOut[Dia],tblDiaUtil[[Abreviatura]:[2º Período]],4,FALSE)&gt;0,VLOOKUP(tblHorasOut[Dia],tblDiaUtil[[Abreviatura]:[2º Período]],4,FALSE),JORNADA/2)),
        IF(AND(ISNUMBER(tblHorasOut[Saída - 2]),ISNUMBER(tblHorasOut[Entrada - 2 (Almoço)])),
              IF(OR(AND(tblHorasOut[Evento 
(2º Período)]&lt;&gt;"",IF(ISERROR(VLOOKUP(tblHorasOut[Evento 
(2º Período)],tblEvento[],Tabelas!$E$1,FALSE)),FALSE,VLOOKUP(tblHorasOut[Evento 
(2º Período)],tblEvento[],Tabelas!$E$1,FALSE)="Sim")),IF(VLOOKUP(TEXT(tblHorasOut[Data],"dddd"),tblDiaUtil[],2,FALSE)="Não",TRUE,FALSE)),
                   tblHorasOut[Saída - 2]-tblHorasOut[Entrada - 2 (Almoço)],
                   IF(OR(HOUR(tblHorasOut[Saída - 2]-tblHorasOut[Entrada - 2 (Almoço)])&gt;0,MINUTE(tblHorasOut[Saída - 2]-tblHorasOut[Entrada - 2 (Almoço)])&gt;CARENCIA),
                         tblHorasOut[Saída - 2]-tblHorasOut[Entrada - 2 (Almoço)],
                         0)),
       0)),0)</f>
        <v>0</v>
      </c>
      <c r="L33" s="4">
        <f>tblHorasOut[Horas Trabalhadas (1º Período)]+tblHorasOut[Horas Trabalhadas (2º Período)]</f>
        <v>0</v>
      </c>
      <c r="M33" s="4" t="str">
        <f>IF(tblHorasOut[Data]&lt;&gt;"",
        IF(
AND(VLOOKUP(TEXT(tblHorasOut[Data],"dddd"),tblDiaUtil[],3,FALSE)="Sim",IF(tblHorasOut[Evento 
(1º Período)]&lt;&gt;"",IF(VLOOKUP(tblHorasOut[Evento 
(1º Período)],tblEvento[],Tabelas!$E$1,FALSE)="Sim",FALSE,TRUE),TRUE),IF(tblHorasOut[Evento 
(2º Período)]&lt;&gt;"",IF(VLOOKUP(tblHorasOut[Evento 
(2º Período)],tblEvento[],Tabelas!$E$1,FALSE)="Sim",FALSE,TRUE),TRUE)),
              IF(VLOOKUP(tblHorasOut[Dia],tblDiaUtil[[Abreviatura]:[1º Período]],3,FALSE)&gt;0,VLOOKUP(tblHorasOut[Dia],tblDiaUtil[[Abreviatura]:[1º Período]],3,FALSE),JORNADA),
              ""),
         "")</f>
        <v/>
      </c>
      <c r="N33" s="14">
        <f>IF(OR(tblHorasOut[Horas Trabalhadas (1º Período)]&lt;&gt;0,tblHorasOut[Horas Trabalhadas (2º Período)]&lt;&gt;0),
        IF(ISNUMBER(tblHorasOut[Jornada Diária]),
              IF(tblHorasOut[Jornada Diária]&gt;(tblHorasOut[Horas Trabalhadas (2º Período)]+tblHorasOut[Horas Trabalhadas (1º Período)]),
                     IF(ROUND((tblHorasOut[Jornada Diária]-(tblHorasOut[Horas Trabalhadas (2º Período)]+tblHorasOut[Horas Trabalhadas (1º Período)])),6)&gt;ROUND(CARENCIA,6),
                           -tblHorasOut[Jornada Diária]+(tblHorasOut[Horas Trabalhadas (2º Período)]+tblHorasOut[Horas Trabalhadas (1º Período)]),
                           0),
                      IF(ROUND((tblHorasOut[Jornada Diária]-(tblHorasOut[Horas Trabalhadas (2º Período)]+tblHorasOut[Horas Trabalhadas (1º Período)])),6)&lt;ROUND(-CARENCIA,6),
                           -tblHorasOut[Jornada Diária]+(tblHorasOut[Horas Trabalhadas (2º Período)]+tblHorasOut[Horas Trabalhadas (1º Período)]),
                           0)),
              tblHorasOut[Horas Trabalhadas (2º Período)]+tblHorasOut[Horas Trabalhadas (1º Período)]),
         IF(AND(IF(ISERROR(VLOOKUP(tblHorasOut[Evento 
(1º Período)],tblEvento[[Evento]:[Libera o Período]],4,FALSE)),FALSE,IF(VLOOKUP(tblHorasOut[Evento 
(1º Período)],tblEvento[[Evento]:[Libera o Período]],4,FALSE)="Não",TRUE,FALSE)),IF(ISERROR(VLOOKUP(tblHorasOut[Evento 
(2º Período)],tblEvento[[Evento]:[Libera o Período]],4,FALSE)),FALSE,IF(VLOOKUP(tblHorasOut[Evento 
(2º Período)],tblEvento[[Evento]:[Libera o Período]],4,FALSE)="Não",TRUE,FALSE))),
-IF(VLOOKUP(tblHorasOut[Dia],tblDiaUtil[[Abreviatura]:[Total Jornada]],5,FALSE)&lt;&gt;"",VLOOKUP(tblHorasOut[Dia],tblDiaUtil[[Abreviatura]:[Total Jornada]],5,FALSE),JORNADA),
IF(IF(ISERROR(VLOOKUP(tblHorasOut[Evento 
(1º Período)],tblEvento[[Evento]:[Libera o Período]],4,FALSE)),FALSE,
IF(VLOOKUP(tblHorasOut[Evento 
(1º Período)],tblEvento[[Evento]:[Libera o Período]],4,FALSE)="Não",TRUE,FALSE)
),
-IF(VLOOKUP(tblHorasOut[Dia],tblDiaUtil[[Abreviatura]:[1º Período]],3,FALSE)&lt;&gt;"",VLOOKUP(tblHorasOut[Dia],tblDiaUtil[[Abreviatura]:[1º Período]],3,FALSE),JORNADA_PERIODO_1),
IF(IF(ISERROR(VLOOKUP(tblHorasOut[Evento 
(2º Período)],tblEvento[[Evento]:[Libera o Período]],4,FALSE)),FALSE,IF(VLOOKUP(tblHorasOut[Evento 
(2º Período)],tblEvento[[Evento]:[Libera o Período]],4,FALSE)="Não",TRUE,FALSE)),
-IF(VLOOKUP(tblHorasOut[Dia],tblDiaUtil[[Abreviatura]:[2º Período]],4,FALSE)&lt;&gt;"",VLOOKUP(tblHorasOut[Dia],tblDiaUtil[[Abreviatura]:[2º Período]],4,FALSE),JORNADA_PERIODO_2),0))))</f>
        <v>0</v>
      </c>
      <c r="O33" s="14">
        <f>IF(tblHorasOut[Horas Trabalhadas Além Jornada]&gt;0,
        IF(ISNUMBER(tblHorasOut[Jornada Diária]),
              IF(HOUR(tblHorasOut[Horas Trabalhadas Além Jornada])&gt;=VLOOKUP(LIMITE,tblLimiteHora[],Tabelas!$I$1,FALSE),
                    VLOOKUP(LIMITE,tblLimiteHora[],Tabelas!$J$1,FALSE),
                    tblHorasOut[Horas Trabalhadas Além Jornada]),
              tblHorasOut[Horas Trabalhadas Além Jornada]),
        tblHorasOut[Horas Trabalhadas Além Jornada])+O32</f>
        <v>0</v>
      </c>
      <c r="P33" s="14" t="str">
        <f>IF(tblHorasOut[Horas Trabalhadas Além Jornada]&lt;0,IF(OR(tblHorasOut[Evento 
(1º Período)]="",tblHorasOut[Evento 
(2º Período)]=""),tblHorasOut[Horas Trabalhadas Além Jornada],""),"")</f>
        <v/>
      </c>
      <c r="Q33" s="14" t="str">
        <f>IF(tblHorasOut[Jornada Diária]&lt;&gt;"",IF((N(tblHorasOut[Jornada Diária])-ABS(N(tblHorasOut[Horas Trabalhadas Além Jornada])))=0,1,""),"")</f>
        <v/>
      </c>
      <c r="R33" s="14" t="str">
        <f>IF(tblHorasOut[Horas Trabalhadas Além Jornada]&gt;0,
IF(AND(VLOOKUP(TEXT(tblHorasOut[Data],"dddd"),tblDiaUtil[],3,FALSE)="Sim",IF(tblHorasOut[Evento 
(1º Período)]&lt;&gt;"",IF(VLOOKUP(tblHorasOut[Evento 
(1º Período)],tblEvento[],Tabelas!$E$1,FALSE)="Sim",FALSE,TRUE),TRUE),IF(tblHorasOut[Evento 
(2º Período)]&lt;&gt;"",IF(VLOOKUP(tblHorasOut[Evento 
(2º Período)],tblEvento[],Tabelas!$E$1,FALSE)="Sim",FALSE,TRUE),TRUE)),
tblHorasOut[Horas Trabalhadas Além Jornada],""),"")</f>
        <v/>
      </c>
      <c r="S33" s="14" t="str">
        <f>IF(tblHorasOut[Horas Trabalhadas Além Jornada]&gt;0,
IF(OR(VLOOKUP(TEXT(tblHorasOut[Data],"dddd"),tblDiaUtil[],3,FALSE)="Não",IF(tblHorasOut[Evento 
(1º Período)]&lt;&gt;"",IF(VLOOKUP(tblHorasOut[Evento 
(1º Período)],tblEvento[],Tabelas!$E$1,FALSE)="Sim",TRUE,FALSE),FALSE),IF(tblHorasOut[Evento 
(2º Período)]&lt;&gt;"",IF(VLOOKUP(tblHorasOut[Evento 
(2º Período)],tblEvento[],Tabelas!$E$1,FALSE)="Sim",TRUE,FALSE),FALSE)),
tblHorasOut[Horas Trabalhadas Além Jornada],""),"")</f>
        <v/>
      </c>
      <c r="T33" s="15" t="str">
        <f>IF(tblHorasOut[Evento 
(1º Período)]&lt;&gt;""," - " &amp;VLOOKUP(tblHorasOut[Evento 
(1º Período)],tblEvento[],Tabelas!$F$1,FALSE),"")&amp;IF(AND(tblHorasOut[Evento 
(2º Período)]&lt;&gt;"",tblHorasOut[Evento 
(2º Período)]&lt;&gt;tblHorasOut[Evento 
(1º Período)])," - " &amp; VLOOKUP(tblHorasOut[Evento 
(2º Período)],tblEvento[],Tabelas!$F$1,FALSE),"")</f>
        <v/>
      </c>
    </row>
    <row r="34" spans="2:21" x14ac:dyDescent="0.25">
      <c r="B34" s="11" t="str">
        <f t="shared" si="0"/>
        <v/>
      </c>
      <c r="C34" s="12" t="str">
        <f>TEXT(tblHorasOut[Data],"ddd")</f>
        <v/>
      </c>
      <c r="D34" s="25"/>
      <c r="E34" s="1"/>
      <c r="F34" s="1"/>
      <c r="G34" s="1"/>
      <c r="H34" s="1"/>
      <c r="I34" s="53"/>
      <c r="J34" s="4">
        <f>IF($B$6&lt;&gt;"",
IF(AND(tblHorasOut[Evento 
(1º Período)]&lt;&gt;"",IF(ISERROR(VLOOKUP(tblHorasOut[Evento 
(1º Período)],tblEvento[],Tabelas!$D$1,FALSE)),FALSE,VLOOKUP(tblHorasOut[Evento 
(1º Período)],tblEvento[],Tabelas!$D$1,FALSE)="Sim")),
        IF(JORNADA_PERIODO_1&lt;&gt;"",
IF(VLOOKUP(tblHorasOut[Dia],tblDiaUtil[[Abreviatura]:[1º Período]],3,FALSE)&gt;0,VLOOKUP(tblHorasOut[Dia],tblDiaUtil[[Abreviatura]:[1º Período]],3,FALSE),JORNADA_PERIODO_1),
IF(VLOOKUP(tblHorasOut[Dia],tblDiaUtil[[Abreviatura]:[1º Período]],3,FALSE)&gt;0,VLOOKUP(tblHorasOut[Dia],tblDiaUtil[[Abreviatura]:[1º Período]],3,FALSE),JORNADA/2)),
        IF(AND(ISNUMBER(tblHorasOut[Saída - 1 (Almoço)]),ISNUMBER(tblHorasOut[Entrada - 1])),
              IF(OR(AND(tblHorasOut[Evento 
(1º Período)]&lt;&gt;"",IF(ISERROR(VLOOKUP(tblHorasOut[Evento 
(1º Período)],tblEvento[],Tabelas!$E$1,FALSE)),FALSE,VLOOKUP(tblHorasOut[Evento 
(1º Período)],tblEvento[],Tabelas!$E$1,FALSE)="Sim")),IF(VLOOKUP(TEXT(tblHorasOut[Data],"dddd"),tblDiaUtil[],2,FALSE)="Não",TRUE,FALSE)),
                   tblHorasOut[Saída - 1 (Almoço)]-tblHorasOut[Entrada - 1],
                   IF(OR(HOUR(tblHorasOut[Saída - 1 (Almoço)]-tblHorasOut[Entrada - 1])&gt;0,ROUND(tblHorasOut[Saída - 1 (Almoço)]-tblHorasOut[Entrada - 1],6)&gt;ROUND(CARENCIA,6)),
                          tblHorasOut[Saída - 1 (Almoço)]-tblHorasOut[Entrada - 1],
                          0)),
                    0)),0)</f>
        <v>0</v>
      </c>
      <c r="K34" s="4">
        <f>IF($B$6&lt;&gt;"",
IF(AND(tblHorasOut[Evento 
(2º Período)]&lt;&gt;"",IF(ISERROR(VLOOKUP(tblHorasOut[Evento 
(2º Período)],tblEvento[],Tabelas!$D$1,FALSE)),FALSE,VLOOKUP(tblHorasOut[Evento 
(2º Período)],tblEvento[],Tabelas!$D$1,FALSE)="Sim")),
        IF(JORNADA_PERIODO_2&lt;&gt;"",
IF(VLOOKUP(tblHorasOut[Dia],tblDiaUtil[[Abreviatura]:[2º Período]],4,FALSE)&gt;0,VLOOKUP(tblHorasOut[Dia],tblDiaUtil[[Abreviatura]:[2º Período]],4,FALSE),JORNADA_PERIODO_2),
IF(VLOOKUP(tblHorasOut[Dia],tblDiaUtil[[Abreviatura]:[2º Período]],4,FALSE)&gt;0,VLOOKUP(tblHorasOut[Dia],tblDiaUtil[[Abreviatura]:[2º Período]],4,FALSE),JORNADA/2)),
        IF(AND(ISNUMBER(tblHorasOut[Saída - 2]),ISNUMBER(tblHorasOut[Entrada - 2 (Almoço)])),
              IF(OR(AND(tblHorasOut[Evento 
(2º Período)]&lt;&gt;"",IF(ISERROR(VLOOKUP(tblHorasOut[Evento 
(2º Período)],tblEvento[],Tabelas!$E$1,FALSE)),FALSE,VLOOKUP(tblHorasOut[Evento 
(2º Período)],tblEvento[],Tabelas!$E$1,FALSE)="Sim")),IF(VLOOKUP(TEXT(tblHorasOut[Data],"dddd"),tblDiaUtil[],2,FALSE)="Não",TRUE,FALSE)),
                   tblHorasOut[Saída - 2]-tblHorasOut[Entrada - 2 (Almoço)],
                   IF(OR(HOUR(tblHorasOut[Saída - 2]-tblHorasOut[Entrada - 2 (Almoço)])&gt;0,MINUTE(tblHorasOut[Saída - 2]-tblHorasOut[Entrada - 2 (Almoço)])&gt;CARENCIA),
                         tblHorasOut[Saída - 2]-tblHorasOut[Entrada - 2 (Almoço)],
                         0)),
       0)),0)</f>
        <v>0</v>
      </c>
      <c r="L34" s="4">
        <f>tblHorasOut[Horas Trabalhadas (1º Período)]+tblHorasOut[Horas Trabalhadas (2º Período)]</f>
        <v>0</v>
      </c>
      <c r="M34" s="4" t="str">
        <f>IF(tblHorasOut[Data]&lt;&gt;"",
        IF(
AND(VLOOKUP(TEXT(tblHorasOut[Data],"dddd"),tblDiaUtil[],3,FALSE)="Sim",IF(tblHorasOut[Evento 
(1º Período)]&lt;&gt;"",IF(VLOOKUP(tblHorasOut[Evento 
(1º Período)],tblEvento[],Tabelas!$E$1,FALSE)="Sim",FALSE,TRUE),TRUE),IF(tblHorasOut[Evento 
(2º Período)]&lt;&gt;"",IF(VLOOKUP(tblHorasOut[Evento 
(2º Período)],tblEvento[],Tabelas!$E$1,FALSE)="Sim",FALSE,TRUE),TRUE)),
              IF(VLOOKUP(tblHorasOut[Dia],tblDiaUtil[[Abreviatura]:[1º Período]],3,FALSE)&gt;0,VLOOKUP(tblHorasOut[Dia],tblDiaUtil[[Abreviatura]:[1º Período]],3,FALSE),JORNADA),
              ""),
         "")</f>
        <v/>
      </c>
      <c r="N34" s="14">
        <f>IF(OR(tblHorasOut[Horas Trabalhadas (1º Período)]&lt;&gt;0,tblHorasOut[Horas Trabalhadas (2º Período)]&lt;&gt;0),
        IF(ISNUMBER(tblHorasOut[Jornada Diária]),
              IF(tblHorasOut[Jornada Diária]&gt;(tblHorasOut[Horas Trabalhadas (2º Período)]+tblHorasOut[Horas Trabalhadas (1º Período)]),
                     IF(ROUND((tblHorasOut[Jornada Diária]-(tblHorasOut[Horas Trabalhadas (2º Período)]+tblHorasOut[Horas Trabalhadas (1º Período)])),6)&gt;ROUND(CARENCIA,6),
                           -tblHorasOut[Jornada Diária]+(tblHorasOut[Horas Trabalhadas (2º Período)]+tblHorasOut[Horas Trabalhadas (1º Período)]),
                           0),
                      IF(ROUND((tblHorasOut[Jornada Diária]-(tblHorasOut[Horas Trabalhadas (2º Período)]+tblHorasOut[Horas Trabalhadas (1º Período)])),6)&lt;ROUND(-CARENCIA,6),
                           -tblHorasOut[Jornada Diária]+(tblHorasOut[Horas Trabalhadas (2º Período)]+tblHorasOut[Horas Trabalhadas (1º Período)]),
                           0)),
              tblHorasOut[Horas Trabalhadas (2º Período)]+tblHorasOut[Horas Trabalhadas (1º Período)]),
         IF(AND(IF(ISERROR(VLOOKUP(tblHorasOut[Evento 
(1º Período)],tblEvento[[Evento]:[Libera o Período]],4,FALSE)),FALSE,IF(VLOOKUP(tblHorasOut[Evento 
(1º Período)],tblEvento[[Evento]:[Libera o Período]],4,FALSE)="Não",TRUE,FALSE)),IF(ISERROR(VLOOKUP(tblHorasOut[Evento 
(2º Período)],tblEvento[[Evento]:[Libera o Período]],4,FALSE)),FALSE,IF(VLOOKUP(tblHorasOut[Evento 
(2º Período)],tblEvento[[Evento]:[Libera o Período]],4,FALSE)="Não",TRUE,FALSE))),
-IF(VLOOKUP(tblHorasOut[Dia],tblDiaUtil[[Abreviatura]:[Total Jornada]],5,FALSE)&lt;&gt;"",VLOOKUP(tblHorasOut[Dia],tblDiaUtil[[Abreviatura]:[Total Jornada]],5,FALSE),JORNADA),
IF(IF(ISERROR(VLOOKUP(tblHorasOut[Evento 
(1º Período)],tblEvento[[Evento]:[Libera o Período]],4,FALSE)),FALSE,
IF(VLOOKUP(tblHorasOut[Evento 
(1º Período)],tblEvento[[Evento]:[Libera o Período]],4,FALSE)="Não",TRUE,FALSE)
),
-IF(VLOOKUP(tblHorasOut[Dia],tblDiaUtil[[Abreviatura]:[1º Período]],3,FALSE)&lt;&gt;"",VLOOKUP(tblHorasOut[Dia],tblDiaUtil[[Abreviatura]:[1º Período]],3,FALSE),JORNADA_PERIODO_1),
IF(IF(ISERROR(VLOOKUP(tblHorasOut[Evento 
(2º Período)],tblEvento[[Evento]:[Libera o Período]],4,FALSE)),FALSE,IF(VLOOKUP(tblHorasOut[Evento 
(2º Período)],tblEvento[[Evento]:[Libera o Período]],4,FALSE)="Não",TRUE,FALSE)),
-IF(VLOOKUP(tblHorasOut[Dia],tblDiaUtil[[Abreviatura]:[2º Período]],4,FALSE)&lt;&gt;"",VLOOKUP(tblHorasOut[Dia],tblDiaUtil[[Abreviatura]:[2º Período]],4,FALSE),JORNADA_PERIODO_2),0))))</f>
        <v>0</v>
      </c>
      <c r="O34" s="14">
        <f>IF(tblHorasOut[Horas Trabalhadas Além Jornada]&gt;0,
        IF(ISNUMBER(tblHorasOut[Jornada Diária]),
              IF(HOUR(tblHorasOut[Horas Trabalhadas Além Jornada])&gt;=VLOOKUP(LIMITE,tblLimiteHora[],Tabelas!$I$1,FALSE),
                    VLOOKUP(LIMITE,tblLimiteHora[],Tabelas!$J$1,FALSE),
                    tblHorasOut[Horas Trabalhadas Além Jornada]),
              tblHorasOut[Horas Trabalhadas Além Jornada]),
        tblHorasOut[Horas Trabalhadas Além Jornada])+O33</f>
        <v>0</v>
      </c>
      <c r="P34" s="14" t="str">
        <f>IF(tblHorasOut[Horas Trabalhadas Além Jornada]&lt;0,IF(OR(tblHorasOut[Evento 
(1º Período)]="",tblHorasOut[Evento 
(2º Período)]=""),tblHorasOut[Horas Trabalhadas Além Jornada],""),"")</f>
        <v/>
      </c>
      <c r="Q34" s="14" t="str">
        <f>IF(tblHorasOut[Jornada Diária]&lt;&gt;"",IF((N(tblHorasOut[Jornada Diária])-ABS(N(tblHorasOut[Horas Trabalhadas Além Jornada])))=0,1,""),"")</f>
        <v/>
      </c>
      <c r="R34" s="14" t="str">
        <f>IF(tblHorasOut[Horas Trabalhadas Além Jornada]&gt;0,
IF(AND(VLOOKUP(TEXT(tblHorasOut[Data],"dddd"),tblDiaUtil[],3,FALSE)="Sim",IF(tblHorasOut[Evento 
(1º Período)]&lt;&gt;"",IF(VLOOKUP(tblHorasOut[Evento 
(1º Período)],tblEvento[],Tabelas!$E$1,FALSE)="Sim",FALSE,TRUE),TRUE),IF(tblHorasOut[Evento 
(2º Período)]&lt;&gt;"",IF(VLOOKUP(tblHorasOut[Evento 
(2º Período)],tblEvento[],Tabelas!$E$1,FALSE)="Sim",FALSE,TRUE),TRUE)),
tblHorasOut[Horas Trabalhadas Além Jornada],""),"")</f>
        <v/>
      </c>
      <c r="S34" s="14" t="str">
        <f>IF(tblHorasOut[Horas Trabalhadas Além Jornada]&gt;0,
IF(OR(VLOOKUP(TEXT(tblHorasOut[Data],"dddd"),tblDiaUtil[],3,FALSE)="Não",IF(tblHorasOut[Evento 
(1º Período)]&lt;&gt;"",IF(VLOOKUP(tblHorasOut[Evento 
(1º Período)],tblEvento[],Tabelas!$E$1,FALSE)="Sim",TRUE,FALSE),FALSE),IF(tblHorasOut[Evento 
(2º Período)]&lt;&gt;"",IF(VLOOKUP(tblHorasOut[Evento 
(2º Período)],tblEvento[],Tabelas!$E$1,FALSE)="Sim",TRUE,FALSE),FALSE)),
tblHorasOut[Horas Trabalhadas Além Jornada],""),"")</f>
        <v/>
      </c>
      <c r="T34" s="15" t="str">
        <f>IF(tblHorasOut[Evento 
(1º Período)]&lt;&gt;""," - " &amp;VLOOKUP(tblHorasOut[Evento 
(1º Período)],tblEvento[],Tabelas!$F$1,FALSE),"")&amp;IF(AND(tblHorasOut[Evento 
(2º Período)]&lt;&gt;"",tblHorasOut[Evento 
(2º Período)]&lt;&gt;tblHorasOut[Evento 
(1º Período)])," - " &amp; VLOOKUP(tblHorasOut[Evento 
(2º Período)],tblEvento[],Tabelas!$F$1,FALSE),"")</f>
        <v/>
      </c>
    </row>
    <row r="35" spans="2:21" x14ac:dyDescent="0.25">
      <c r="B35" s="11" t="str">
        <f t="shared" si="0"/>
        <v/>
      </c>
      <c r="C35" s="12" t="str">
        <f>TEXT(tblHorasOut[Data],"ddd")</f>
        <v/>
      </c>
      <c r="D35" s="25"/>
      <c r="E35" s="1"/>
      <c r="F35" s="1"/>
      <c r="G35" s="1"/>
      <c r="H35" s="1"/>
      <c r="I35" s="53"/>
      <c r="J35" s="4">
        <f>IF($B$6&lt;&gt;"",
IF(AND(tblHorasOut[Evento 
(1º Período)]&lt;&gt;"",IF(ISERROR(VLOOKUP(tblHorasOut[Evento 
(1º Período)],tblEvento[],Tabelas!$D$1,FALSE)),FALSE,VLOOKUP(tblHorasOut[Evento 
(1º Período)],tblEvento[],Tabelas!$D$1,FALSE)="Sim")),
        IF(JORNADA_PERIODO_1&lt;&gt;"",
IF(VLOOKUP(tblHorasOut[Dia],tblDiaUtil[[Abreviatura]:[1º Período]],3,FALSE)&gt;0,VLOOKUP(tblHorasOut[Dia],tblDiaUtil[[Abreviatura]:[1º Período]],3,FALSE),JORNADA_PERIODO_1),
IF(VLOOKUP(tblHorasOut[Dia],tblDiaUtil[[Abreviatura]:[1º Período]],3,FALSE)&gt;0,VLOOKUP(tblHorasOut[Dia],tblDiaUtil[[Abreviatura]:[1º Período]],3,FALSE),JORNADA/2)),
        IF(AND(ISNUMBER(tblHorasOut[Saída - 1 (Almoço)]),ISNUMBER(tblHorasOut[Entrada - 1])),
              IF(OR(AND(tblHorasOut[Evento 
(1º Período)]&lt;&gt;"",IF(ISERROR(VLOOKUP(tblHorasOut[Evento 
(1º Período)],tblEvento[],Tabelas!$E$1,FALSE)),FALSE,VLOOKUP(tblHorasOut[Evento 
(1º Período)],tblEvento[],Tabelas!$E$1,FALSE)="Sim")),IF(VLOOKUP(TEXT(tblHorasOut[Data],"dddd"),tblDiaUtil[],2,FALSE)="Não",TRUE,FALSE)),
                   tblHorasOut[Saída - 1 (Almoço)]-tblHorasOut[Entrada - 1],
                   IF(OR(HOUR(tblHorasOut[Saída - 1 (Almoço)]-tblHorasOut[Entrada - 1])&gt;0,ROUND(tblHorasOut[Saída - 1 (Almoço)]-tblHorasOut[Entrada - 1],6)&gt;ROUND(CARENCIA,6)),
                          tblHorasOut[Saída - 1 (Almoço)]-tblHorasOut[Entrada - 1],
                          0)),
                    0)),0)</f>
        <v>0</v>
      </c>
      <c r="K35" s="4">
        <f>IF($B$6&lt;&gt;"",
IF(AND(tblHorasOut[Evento 
(2º Período)]&lt;&gt;"",IF(ISERROR(VLOOKUP(tblHorasOut[Evento 
(2º Período)],tblEvento[],Tabelas!$D$1,FALSE)),FALSE,VLOOKUP(tblHorasOut[Evento 
(2º Período)],tblEvento[],Tabelas!$D$1,FALSE)="Sim")),
        IF(JORNADA_PERIODO_2&lt;&gt;"",
IF(VLOOKUP(tblHorasOut[Dia],tblDiaUtil[[Abreviatura]:[2º Período]],4,FALSE)&gt;0,VLOOKUP(tblHorasOut[Dia],tblDiaUtil[[Abreviatura]:[2º Período]],4,FALSE),JORNADA_PERIODO_2),
IF(VLOOKUP(tblHorasOut[Dia],tblDiaUtil[[Abreviatura]:[2º Período]],4,FALSE)&gt;0,VLOOKUP(tblHorasOut[Dia],tblDiaUtil[[Abreviatura]:[2º Período]],4,FALSE),JORNADA/2)),
        IF(AND(ISNUMBER(tblHorasOut[Saída - 2]),ISNUMBER(tblHorasOut[Entrada - 2 (Almoço)])),
              IF(OR(AND(tblHorasOut[Evento 
(2º Período)]&lt;&gt;"",IF(ISERROR(VLOOKUP(tblHorasOut[Evento 
(2º Período)],tblEvento[],Tabelas!$E$1,FALSE)),FALSE,VLOOKUP(tblHorasOut[Evento 
(2º Período)],tblEvento[],Tabelas!$E$1,FALSE)="Sim")),IF(VLOOKUP(TEXT(tblHorasOut[Data],"dddd"),tblDiaUtil[],2,FALSE)="Não",TRUE,FALSE)),
                   tblHorasOut[Saída - 2]-tblHorasOut[Entrada - 2 (Almoço)],
                   IF(OR(HOUR(tblHorasOut[Saída - 2]-tblHorasOut[Entrada - 2 (Almoço)])&gt;0,MINUTE(tblHorasOut[Saída - 2]-tblHorasOut[Entrada - 2 (Almoço)])&gt;CARENCIA),
                         tblHorasOut[Saída - 2]-tblHorasOut[Entrada - 2 (Almoço)],
                         0)),
       0)),0)</f>
        <v>0</v>
      </c>
      <c r="L35" s="4">
        <f>tblHorasOut[Horas Trabalhadas (1º Período)]+tblHorasOut[Horas Trabalhadas (2º Período)]</f>
        <v>0</v>
      </c>
      <c r="M35" s="4" t="str">
        <f>IF(tblHorasOut[Data]&lt;&gt;"",
        IF(
AND(VLOOKUP(TEXT(tblHorasOut[Data],"dddd"),tblDiaUtil[],3,FALSE)="Sim",IF(tblHorasOut[Evento 
(1º Período)]&lt;&gt;"",IF(VLOOKUP(tblHorasOut[Evento 
(1º Período)],tblEvento[],Tabelas!$E$1,FALSE)="Sim",FALSE,TRUE),TRUE),IF(tblHorasOut[Evento 
(2º Período)]&lt;&gt;"",IF(VLOOKUP(tblHorasOut[Evento 
(2º Período)],tblEvento[],Tabelas!$E$1,FALSE)="Sim",FALSE,TRUE),TRUE)),
              IF(VLOOKUP(tblHorasOut[Dia],tblDiaUtil[[Abreviatura]:[1º Período]],3,FALSE)&gt;0,VLOOKUP(tblHorasOut[Dia],tblDiaUtil[[Abreviatura]:[1º Período]],3,FALSE),JORNADA),
              ""),
         "")</f>
        <v/>
      </c>
      <c r="N35" s="14">
        <f>IF(OR(tblHorasOut[Horas Trabalhadas (1º Período)]&lt;&gt;0,tblHorasOut[Horas Trabalhadas (2º Período)]&lt;&gt;0),
        IF(ISNUMBER(tblHorasOut[Jornada Diária]),
              IF(tblHorasOut[Jornada Diária]&gt;(tblHorasOut[Horas Trabalhadas (2º Período)]+tblHorasOut[Horas Trabalhadas (1º Período)]),
                     IF(ROUND((tblHorasOut[Jornada Diária]-(tblHorasOut[Horas Trabalhadas (2º Período)]+tblHorasOut[Horas Trabalhadas (1º Período)])),6)&gt;ROUND(CARENCIA,6),
                           -tblHorasOut[Jornada Diária]+(tblHorasOut[Horas Trabalhadas (2º Período)]+tblHorasOut[Horas Trabalhadas (1º Período)]),
                           0),
                      IF(ROUND((tblHorasOut[Jornada Diária]-(tblHorasOut[Horas Trabalhadas (2º Período)]+tblHorasOut[Horas Trabalhadas (1º Período)])),6)&lt;ROUND(-CARENCIA,6),
                           -tblHorasOut[Jornada Diária]+(tblHorasOut[Horas Trabalhadas (2º Período)]+tblHorasOut[Horas Trabalhadas (1º Período)]),
                           0)),
              tblHorasOut[Horas Trabalhadas (2º Período)]+tblHorasOut[Horas Trabalhadas (1º Período)]),
         IF(AND(IF(ISERROR(VLOOKUP(tblHorasOut[Evento 
(1º Período)],tblEvento[[Evento]:[Libera o Período]],4,FALSE)),FALSE,IF(VLOOKUP(tblHorasOut[Evento 
(1º Período)],tblEvento[[Evento]:[Libera o Período]],4,FALSE)="Não",TRUE,FALSE)),IF(ISERROR(VLOOKUP(tblHorasOut[Evento 
(2º Período)],tblEvento[[Evento]:[Libera o Período]],4,FALSE)),FALSE,IF(VLOOKUP(tblHorasOut[Evento 
(2º Período)],tblEvento[[Evento]:[Libera o Período]],4,FALSE)="Não",TRUE,FALSE))),
-IF(VLOOKUP(tblHorasOut[Dia],tblDiaUtil[[Abreviatura]:[Total Jornada]],5,FALSE)&lt;&gt;"",VLOOKUP(tblHorasOut[Dia],tblDiaUtil[[Abreviatura]:[Total Jornada]],5,FALSE),JORNADA),
IF(IF(ISERROR(VLOOKUP(tblHorasOut[Evento 
(1º Período)],tblEvento[[Evento]:[Libera o Período]],4,FALSE)),FALSE,
IF(VLOOKUP(tblHorasOut[Evento 
(1º Período)],tblEvento[[Evento]:[Libera o Período]],4,FALSE)="Não",TRUE,FALSE)
),
-IF(VLOOKUP(tblHorasOut[Dia],tblDiaUtil[[Abreviatura]:[1º Período]],3,FALSE)&lt;&gt;"",VLOOKUP(tblHorasOut[Dia],tblDiaUtil[[Abreviatura]:[1º Período]],3,FALSE),JORNADA_PERIODO_1),
IF(IF(ISERROR(VLOOKUP(tblHorasOut[Evento 
(2º Período)],tblEvento[[Evento]:[Libera o Período]],4,FALSE)),FALSE,IF(VLOOKUP(tblHorasOut[Evento 
(2º Período)],tblEvento[[Evento]:[Libera o Período]],4,FALSE)="Não",TRUE,FALSE)),
-IF(VLOOKUP(tblHorasOut[Dia],tblDiaUtil[[Abreviatura]:[2º Período]],4,FALSE)&lt;&gt;"",VLOOKUP(tblHorasOut[Dia],tblDiaUtil[[Abreviatura]:[2º Período]],4,FALSE),JORNADA_PERIODO_2),0))))</f>
        <v>0</v>
      </c>
      <c r="O35" s="14">
        <f>IF(tblHorasOut[Horas Trabalhadas Além Jornada]&gt;0,
        IF(ISNUMBER(tblHorasOut[Jornada Diária]),
              IF(HOUR(tblHorasOut[Horas Trabalhadas Além Jornada])&gt;=VLOOKUP(LIMITE,tblLimiteHora[],Tabelas!$I$1,FALSE),
                    VLOOKUP(LIMITE,tblLimiteHora[],Tabelas!$J$1,FALSE),
                    tblHorasOut[Horas Trabalhadas Além Jornada]),
              tblHorasOut[Horas Trabalhadas Além Jornada]),
        tblHorasOut[Horas Trabalhadas Além Jornada])+O34</f>
        <v>0</v>
      </c>
      <c r="P35" s="14" t="str">
        <f>IF(tblHorasOut[Horas Trabalhadas Além Jornada]&lt;0,IF(OR(tblHorasOut[Evento 
(1º Período)]="",tblHorasOut[Evento 
(2º Período)]=""),tblHorasOut[Horas Trabalhadas Além Jornada],""),"")</f>
        <v/>
      </c>
      <c r="Q35" s="14" t="str">
        <f>IF(tblHorasOut[Jornada Diária]&lt;&gt;"",IF((N(tblHorasOut[Jornada Diária])-ABS(N(tblHorasOut[Horas Trabalhadas Além Jornada])))=0,1,""),"")</f>
        <v/>
      </c>
      <c r="R35" s="14" t="str">
        <f>IF(tblHorasOut[Horas Trabalhadas Além Jornada]&gt;0,
IF(AND(VLOOKUP(TEXT(tblHorasOut[Data],"dddd"),tblDiaUtil[],3,FALSE)="Sim",IF(tblHorasOut[Evento 
(1º Período)]&lt;&gt;"",IF(VLOOKUP(tblHorasOut[Evento 
(1º Período)],tblEvento[],Tabelas!$E$1,FALSE)="Sim",FALSE,TRUE),TRUE),IF(tblHorasOut[Evento 
(2º Período)]&lt;&gt;"",IF(VLOOKUP(tblHorasOut[Evento 
(2º Período)],tblEvento[],Tabelas!$E$1,FALSE)="Sim",FALSE,TRUE),TRUE)),
tblHorasOut[Horas Trabalhadas Além Jornada],""),"")</f>
        <v/>
      </c>
      <c r="S35" s="14" t="str">
        <f>IF(tblHorasOut[Horas Trabalhadas Além Jornada]&gt;0,
IF(OR(VLOOKUP(TEXT(tblHorasOut[Data],"dddd"),tblDiaUtil[],3,FALSE)="Não",IF(tblHorasOut[Evento 
(1º Período)]&lt;&gt;"",IF(VLOOKUP(tblHorasOut[Evento 
(1º Período)],tblEvento[],Tabelas!$E$1,FALSE)="Sim",TRUE,FALSE),FALSE),IF(tblHorasOut[Evento 
(2º Período)]&lt;&gt;"",IF(VLOOKUP(tblHorasOut[Evento 
(2º Período)],tblEvento[],Tabelas!$E$1,FALSE)="Sim",TRUE,FALSE),FALSE)),
tblHorasOut[Horas Trabalhadas Além Jornada],""),"")</f>
        <v/>
      </c>
      <c r="T35" s="15" t="str">
        <f>IF(tblHorasOut[Evento 
(1º Período)]&lt;&gt;""," - " &amp;VLOOKUP(tblHorasOut[Evento 
(1º Período)],tblEvento[],Tabelas!$F$1,FALSE),"")&amp;IF(AND(tblHorasOut[Evento 
(2º Período)]&lt;&gt;"",tblHorasOut[Evento 
(2º Período)]&lt;&gt;tblHorasOut[Evento 
(1º Período)])," - " &amp; VLOOKUP(tblHorasOut[Evento 
(2º Período)],tblEvento[],Tabelas!$F$1,FALSE),"")</f>
        <v/>
      </c>
    </row>
    <row r="36" spans="2:21" x14ac:dyDescent="0.25">
      <c r="B36" s="11" t="str">
        <f t="shared" si="0"/>
        <v/>
      </c>
      <c r="C36" s="12" t="str">
        <f>TEXT(tblHorasOut[Data],"ddd")</f>
        <v/>
      </c>
      <c r="D36" s="25"/>
      <c r="E36" s="1"/>
      <c r="F36" s="1"/>
      <c r="G36" s="1"/>
      <c r="H36" s="1"/>
      <c r="I36" s="53"/>
      <c r="J36" s="4">
        <f>IF($B$6&lt;&gt;"",
IF(AND(tblHorasOut[Evento 
(1º Período)]&lt;&gt;"",IF(ISERROR(VLOOKUP(tblHorasOut[Evento 
(1º Período)],tblEvento[],Tabelas!$D$1,FALSE)),FALSE,VLOOKUP(tblHorasOut[Evento 
(1º Período)],tblEvento[],Tabelas!$D$1,FALSE)="Sim")),
        IF(JORNADA_PERIODO_1&lt;&gt;"",
IF(VLOOKUP(tblHorasOut[Dia],tblDiaUtil[[Abreviatura]:[1º Período]],3,FALSE)&gt;0,VLOOKUP(tblHorasOut[Dia],tblDiaUtil[[Abreviatura]:[1º Período]],3,FALSE),JORNADA_PERIODO_1),
IF(VLOOKUP(tblHorasOut[Dia],tblDiaUtil[[Abreviatura]:[1º Período]],3,FALSE)&gt;0,VLOOKUP(tblHorasOut[Dia],tblDiaUtil[[Abreviatura]:[1º Período]],3,FALSE),JORNADA/2)),
        IF(AND(ISNUMBER(tblHorasOut[Saída - 1 (Almoço)]),ISNUMBER(tblHorasOut[Entrada - 1])),
              IF(OR(AND(tblHorasOut[Evento 
(1º Período)]&lt;&gt;"",IF(ISERROR(VLOOKUP(tblHorasOut[Evento 
(1º Período)],tblEvento[],Tabelas!$E$1,FALSE)),FALSE,VLOOKUP(tblHorasOut[Evento 
(1º Período)],tblEvento[],Tabelas!$E$1,FALSE)="Sim")),IF(VLOOKUP(TEXT(tblHorasOut[Data],"dddd"),tblDiaUtil[],2,FALSE)="Não",TRUE,FALSE)),
                   tblHorasOut[Saída - 1 (Almoço)]-tblHorasOut[Entrada - 1],
                   IF(OR(HOUR(tblHorasOut[Saída - 1 (Almoço)]-tblHorasOut[Entrada - 1])&gt;0,ROUND(tblHorasOut[Saída - 1 (Almoço)]-tblHorasOut[Entrada - 1],6)&gt;ROUND(CARENCIA,6)),
                          tblHorasOut[Saída - 1 (Almoço)]-tblHorasOut[Entrada - 1],
                          0)),
                    0)),0)</f>
        <v>0</v>
      </c>
      <c r="K36" s="4">
        <f>IF($B$6&lt;&gt;"",
IF(AND(tblHorasOut[Evento 
(2º Período)]&lt;&gt;"",IF(ISERROR(VLOOKUP(tblHorasOut[Evento 
(2º Período)],tblEvento[],Tabelas!$D$1,FALSE)),FALSE,VLOOKUP(tblHorasOut[Evento 
(2º Período)],tblEvento[],Tabelas!$D$1,FALSE)="Sim")),
        IF(JORNADA_PERIODO_2&lt;&gt;"",
IF(VLOOKUP(tblHorasOut[Dia],tblDiaUtil[[Abreviatura]:[2º Período]],4,FALSE)&gt;0,VLOOKUP(tblHorasOut[Dia],tblDiaUtil[[Abreviatura]:[2º Período]],4,FALSE),JORNADA_PERIODO_2),
IF(VLOOKUP(tblHorasOut[Dia],tblDiaUtil[[Abreviatura]:[2º Período]],4,FALSE)&gt;0,VLOOKUP(tblHorasOut[Dia],tblDiaUtil[[Abreviatura]:[2º Período]],4,FALSE),JORNADA/2)),
        IF(AND(ISNUMBER(tblHorasOut[Saída - 2]),ISNUMBER(tblHorasOut[Entrada - 2 (Almoço)])),
              IF(OR(AND(tblHorasOut[Evento 
(2º Período)]&lt;&gt;"",IF(ISERROR(VLOOKUP(tblHorasOut[Evento 
(2º Período)],tblEvento[],Tabelas!$E$1,FALSE)),FALSE,VLOOKUP(tblHorasOut[Evento 
(2º Período)],tblEvento[],Tabelas!$E$1,FALSE)="Sim")),IF(VLOOKUP(TEXT(tblHorasOut[Data],"dddd"),tblDiaUtil[],2,FALSE)="Não",TRUE,FALSE)),
                   tblHorasOut[Saída - 2]-tblHorasOut[Entrada - 2 (Almoço)],
                   IF(OR(HOUR(tblHorasOut[Saída - 2]-tblHorasOut[Entrada - 2 (Almoço)])&gt;0,MINUTE(tblHorasOut[Saída - 2]-tblHorasOut[Entrada - 2 (Almoço)])&gt;CARENCIA),
                         tblHorasOut[Saída - 2]-tblHorasOut[Entrada - 2 (Almoço)],
                         0)),
       0)),0)</f>
        <v>0</v>
      </c>
      <c r="L36" s="4">
        <f>tblHorasOut[Horas Trabalhadas (1º Período)]+tblHorasOut[Horas Trabalhadas (2º Período)]</f>
        <v>0</v>
      </c>
      <c r="M36" s="4" t="str">
        <f>IF(tblHorasOut[Data]&lt;&gt;"",
        IF(
AND(VLOOKUP(TEXT(tblHorasOut[Data],"dddd"),tblDiaUtil[],3,FALSE)="Sim",IF(tblHorasOut[Evento 
(1º Período)]&lt;&gt;"",IF(VLOOKUP(tblHorasOut[Evento 
(1º Período)],tblEvento[],Tabelas!$E$1,FALSE)="Sim",FALSE,TRUE),TRUE),IF(tblHorasOut[Evento 
(2º Período)]&lt;&gt;"",IF(VLOOKUP(tblHorasOut[Evento 
(2º Período)],tblEvento[],Tabelas!$E$1,FALSE)="Sim",FALSE,TRUE),TRUE)),
              IF(VLOOKUP(tblHorasOut[Dia],tblDiaUtil[[Abreviatura]:[1º Período]],3,FALSE)&gt;0,VLOOKUP(tblHorasOut[Dia],tblDiaUtil[[Abreviatura]:[1º Período]],3,FALSE),JORNADA),
              ""),
         "")</f>
        <v/>
      </c>
      <c r="N36" s="14">
        <f>IF(OR(tblHorasOut[Horas Trabalhadas (1º Período)]&lt;&gt;0,tblHorasOut[Horas Trabalhadas (2º Período)]&lt;&gt;0),
        IF(ISNUMBER(tblHorasOut[Jornada Diária]),
              IF(tblHorasOut[Jornada Diária]&gt;(tblHorasOut[Horas Trabalhadas (2º Período)]+tblHorasOut[Horas Trabalhadas (1º Período)]),
                     IF(ROUND((tblHorasOut[Jornada Diária]-(tblHorasOut[Horas Trabalhadas (2º Período)]+tblHorasOut[Horas Trabalhadas (1º Período)])),6)&gt;ROUND(CARENCIA,6),
                           -tblHorasOut[Jornada Diária]+(tblHorasOut[Horas Trabalhadas (2º Período)]+tblHorasOut[Horas Trabalhadas (1º Período)]),
                           0),
                      IF(ROUND((tblHorasOut[Jornada Diária]-(tblHorasOut[Horas Trabalhadas (2º Período)]+tblHorasOut[Horas Trabalhadas (1º Período)])),6)&lt;ROUND(-CARENCIA,6),
                           -tblHorasOut[Jornada Diária]+(tblHorasOut[Horas Trabalhadas (2º Período)]+tblHorasOut[Horas Trabalhadas (1º Período)]),
                           0)),
              tblHorasOut[Horas Trabalhadas (2º Período)]+tblHorasOut[Horas Trabalhadas (1º Período)]),
         IF(AND(IF(ISERROR(VLOOKUP(tblHorasOut[Evento 
(1º Período)],tblEvento[[Evento]:[Libera o Período]],4,FALSE)),FALSE,IF(VLOOKUP(tblHorasOut[Evento 
(1º Período)],tblEvento[[Evento]:[Libera o Período]],4,FALSE)="Não",TRUE,FALSE)),IF(ISERROR(VLOOKUP(tblHorasOut[Evento 
(2º Período)],tblEvento[[Evento]:[Libera o Período]],4,FALSE)),FALSE,IF(VLOOKUP(tblHorasOut[Evento 
(2º Período)],tblEvento[[Evento]:[Libera o Período]],4,FALSE)="Não",TRUE,FALSE))),
-IF(VLOOKUP(tblHorasOut[Dia],tblDiaUtil[[Abreviatura]:[Total Jornada]],5,FALSE)&lt;&gt;"",VLOOKUP(tblHorasOut[Dia],tblDiaUtil[[Abreviatura]:[Total Jornada]],5,FALSE),JORNADA),
IF(IF(ISERROR(VLOOKUP(tblHorasOut[Evento 
(1º Período)],tblEvento[[Evento]:[Libera o Período]],4,FALSE)),FALSE,
IF(VLOOKUP(tblHorasOut[Evento 
(1º Período)],tblEvento[[Evento]:[Libera o Período]],4,FALSE)="Não",TRUE,FALSE)
),
-IF(VLOOKUP(tblHorasOut[Dia],tblDiaUtil[[Abreviatura]:[1º Período]],3,FALSE)&lt;&gt;"",VLOOKUP(tblHorasOut[Dia],tblDiaUtil[[Abreviatura]:[1º Período]],3,FALSE),JORNADA_PERIODO_1),
IF(IF(ISERROR(VLOOKUP(tblHorasOut[Evento 
(2º Período)],tblEvento[[Evento]:[Libera o Período]],4,FALSE)),FALSE,IF(VLOOKUP(tblHorasOut[Evento 
(2º Período)],tblEvento[[Evento]:[Libera o Período]],4,FALSE)="Não",TRUE,FALSE)),
-IF(VLOOKUP(tblHorasOut[Dia],tblDiaUtil[[Abreviatura]:[2º Período]],4,FALSE)&lt;&gt;"",VLOOKUP(tblHorasOut[Dia],tblDiaUtil[[Abreviatura]:[2º Período]],4,FALSE),JORNADA_PERIODO_2),0))))</f>
        <v>0</v>
      </c>
      <c r="O36" s="14">
        <f>IF(tblHorasOut[Horas Trabalhadas Além Jornada]&gt;0,
        IF(ISNUMBER(tblHorasOut[Jornada Diária]),
              IF(HOUR(tblHorasOut[Horas Trabalhadas Além Jornada])&gt;=VLOOKUP(LIMITE,tblLimiteHora[],Tabelas!$I$1,FALSE),
                    VLOOKUP(LIMITE,tblLimiteHora[],Tabelas!$J$1,FALSE),
                    tblHorasOut[Horas Trabalhadas Além Jornada]),
              tblHorasOut[Horas Trabalhadas Além Jornada]),
        tblHorasOut[Horas Trabalhadas Além Jornada])+O35</f>
        <v>0</v>
      </c>
      <c r="P36" s="14" t="str">
        <f>IF(tblHorasOut[Horas Trabalhadas Além Jornada]&lt;0,IF(OR(tblHorasOut[Evento 
(1º Período)]="",tblHorasOut[Evento 
(2º Período)]=""),tblHorasOut[Horas Trabalhadas Além Jornada],""),"")</f>
        <v/>
      </c>
      <c r="Q36" s="14" t="str">
        <f>IF(tblHorasOut[Jornada Diária]&lt;&gt;"",IF((N(tblHorasOut[Jornada Diária])-ABS(N(tblHorasOut[Horas Trabalhadas Além Jornada])))=0,1,""),"")</f>
        <v/>
      </c>
      <c r="R36" s="14" t="str">
        <f>IF(tblHorasOut[Horas Trabalhadas Além Jornada]&gt;0,
IF(AND(VLOOKUP(TEXT(tblHorasOut[Data],"dddd"),tblDiaUtil[],3,FALSE)="Sim",IF(tblHorasOut[Evento 
(1º Período)]&lt;&gt;"",IF(VLOOKUP(tblHorasOut[Evento 
(1º Período)],tblEvento[],Tabelas!$E$1,FALSE)="Sim",FALSE,TRUE),TRUE),IF(tblHorasOut[Evento 
(2º Período)]&lt;&gt;"",IF(VLOOKUP(tblHorasOut[Evento 
(2º Período)],tblEvento[],Tabelas!$E$1,FALSE)="Sim",FALSE,TRUE),TRUE)),
tblHorasOut[Horas Trabalhadas Além Jornada],""),"")</f>
        <v/>
      </c>
      <c r="S36" s="14" t="str">
        <f>IF(tblHorasOut[Horas Trabalhadas Além Jornada]&gt;0,
IF(OR(VLOOKUP(TEXT(tblHorasOut[Data],"dddd"),tblDiaUtil[],3,FALSE)="Não",IF(tblHorasOut[Evento 
(1º Período)]&lt;&gt;"",IF(VLOOKUP(tblHorasOut[Evento 
(1º Período)],tblEvento[],Tabelas!$E$1,FALSE)="Sim",TRUE,FALSE),FALSE),IF(tblHorasOut[Evento 
(2º Período)]&lt;&gt;"",IF(VLOOKUP(tblHorasOut[Evento 
(2º Período)],tblEvento[],Tabelas!$E$1,FALSE)="Sim",TRUE,FALSE),FALSE)),
tblHorasOut[Horas Trabalhadas Além Jornada],""),"")</f>
        <v/>
      </c>
      <c r="T36" s="15" t="str">
        <f>IF(tblHorasOut[Evento 
(1º Período)]&lt;&gt;""," - " &amp;VLOOKUP(tblHorasOut[Evento 
(1º Período)],tblEvento[],Tabelas!$F$1,FALSE),"")&amp;IF(AND(tblHorasOut[Evento 
(2º Período)]&lt;&gt;"",tblHorasOut[Evento 
(2º Período)]&lt;&gt;tblHorasOut[Evento 
(1º Período)])," - " &amp; VLOOKUP(tblHorasOut[Evento 
(2º Período)],tblEvento[],Tabelas!$F$1,FALSE),"")</f>
        <v/>
      </c>
    </row>
    <row r="37" spans="2:21" x14ac:dyDescent="0.25">
      <c r="B37" s="11" t="str">
        <f t="shared" si="0"/>
        <v/>
      </c>
      <c r="C37" s="12" t="str">
        <f>TEXT(tblHorasOut[Data],"ddd")</f>
        <v/>
      </c>
      <c r="D37" s="25"/>
      <c r="E37" s="1"/>
      <c r="F37" s="1"/>
      <c r="G37" s="1"/>
      <c r="H37" s="1"/>
      <c r="I37" s="53"/>
      <c r="J37" s="4">
        <f>IF($B$6&lt;&gt;"",
IF(AND(tblHorasOut[Evento 
(1º Período)]&lt;&gt;"",IF(ISERROR(VLOOKUP(tblHorasOut[Evento 
(1º Período)],tblEvento[],Tabelas!$D$1,FALSE)),FALSE,VLOOKUP(tblHorasOut[Evento 
(1º Período)],tblEvento[],Tabelas!$D$1,FALSE)="Sim")),
        IF(JORNADA_PERIODO_1&lt;&gt;"",
IF(VLOOKUP(tblHorasOut[Dia],tblDiaUtil[[Abreviatura]:[1º Período]],3,FALSE)&gt;0,VLOOKUP(tblHorasOut[Dia],tblDiaUtil[[Abreviatura]:[1º Período]],3,FALSE),JORNADA_PERIODO_1),
IF(VLOOKUP(tblHorasOut[Dia],tblDiaUtil[[Abreviatura]:[1º Período]],3,FALSE)&gt;0,VLOOKUP(tblHorasOut[Dia],tblDiaUtil[[Abreviatura]:[1º Período]],3,FALSE),JORNADA/2)),
        IF(AND(ISNUMBER(tblHorasOut[Saída - 1 (Almoço)]),ISNUMBER(tblHorasOut[Entrada - 1])),
              IF(OR(AND(tblHorasOut[Evento 
(1º Período)]&lt;&gt;"",IF(ISERROR(VLOOKUP(tblHorasOut[Evento 
(1º Período)],tblEvento[],Tabelas!$E$1,FALSE)),FALSE,VLOOKUP(tblHorasOut[Evento 
(1º Período)],tblEvento[],Tabelas!$E$1,FALSE)="Sim")),IF(VLOOKUP(TEXT(tblHorasOut[Data],"dddd"),tblDiaUtil[],2,FALSE)="Não",TRUE,FALSE)),
                   tblHorasOut[Saída - 1 (Almoço)]-tblHorasOut[Entrada - 1],
                   IF(OR(HOUR(tblHorasOut[Saída - 1 (Almoço)]-tblHorasOut[Entrada - 1])&gt;0,ROUND(tblHorasOut[Saída - 1 (Almoço)]-tblHorasOut[Entrada - 1],6)&gt;ROUND(CARENCIA,6)),
                          tblHorasOut[Saída - 1 (Almoço)]-tblHorasOut[Entrada - 1],
                          0)),
                    0)),0)</f>
        <v>0</v>
      </c>
      <c r="K37" s="4">
        <f>IF($B$6&lt;&gt;"",
IF(AND(tblHorasOut[Evento 
(2º Período)]&lt;&gt;"",IF(ISERROR(VLOOKUP(tblHorasOut[Evento 
(2º Período)],tblEvento[],Tabelas!$D$1,FALSE)),FALSE,VLOOKUP(tblHorasOut[Evento 
(2º Período)],tblEvento[],Tabelas!$D$1,FALSE)="Sim")),
        IF(JORNADA_PERIODO_2&lt;&gt;"",
IF(VLOOKUP(tblHorasOut[Dia],tblDiaUtil[[Abreviatura]:[2º Período]],4,FALSE)&gt;0,VLOOKUP(tblHorasOut[Dia],tblDiaUtil[[Abreviatura]:[2º Período]],4,FALSE),JORNADA_PERIODO_2),
IF(VLOOKUP(tblHorasOut[Dia],tblDiaUtil[[Abreviatura]:[2º Período]],4,FALSE)&gt;0,VLOOKUP(tblHorasOut[Dia],tblDiaUtil[[Abreviatura]:[2º Período]],4,FALSE),JORNADA/2)),
        IF(AND(ISNUMBER(tblHorasOut[Saída - 2]),ISNUMBER(tblHorasOut[Entrada - 2 (Almoço)])),
              IF(OR(AND(tblHorasOut[Evento 
(2º Período)]&lt;&gt;"",IF(ISERROR(VLOOKUP(tblHorasOut[Evento 
(2º Período)],tblEvento[],Tabelas!$E$1,FALSE)),FALSE,VLOOKUP(tblHorasOut[Evento 
(2º Período)],tblEvento[],Tabelas!$E$1,FALSE)="Sim")),IF(VLOOKUP(TEXT(tblHorasOut[Data],"dddd"),tblDiaUtil[],2,FALSE)="Não",TRUE,FALSE)),
                   tblHorasOut[Saída - 2]-tblHorasOut[Entrada - 2 (Almoço)],
                   IF(OR(HOUR(tblHorasOut[Saída - 2]-tblHorasOut[Entrada - 2 (Almoço)])&gt;0,MINUTE(tblHorasOut[Saída - 2]-tblHorasOut[Entrada - 2 (Almoço)])&gt;CARENCIA),
                         tblHorasOut[Saída - 2]-tblHorasOut[Entrada - 2 (Almoço)],
                         0)),
       0)),0)</f>
        <v>0</v>
      </c>
      <c r="L37" s="4">
        <f>tblHorasOut[Horas Trabalhadas (1º Período)]+tblHorasOut[Horas Trabalhadas (2º Período)]</f>
        <v>0</v>
      </c>
      <c r="M37" s="4" t="str">
        <f>IF(tblHorasOut[Data]&lt;&gt;"",
        IF(
AND(VLOOKUP(TEXT(tblHorasOut[Data],"dddd"),tblDiaUtil[],3,FALSE)="Sim",IF(tblHorasOut[Evento 
(1º Período)]&lt;&gt;"",IF(VLOOKUP(tblHorasOut[Evento 
(1º Período)],tblEvento[],Tabelas!$E$1,FALSE)="Sim",FALSE,TRUE),TRUE),IF(tblHorasOut[Evento 
(2º Período)]&lt;&gt;"",IF(VLOOKUP(tblHorasOut[Evento 
(2º Período)],tblEvento[],Tabelas!$E$1,FALSE)="Sim",FALSE,TRUE),TRUE)),
              IF(VLOOKUP(tblHorasOut[Dia],tblDiaUtil[[Abreviatura]:[1º Período]],3,FALSE)&gt;0,VLOOKUP(tblHorasOut[Dia],tblDiaUtil[[Abreviatura]:[1º Período]],3,FALSE),JORNADA),
              ""),
         "")</f>
        <v/>
      </c>
      <c r="N37" s="14">
        <f>IF(OR(tblHorasOut[Horas Trabalhadas (1º Período)]&lt;&gt;0,tblHorasOut[Horas Trabalhadas (2º Período)]&lt;&gt;0),
        IF(ISNUMBER(tblHorasOut[Jornada Diária]),
              IF(tblHorasOut[Jornada Diária]&gt;(tblHorasOut[Horas Trabalhadas (2º Período)]+tblHorasOut[Horas Trabalhadas (1º Período)]),
                     IF(ROUND((tblHorasOut[Jornada Diária]-(tblHorasOut[Horas Trabalhadas (2º Período)]+tblHorasOut[Horas Trabalhadas (1º Período)])),6)&gt;ROUND(CARENCIA,6),
                           -tblHorasOut[Jornada Diária]+(tblHorasOut[Horas Trabalhadas (2º Período)]+tblHorasOut[Horas Trabalhadas (1º Período)]),
                           0),
                      IF(ROUND((tblHorasOut[Jornada Diária]-(tblHorasOut[Horas Trabalhadas (2º Período)]+tblHorasOut[Horas Trabalhadas (1º Período)])),6)&lt;ROUND(-CARENCIA,6),
                           -tblHorasOut[Jornada Diária]+(tblHorasOut[Horas Trabalhadas (2º Período)]+tblHorasOut[Horas Trabalhadas (1º Período)]),
                           0)),
              tblHorasOut[Horas Trabalhadas (2º Período)]+tblHorasOut[Horas Trabalhadas (1º Período)]),
         IF(AND(IF(ISERROR(VLOOKUP(tblHorasOut[Evento 
(1º Período)],tblEvento[[Evento]:[Libera o Período]],4,FALSE)),FALSE,IF(VLOOKUP(tblHorasOut[Evento 
(1º Período)],tblEvento[[Evento]:[Libera o Período]],4,FALSE)="Não",TRUE,FALSE)),IF(ISERROR(VLOOKUP(tblHorasOut[Evento 
(2º Período)],tblEvento[[Evento]:[Libera o Período]],4,FALSE)),FALSE,IF(VLOOKUP(tblHorasOut[Evento 
(2º Período)],tblEvento[[Evento]:[Libera o Período]],4,FALSE)="Não",TRUE,FALSE))),
-IF(VLOOKUP(tblHorasOut[Dia],tblDiaUtil[[Abreviatura]:[Total Jornada]],5,FALSE)&lt;&gt;"",VLOOKUP(tblHorasOut[Dia],tblDiaUtil[[Abreviatura]:[Total Jornada]],5,FALSE),JORNADA),
IF(IF(ISERROR(VLOOKUP(tblHorasOut[Evento 
(1º Período)],tblEvento[[Evento]:[Libera o Período]],4,FALSE)),FALSE,
IF(VLOOKUP(tblHorasOut[Evento 
(1º Período)],tblEvento[[Evento]:[Libera o Período]],4,FALSE)="Não",TRUE,FALSE)
),
-IF(VLOOKUP(tblHorasOut[Dia],tblDiaUtil[[Abreviatura]:[1º Período]],3,FALSE)&lt;&gt;"",VLOOKUP(tblHorasOut[Dia],tblDiaUtil[[Abreviatura]:[1º Período]],3,FALSE),JORNADA_PERIODO_1),
IF(IF(ISERROR(VLOOKUP(tblHorasOut[Evento 
(2º Período)],tblEvento[[Evento]:[Libera o Período]],4,FALSE)),FALSE,IF(VLOOKUP(tblHorasOut[Evento 
(2º Período)],tblEvento[[Evento]:[Libera o Período]],4,FALSE)="Não",TRUE,FALSE)),
-IF(VLOOKUP(tblHorasOut[Dia],tblDiaUtil[[Abreviatura]:[2º Período]],4,FALSE)&lt;&gt;"",VLOOKUP(tblHorasOut[Dia],tblDiaUtil[[Abreviatura]:[2º Período]],4,FALSE),JORNADA_PERIODO_2),0))))</f>
        <v>0</v>
      </c>
      <c r="O37" s="14">
        <f>IF(tblHorasOut[Horas Trabalhadas Além Jornada]&gt;0,
        IF(ISNUMBER(tblHorasOut[Jornada Diária]),
              IF(HOUR(tblHorasOut[Horas Trabalhadas Além Jornada])&gt;=VLOOKUP(LIMITE,tblLimiteHora[],Tabelas!$I$1,FALSE),
                    VLOOKUP(LIMITE,tblLimiteHora[],Tabelas!$J$1,FALSE),
                    tblHorasOut[Horas Trabalhadas Além Jornada]),
              tblHorasOut[Horas Trabalhadas Além Jornada]),
        tblHorasOut[Horas Trabalhadas Além Jornada])+O36</f>
        <v>0</v>
      </c>
      <c r="P37" s="14" t="str">
        <f>IF(tblHorasOut[Horas Trabalhadas Além Jornada]&lt;0,IF(OR(tblHorasOut[Evento 
(1º Período)]="",tblHorasOut[Evento 
(2º Período)]=""),tblHorasOut[Horas Trabalhadas Além Jornada],""),"")</f>
        <v/>
      </c>
      <c r="Q37" s="14" t="str">
        <f>IF(tblHorasOut[Jornada Diária]&lt;&gt;"",IF((N(tblHorasOut[Jornada Diária])-ABS(N(tblHorasOut[Horas Trabalhadas Além Jornada])))=0,1,""),"")</f>
        <v/>
      </c>
      <c r="R37" s="14" t="str">
        <f>IF(tblHorasOut[Horas Trabalhadas Além Jornada]&gt;0,
IF(AND(VLOOKUP(TEXT(tblHorasOut[Data],"dddd"),tblDiaUtil[],3,FALSE)="Sim",IF(tblHorasOut[Evento 
(1º Período)]&lt;&gt;"",IF(VLOOKUP(tblHorasOut[Evento 
(1º Período)],tblEvento[],Tabelas!$E$1,FALSE)="Sim",FALSE,TRUE),TRUE),IF(tblHorasOut[Evento 
(2º Período)]&lt;&gt;"",IF(VLOOKUP(tblHorasOut[Evento 
(2º Período)],tblEvento[],Tabelas!$E$1,FALSE)="Sim",FALSE,TRUE),TRUE)),
tblHorasOut[Horas Trabalhadas Além Jornada],""),"")</f>
        <v/>
      </c>
      <c r="S37" s="14" t="str">
        <f>IF(tblHorasOut[Horas Trabalhadas Além Jornada]&gt;0,
IF(OR(VLOOKUP(TEXT(tblHorasOut[Data],"dddd"),tblDiaUtil[],3,FALSE)="Não",IF(tblHorasOut[Evento 
(1º Período)]&lt;&gt;"",IF(VLOOKUP(tblHorasOut[Evento 
(1º Período)],tblEvento[],Tabelas!$E$1,FALSE)="Sim",TRUE,FALSE),FALSE),IF(tblHorasOut[Evento 
(2º Período)]&lt;&gt;"",IF(VLOOKUP(tblHorasOut[Evento 
(2º Período)],tblEvento[],Tabelas!$E$1,FALSE)="Sim",TRUE,FALSE),FALSE)),
tblHorasOut[Horas Trabalhadas Além Jornada],""),"")</f>
        <v/>
      </c>
      <c r="T37" s="15" t="str">
        <f>IF(tblHorasOut[Evento 
(1º Período)]&lt;&gt;""," - " &amp;VLOOKUP(tblHorasOut[Evento 
(1º Período)],tblEvento[],Tabelas!$F$1,FALSE),"")&amp;IF(AND(tblHorasOut[Evento 
(2º Período)]&lt;&gt;"",tblHorasOut[Evento 
(2º Período)]&lt;&gt;tblHorasOut[Evento 
(1º Período)])," - " &amp; VLOOKUP(tblHorasOut[Evento 
(2º Período)],tblEvento[],Tabelas!$F$1,FALSE),"")</f>
        <v/>
      </c>
    </row>
    <row r="38" spans="2:21" x14ac:dyDescent="0.25">
      <c r="B38" s="11" t="str">
        <f t="shared" si="0"/>
        <v/>
      </c>
      <c r="C38" s="12" t="str">
        <f>TEXT(tblHorasOut[Data],"ddd")</f>
        <v/>
      </c>
      <c r="D38" s="25"/>
      <c r="E38" s="1"/>
      <c r="F38" s="1"/>
      <c r="G38" s="1"/>
      <c r="H38" s="1"/>
      <c r="I38" s="53"/>
      <c r="J38" s="4">
        <f>IF($B$6&lt;&gt;"",
IF(AND(tblHorasOut[Evento 
(1º Período)]&lt;&gt;"",IF(ISERROR(VLOOKUP(tblHorasOut[Evento 
(1º Período)],tblEvento[],Tabelas!$D$1,FALSE)),FALSE,VLOOKUP(tblHorasOut[Evento 
(1º Período)],tblEvento[],Tabelas!$D$1,FALSE)="Sim")),
        IF(JORNADA_PERIODO_1&lt;&gt;"",
IF(VLOOKUP(tblHorasOut[Dia],tblDiaUtil[[Abreviatura]:[1º Período]],3,FALSE)&gt;0,VLOOKUP(tblHorasOut[Dia],tblDiaUtil[[Abreviatura]:[1º Período]],3,FALSE),JORNADA_PERIODO_1),
IF(VLOOKUP(tblHorasOut[Dia],tblDiaUtil[[Abreviatura]:[1º Período]],3,FALSE)&gt;0,VLOOKUP(tblHorasOut[Dia],tblDiaUtil[[Abreviatura]:[1º Período]],3,FALSE),JORNADA/2)),
        IF(AND(ISNUMBER(tblHorasOut[Saída - 1 (Almoço)]),ISNUMBER(tblHorasOut[Entrada - 1])),
              IF(OR(AND(tblHorasOut[Evento 
(1º Período)]&lt;&gt;"",IF(ISERROR(VLOOKUP(tblHorasOut[Evento 
(1º Período)],tblEvento[],Tabelas!$E$1,FALSE)),FALSE,VLOOKUP(tblHorasOut[Evento 
(1º Período)],tblEvento[],Tabelas!$E$1,FALSE)="Sim")),IF(VLOOKUP(TEXT(tblHorasOut[Data],"dddd"),tblDiaUtil[],2,FALSE)="Não",TRUE,FALSE)),
                   tblHorasOut[Saída - 1 (Almoço)]-tblHorasOut[Entrada - 1],
                   IF(OR(HOUR(tblHorasOut[Saída - 1 (Almoço)]-tblHorasOut[Entrada - 1])&gt;0,ROUND(tblHorasOut[Saída - 1 (Almoço)]-tblHorasOut[Entrada - 1],6)&gt;ROUND(CARENCIA,6)),
                          tblHorasOut[Saída - 1 (Almoço)]-tblHorasOut[Entrada - 1],
                          0)),
                    0)),0)</f>
        <v>0</v>
      </c>
      <c r="K38" s="4">
        <f>IF($B$6&lt;&gt;"",
IF(AND(tblHorasOut[Evento 
(2º Período)]&lt;&gt;"",IF(ISERROR(VLOOKUP(tblHorasOut[Evento 
(2º Período)],tblEvento[],Tabelas!$D$1,FALSE)),FALSE,VLOOKUP(tblHorasOut[Evento 
(2º Período)],tblEvento[],Tabelas!$D$1,FALSE)="Sim")),
        IF(JORNADA_PERIODO_2&lt;&gt;"",
IF(VLOOKUP(tblHorasOut[Dia],tblDiaUtil[[Abreviatura]:[2º Período]],4,FALSE)&gt;0,VLOOKUP(tblHorasOut[Dia],tblDiaUtil[[Abreviatura]:[2º Período]],4,FALSE),JORNADA_PERIODO_2),
IF(VLOOKUP(tblHorasOut[Dia],tblDiaUtil[[Abreviatura]:[2º Período]],4,FALSE)&gt;0,VLOOKUP(tblHorasOut[Dia],tblDiaUtil[[Abreviatura]:[2º Período]],4,FALSE),JORNADA/2)),
        IF(AND(ISNUMBER(tblHorasOut[Saída - 2]),ISNUMBER(tblHorasOut[Entrada - 2 (Almoço)])),
              IF(OR(AND(tblHorasOut[Evento 
(2º Período)]&lt;&gt;"",IF(ISERROR(VLOOKUP(tblHorasOut[Evento 
(2º Período)],tblEvento[],Tabelas!$E$1,FALSE)),FALSE,VLOOKUP(tblHorasOut[Evento 
(2º Período)],tblEvento[],Tabelas!$E$1,FALSE)="Sim")),IF(VLOOKUP(TEXT(tblHorasOut[Data],"dddd"),tblDiaUtil[],2,FALSE)="Não",TRUE,FALSE)),
                   tblHorasOut[Saída - 2]-tblHorasOut[Entrada - 2 (Almoço)],
                   IF(OR(HOUR(tblHorasOut[Saída - 2]-tblHorasOut[Entrada - 2 (Almoço)])&gt;0,MINUTE(tblHorasOut[Saída - 2]-tblHorasOut[Entrada - 2 (Almoço)])&gt;CARENCIA),
                         tblHorasOut[Saída - 2]-tblHorasOut[Entrada - 2 (Almoço)],
                         0)),
       0)),0)</f>
        <v>0</v>
      </c>
      <c r="L38" s="4">
        <f>tblHorasOut[Horas Trabalhadas (1º Período)]+tblHorasOut[Horas Trabalhadas (2º Período)]</f>
        <v>0</v>
      </c>
      <c r="M38" s="4" t="str">
        <f>IF(tblHorasOut[Data]&lt;&gt;"",
        IF(
AND(VLOOKUP(TEXT(tblHorasOut[Data],"dddd"),tblDiaUtil[],3,FALSE)="Sim",IF(tblHorasOut[Evento 
(1º Período)]&lt;&gt;"",IF(VLOOKUP(tblHorasOut[Evento 
(1º Período)],tblEvento[],Tabelas!$E$1,FALSE)="Sim",FALSE,TRUE),TRUE),IF(tblHorasOut[Evento 
(2º Período)]&lt;&gt;"",IF(VLOOKUP(tblHorasOut[Evento 
(2º Período)],tblEvento[],Tabelas!$E$1,FALSE)="Sim",FALSE,TRUE),TRUE)),
              IF(VLOOKUP(tblHorasOut[Dia],tblDiaUtil[[Abreviatura]:[1º Período]],3,FALSE)&gt;0,VLOOKUP(tblHorasOut[Dia],tblDiaUtil[[Abreviatura]:[1º Período]],3,FALSE),JORNADA),
              ""),
         "")</f>
        <v/>
      </c>
      <c r="N38" s="14">
        <f>IF(OR(tblHorasOut[Horas Trabalhadas (1º Período)]&lt;&gt;0,tblHorasOut[Horas Trabalhadas (2º Período)]&lt;&gt;0),
        IF(ISNUMBER(tblHorasOut[Jornada Diária]),
              IF(tblHorasOut[Jornada Diária]&gt;(tblHorasOut[Horas Trabalhadas (2º Período)]+tblHorasOut[Horas Trabalhadas (1º Período)]),
                     IF(ROUND((tblHorasOut[Jornada Diária]-(tblHorasOut[Horas Trabalhadas (2º Período)]+tblHorasOut[Horas Trabalhadas (1º Período)])),6)&gt;ROUND(CARENCIA,6),
                           -tblHorasOut[Jornada Diária]+(tblHorasOut[Horas Trabalhadas (2º Período)]+tblHorasOut[Horas Trabalhadas (1º Período)]),
                           0),
                      IF(ROUND((tblHorasOut[Jornada Diária]-(tblHorasOut[Horas Trabalhadas (2º Período)]+tblHorasOut[Horas Trabalhadas (1º Período)])),6)&lt;ROUND(-CARENCIA,6),
                           -tblHorasOut[Jornada Diária]+(tblHorasOut[Horas Trabalhadas (2º Período)]+tblHorasOut[Horas Trabalhadas (1º Período)]),
                           0)),
              tblHorasOut[Horas Trabalhadas (2º Período)]+tblHorasOut[Horas Trabalhadas (1º Período)]),
         IF(AND(IF(ISERROR(VLOOKUP(tblHorasOut[Evento 
(1º Período)],tblEvento[[Evento]:[Libera o Período]],4,FALSE)),FALSE,IF(VLOOKUP(tblHorasOut[Evento 
(1º Período)],tblEvento[[Evento]:[Libera o Período]],4,FALSE)="Não",TRUE,FALSE)),IF(ISERROR(VLOOKUP(tblHorasOut[Evento 
(2º Período)],tblEvento[[Evento]:[Libera o Período]],4,FALSE)),FALSE,IF(VLOOKUP(tblHorasOut[Evento 
(2º Período)],tblEvento[[Evento]:[Libera o Período]],4,FALSE)="Não",TRUE,FALSE))),
-IF(VLOOKUP(tblHorasOut[Dia],tblDiaUtil[[Abreviatura]:[Total Jornada]],5,FALSE)&lt;&gt;"",VLOOKUP(tblHorasOut[Dia],tblDiaUtil[[Abreviatura]:[Total Jornada]],5,FALSE),JORNADA),
IF(IF(ISERROR(VLOOKUP(tblHorasOut[Evento 
(1º Período)],tblEvento[[Evento]:[Libera o Período]],4,FALSE)),FALSE,
IF(VLOOKUP(tblHorasOut[Evento 
(1º Período)],tblEvento[[Evento]:[Libera o Período]],4,FALSE)="Não",TRUE,FALSE)
),
-IF(VLOOKUP(tblHorasOut[Dia],tblDiaUtil[[Abreviatura]:[1º Período]],3,FALSE)&lt;&gt;"",VLOOKUP(tblHorasOut[Dia],tblDiaUtil[[Abreviatura]:[1º Período]],3,FALSE),JORNADA_PERIODO_1),
IF(IF(ISERROR(VLOOKUP(tblHorasOut[Evento 
(2º Período)],tblEvento[[Evento]:[Libera o Período]],4,FALSE)),FALSE,IF(VLOOKUP(tblHorasOut[Evento 
(2º Período)],tblEvento[[Evento]:[Libera o Período]],4,FALSE)="Não",TRUE,FALSE)),
-IF(VLOOKUP(tblHorasOut[Dia],tblDiaUtil[[Abreviatura]:[2º Período]],4,FALSE)&lt;&gt;"",VLOOKUP(tblHorasOut[Dia],tblDiaUtil[[Abreviatura]:[2º Período]],4,FALSE),JORNADA_PERIODO_2),0))))</f>
        <v>0</v>
      </c>
      <c r="O38" s="14">
        <f>IF(tblHorasOut[Horas Trabalhadas Além Jornada]&gt;0,
        IF(ISNUMBER(tblHorasOut[Jornada Diária]),
              IF(HOUR(tblHorasOut[Horas Trabalhadas Além Jornada])&gt;=VLOOKUP(LIMITE,tblLimiteHora[],Tabelas!$I$1,FALSE),
                    VLOOKUP(LIMITE,tblLimiteHora[],Tabelas!$J$1,FALSE),
                    tblHorasOut[Horas Trabalhadas Além Jornada]),
              tblHorasOut[Horas Trabalhadas Além Jornada]),
        tblHorasOut[Horas Trabalhadas Além Jornada])+O37</f>
        <v>0</v>
      </c>
      <c r="P38" s="14" t="str">
        <f>IF(tblHorasOut[Horas Trabalhadas Além Jornada]&lt;0,IF(OR(tblHorasOut[Evento 
(1º Período)]="",tblHorasOut[Evento 
(2º Período)]=""),tblHorasOut[Horas Trabalhadas Além Jornada],""),"")</f>
        <v/>
      </c>
      <c r="Q38" s="14" t="str">
        <f>IF(tblHorasOut[Jornada Diária]&lt;&gt;"",IF((N(tblHorasOut[Jornada Diária])-ABS(N(tblHorasOut[Horas Trabalhadas Além Jornada])))=0,1,""),"")</f>
        <v/>
      </c>
      <c r="R38" s="14" t="str">
        <f>IF(tblHorasOut[Horas Trabalhadas Além Jornada]&gt;0,
IF(AND(VLOOKUP(TEXT(tblHorasOut[Data],"dddd"),tblDiaUtil[],3,FALSE)="Sim",IF(tblHorasOut[Evento 
(1º Período)]&lt;&gt;"",IF(VLOOKUP(tblHorasOut[Evento 
(1º Período)],tblEvento[],Tabelas!$E$1,FALSE)="Sim",FALSE,TRUE),TRUE),IF(tblHorasOut[Evento 
(2º Período)]&lt;&gt;"",IF(VLOOKUP(tblHorasOut[Evento 
(2º Período)],tblEvento[],Tabelas!$E$1,FALSE)="Sim",FALSE,TRUE),TRUE)),
tblHorasOut[Horas Trabalhadas Além Jornada],""),"")</f>
        <v/>
      </c>
      <c r="S38" s="14" t="str">
        <f>IF(tblHorasOut[Horas Trabalhadas Além Jornada]&gt;0,
IF(OR(VLOOKUP(TEXT(tblHorasOut[Data],"dddd"),tblDiaUtil[],3,FALSE)="Não",IF(tblHorasOut[Evento 
(1º Período)]&lt;&gt;"",IF(VLOOKUP(tblHorasOut[Evento 
(1º Período)],tblEvento[],Tabelas!$E$1,FALSE)="Sim",TRUE,FALSE),FALSE),IF(tblHorasOut[Evento 
(2º Período)]&lt;&gt;"",IF(VLOOKUP(tblHorasOut[Evento 
(2º Período)],tblEvento[],Tabelas!$E$1,FALSE)="Sim",TRUE,FALSE),FALSE)),
tblHorasOut[Horas Trabalhadas Além Jornada],""),"")</f>
        <v/>
      </c>
      <c r="T38" s="15" t="str">
        <f>IF(tblHorasOut[Evento 
(1º Período)]&lt;&gt;""," - " &amp;VLOOKUP(tblHorasOut[Evento 
(1º Período)],tblEvento[],Tabelas!$F$1,FALSE),"")&amp;IF(AND(tblHorasOut[Evento 
(2º Período)]&lt;&gt;"",tblHorasOut[Evento 
(2º Período)]&lt;&gt;tblHorasOut[Evento 
(1º Período)])," - " &amp; VLOOKUP(tblHorasOut[Evento 
(2º Período)],tblEvento[],Tabelas!$F$1,FALSE),"")</f>
        <v/>
      </c>
    </row>
    <row r="39" spans="2:21" x14ac:dyDescent="0.25">
      <c r="B39" s="11" t="str">
        <f t="shared" si="0"/>
        <v/>
      </c>
      <c r="C39" s="12" t="str">
        <f>TEXT(tblHorasOut[Data],"ddd")</f>
        <v/>
      </c>
      <c r="D39" s="25"/>
      <c r="E39" s="1"/>
      <c r="F39" s="1"/>
      <c r="G39" s="1"/>
      <c r="H39" s="1"/>
      <c r="I39" s="53"/>
      <c r="J39" s="4">
        <f>IF($B$6&lt;&gt;"",
IF(AND(tblHorasOut[Evento 
(1º Período)]&lt;&gt;"",IF(ISERROR(VLOOKUP(tblHorasOut[Evento 
(1º Período)],tblEvento[],Tabelas!$D$1,FALSE)),FALSE,VLOOKUP(tblHorasOut[Evento 
(1º Período)],tblEvento[],Tabelas!$D$1,FALSE)="Sim")),
        IF(JORNADA_PERIODO_1&lt;&gt;"",
IF(VLOOKUP(tblHorasOut[Dia],tblDiaUtil[[Abreviatura]:[1º Período]],3,FALSE)&gt;0,VLOOKUP(tblHorasOut[Dia],tblDiaUtil[[Abreviatura]:[1º Período]],3,FALSE),JORNADA_PERIODO_1),
IF(VLOOKUP(tblHorasOut[Dia],tblDiaUtil[[Abreviatura]:[1º Período]],3,FALSE)&gt;0,VLOOKUP(tblHorasOut[Dia],tblDiaUtil[[Abreviatura]:[1º Período]],3,FALSE),JORNADA/2)),
        IF(AND(ISNUMBER(tblHorasOut[Saída - 1 (Almoço)]),ISNUMBER(tblHorasOut[Entrada - 1])),
              IF(OR(AND(tblHorasOut[Evento 
(1º Período)]&lt;&gt;"",IF(ISERROR(VLOOKUP(tblHorasOut[Evento 
(1º Período)],tblEvento[],Tabelas!$E$1,FALSE)),FALSE,VLOOKUP(tblHorasOut[Evento 
(1º Período)],tblEvento[],Tabelas!$E$1,FALSE)="Sim")),IF(VLOOKUP(TEXT(tblHorasOut[Data],"dddd"),tblDiaUtil[],2,FALSE)="Não",TRUE,FALSE)),
                   tblHorasOut[Saída - 1 (Almoço)]-tblHorasOut[Entrada - 1],
                   IF(OR(HOUR(tblHorasOut[Saída - 1 (Almoço)]-tblHorasOut[Entrada - 1])&gt;0,ROUND(tblHorasOut[Saída - 1 (Almoço)]-tblHorasOut[Entrada - 1],6)&gt;ROUND(CARENCIA,6)),
                          tblHorasOut[Saída - 1 (Almoço)]-tblHorasOut[Entrada - 1],
                          0)),
                    0)),0)</f>
        <v>0</v>
      </c>
      <c r="K39" s="4">
        <f>IF($B$6&lt;&gt;"",
IF(AND(tblHorasOut[Evento 
(2º Período)]&lt;&gt;"",IF(ISERROR(VLOOKUP(tblHorasOut[Evento 
(2º Período)],tblEvento[],Tabelas!$D$1,FALSE)),FALSE,VLOOKUP(tblHorasOut[Evento 
(2º Período)],tblEvento[],Tabelas!$D$1,FALSE)="Sim")),
        IF(JORNADA_PERIODO_2&lt;&gt;"",
IF(VLOOKUP(tblHorasOut[Dia],tblDiaUtil[[Abreviatura]:[2º Período]],4,FALSE)&gt;0,VLOOKUP(tblHorasOut[Dia],tblDiaUtil[[Abreviatura]:[2º Período]],4,FALSE),JORNADA_PERIODO_2),
IF(VLOOKUP(tblHorasOut[Dia],tblDiaUtil[[Abreviatura]:[2º Período]],4,FALSE)&gt;0,VLOOKUP(tblHorasOut[Dia],tblDiaUtil[[Abreviatura]:[2º Período]],4,FALSE),JORNADA/2)),
        IF(AND(ISNUMBER(tblHorasOut[Saída - 2]),ISNUMBER(tblHorasOut[Entrada - 2 (Almoço)])),
              IF(OR(AND(tblHorasOut[Evento 
(2º Período)]&lt;&gt;"",IF(ISERROR(VLOOKUP(tblHorasOut[Evento 
(2º Período)],tblEvento[],Tabelas!$E$1,FALSE)),FALSE,VLOOKUP(tblHorasOut[Evento 
(2º Período)],tblEvento[],Tabelas!$E$1,FALSE)="Sim")),IF(VLOOKUP(TEXT(tblHorasOut[Data],"dddd"),tblDiaUtil[],2,FALSE)="Não",TRUE,FALSE)),
                   tblHorasOut[Saída - 2]-tblHorasOut[Entrada - 2 (Almoço)],
                   IF(OR(HOUR(tblHorasOut[Saída - 2]-tblHorasOut[Entrada - 2 (Almoço)])&gt;0,MINUTE(tblHorasOut[Saída - 2]-tblHorasOut[Entrada - 2 (Almoço)])&gt;CARENCIA),
                         tblHorasOut[Saída - 2]-tblHorasOut[Entrada - 2 (Almoço)],
                         0)),
       0)),0)</f>
        <v>0</v>
      </c>
      <c r="L39" s="4">
        <f>tblHorasOut[Horas Trabalhadas (1º Período)]+tblHorasOut[Horas Trabalhadas (2º Período)]</f>
        <v>0</v>
      </c>
      <c r="M39" s="4" t="str">
        <f>IF(tblHorasOut[Data]&lt;&gt;"",
        IF(
AND(VLOOKUP(TEXT(tblHorasOut[Data],"dddd"),tblDiaUtil[],3,FALSE)="Sim",IF(tblHorasOut[Evento 
(1º Período)]&lt;&gt;"",IF(VLOOKUP(tblHorasOut[Evento 
(1º Período)],tblEvento[],Tabelas!$E$1,FALSE)="Sim",FALSE,TRUE),TRUE),IF(tblHorasOut[Evento 
(2º Período)]&lt;&gt;"",IF(VLOOKUP(tblHorasOut[Evento 
(2º Período)],tblEvento[],Tabelas!$E$1,FALSE)="Sim",FALSE,TRUE),TRUE)),
              IF(VLOOKUP(tblHorasOut[Dia],tblDiaUtil[[Abreviatura]:[1º Período]],3,FALSE)&gt;0,VLOOKUP(tblHorasOut[Dia],tblDiaUtil[[Abreviatura]:[1º Período]],3,FALSE),JORNADA),
              ""),
         "")</f>
        <v/>
      </c>
      <c r="N39" s="14">
        <f>IF(OR(tblHorasOut[Horas Trabalhadas (1º Período)]&lt;&gt;0,tblHorasOut[Horas Trabalhadas (2º Período)]&lt;&gt;0),
        IF(ISNUMBER(tblHorasOut[Jornada Diária]),
              IF(tblHorasOut[Jornada Diária]&gt;(tblHorasOut[Horas Trabalhadas (2º Período)]+tblHorasOut[Horas Trabalhadas (1º Período)]),
                     IF(ROUND((tblHorasOut[Jornada Diária]-(tblHorasOut[Horas Trabalhadas (2º Período)]+tblHorasOut[Horas Trabalhadas (1º Período)])),6)&gt;ROUND(CARENCIA,6),
                           -tblHorasOut[Jornada Diária]+(tblHorasOut[Horas Trabalhadas (2º Período)]+tblHorasOut[Horas Trabalhadas (1º Período)]),
                           0),
                      IF(ROUND((tblHorasOut[Jornada Diária]-(tblHorasOut[Horas Trabalhadas (2º Período)]+tblHorasOut[Horas Trabalhadas (1º Período)])),6)&lt;ROUND(-CARENCIA,6),
                           -tblHorasOut[Jornada Diária]+(tblHorasOut[Horas Trabalhadas (2º Período)]+tblHorasOut[Horas Trabalhadas (1º Período)]),
                           0)),
              tblHorasOut[Horas Trabalhadas (2º Período)]+tblHorasOut[Horas Trabalhadas (1º Período)]),
         IF(AND(IF(ISERROR(VLOOKUP(tblHorasOut[Evento 
(1º Período)],tblEvento[[Evento]:[Libera o Período]],4,FALSE)),FALSE,IF(VLOOKUP(tblHorasOut[Evento 
(1º Período)],tblEvento[[Evento]:[Libera o Período]],4,FALSE)="Não",TRUE,FALSE)),IF(ISERROR(VLOOKUP(tblHorasOut[Evento 
(2º Período)],tblEvento[[Evento]:[Libera o Período]],4,FALSE)),FALSE,IF(VLOOKUP(tblHorasOut[Evento 
(2º Período)],tblEvento[[Evento]:[Libera o Período]],4,FALSE)="Não",TRUE,FALSE))),
-IF(VLOOKUP(tblHorasOut[Dia],tblDiaUtil[[Abreviatura]:[Total Jornada]],5,FALSE)&lt;&gt;"",VLOOKUP(tblHorasOut[Dia],tblDiaUtil[[Abreviatura]:[Total Jornada]],5,FALSE),JORNADA),
IF(IF(ISERROR(VLOOKUP(tblHorasOut[Evento 
(1º Período)],tblEvento[[Evento]:[Libera o Período]],4,FALSE)),FALSE,
IF(VLOOKUP(tblHorasOut[Evento 
(1º Período)],tblEvento[[Evento]:[Libera o Período]],4,FALSE)="Não",TRUE,FALSE)
),
-IF(VLOOKUP(tblHorasOut[Dia],tblDiaUtil[[Abreviatura]:[1º Período]],3,FALSE)&lt;&gt;"",VLOOKUP(tblHorasOut[Dia],tblDiaUtil[[Abreviatura]:[1º Período]],3,FALSE),JORNADA_PERIODO_1),
IF(IF(ISERROR(VLOOKUP(tblHorasOut[Evento 
(2º Período)],tblEvento[[Evento]:[Libera o Período]],4,FALSE)),FALSE,IF(VLOOKUP(tblHorasOut[Evento 
(2º Período)],tblEvento[[Evento]:[Libera o Período]],4,FALSE)="Não",TRUE,FALSE)),
-IF(VLOOKUP(tblHorasOut[Dia],tblDiaUtil[[Abreviatura]:[2º Período]],4,FALSE)&lt;&gt;"",VLOOKUP(tblHorasOut[Dia],tblDiaUtil[[Abreviatura]:[2º Período]],4,FALSE),JORNADA_PERIODO_2),0))))</f>
        <v>0</v>
      </c>
      <c r="O39" s="14">
        <f>IF(tblHorasOut[Horas Trabalhadas Além Jornada]&gt;0,
        IF(ISNUMBER(tblHorasOut[Jornada Diária]),
              IF(HOUR(tblHorasOut[Horas Trabalhadas Além Jornada])&gt;=VLOOKUP(LIMITE,tblLimiteHora[],Tabelas!$I$1,FALSE),
                    VLOOKUP(LIMITE,tblLimiteHora[],Tabelas!$J$1,FALSE),
                    tblHorasOut[Horas Trabalhadas Além Jornada]),
              tblHorasOut[Horas Trabalhadas Além Jornada]),
        tblHorasOut[Horas Trabalhadas Além Jornada])+O38</f>
        <v>0</v>
      </c>
      <c r="P39" s="14" t="str">
        <f>IF(tblHorasOut[Horas Trabalhadas Além Jornada]&lt;0,IF(OR(tblHorasOut[Evento 
(1º Período)]="",tblHorasOut[Evento 
(2º Período)]=""),tblHorasOut[Horas Trabalhadas Além Jornada],""),"")</f>
        <v/>
      </c>
      <c r="Q39" s="14" t="str">
        <f>IF(tblHorasOut[Jornada Diária]&lt;&gt;"",IF((N(tblHorasOut[Jornada Diária])-ABS(N(tblHorasOut[Horas Trabalhadas Além Jornada])))=0,1,""),"")</f>
        <v/>
      </c>
      <c r="R39" s="14" t="str">
        <f>IF(tblHorasOut[Horas Trabalhadas Além Jornada]&gt;0,
IF(AND(VLOOKUP(TEXT(tblHorasOut[Data],"dddd"),tblDiaUtil[],3,FALSE)="Sim",IF(tblHorasOut[Evento 
(1º Período)]&lt;&gt;"",IF(VLOOKUP(tblHorasOut[Evento 
(1º Período)],tblEvento[],Tabelas!$E$1,FALSE)="Sim",FALSE,TRUE),TRUE),IF(tblHorasOut[Evento 
(2º Período)]&lt;&gt;"",IF(VLOOKUP(tblHorasOut[Evento 
(2º Período)],tblEvento[],Tabelas!$E$1,FALSE)="Sim",FALSE,TRUE),TRUE)),
tblHorasOut[Horas Trabalhadas Além Jornada],""),"")</f>
        <v/>
      </c>
      <c r="S39" s="14" t="str">
        <f>IF(tblHorasOut[Horas Trabalhadas Além Jornada]&gt;0,
IF(OR(VLOOKUP(TEXT(tblHorasOut[Data],"dddd"),tblDiaUtil[],3,FALSE)="Não",IF(tblHorasOut[Evento 
(1º Período)]&lt;&gt;"",IF(VLOOKUP(tblHorasOut[Evento 
(1º Período)],tblEvento[],Tabelas!$E$1,FALSE)="Sim",TRUE,FALSE),FALSE),IF(tblHorasOut[Evento 
(2º Período)]&lt;&gt;"",IF(VLOOKUP(tblHorasOut[Evento 
(2º Período)],tblEvento[],Tabelas!$E$1,FALSE)="Sim",TRUE,FALSE),FALSE)),
tblHorasOut[Horas Trabalhadas Além Jornada],""),"")</f>
        <v/>
      </c>
      <c r="T39" s="15" t="str">
        <f>IF(tblHorasOut[Evento 
(1º Período)]&lt;&gt;""," - " &amp;VLOOKUP(tblHorasOut[Evento 
(1º Período)],tblEvento[],Tabelas!$F$1,FALSE),"")&amp;IF(AND(tblHorasOut[Evento 
(2º Período)]&lt;&gt;"",tblHorasOut[Evento 
(2º Período)]&lt;&gt;tblHorasOut[Evento 
(1º Período)])," - " &amp; VLOOKUP(tblHorasOut[Evento 
(2º Período)],tblEvento[],Tabelas!$F$1,FALSE),"")</f>
        <v/>
      </c>
    </row>
    <row r="40" spans="2:21" ht="5.0999999999999996" customHeight="1" x14ac:dyDescent="0.25">
      <c r="T40" s="24"/>
      <c r="U40" s="24"/>
    </row>
    <row r="41" spans="2:21" ht="9.9499999999999993" customHeight="1" x14ac:dyDescent="0.25">
      <c r="T41" s="35" t="s">
        <v>99</v>
      </c>
      <c r="U41" s="24"/>
    </row>
    <row r="42" spans="2:21" hidden="1" x14ac:dyDescent="0.25">
      <c r="T42" s="24"/>
      <c r="U42" s="24"/>
    </row>
    <row r="43" spans="2:21" hidden="1" x14ac:dyDescent="0.25">
      <c r="T43" s="24"/>
      <c r="U43" s="24"/>
    </row>
    <row r="44" spans="2:21" hidden="1" x14ac:dyDescent="0.25">
      <c r="T44" s="24"/>
      <c r="U44" s="24"/>
    </row>
    <row r="45" spans="2:21" hidden="1" x14ac:dyDescent="0.25"/>
    <row r="46" spans="2:21" x14ac:dyDescent="0.25"/>
    <row r="47" spans="2:21" x14ac:dyDescent="0.25"/>
  </sheetData>
  <sheetProtection algorithmName="SHA-512" hashValue="n3mqFo0iY3rylAkHdftBMR0bC5++K20XHNEIthAoyGas7V7y0mnPMU4DGCHFPNvMkmmGDTGgNCT6RprAoiYdQA==" saltValue="edR4GFN/Byza1nYR3S7STg==" spinCount="100000" sheet="1" formatCells="0" formatColumns="0" formatRows="0" selectLockedCells="1" autoFilter="0" pivotTables="0"/>
  <dataConsolidate/>
  <mergeCells count="8">
    <mergeCell ref="O1:T4"/>
    <mergeCell ref="G2:I2"/>
    <mergeCell ref="H3:I3"/>
    <mergeCell ref="H4:I4"/>
    <mergeCell ref="B5:C5"/>
    <mergeCell ref="O5:O6"/>
    <mergeCell ref="B6:C6"/>
    <mergeCell ref="P6:S6"/>
  </mergeCells>
  <dataValidations count="5">
    <dataValidation type="whole" allowBlank="1" showInputMessage="1" showErrorMessage="1" errorTitle="Erro" error="Dia inexistente" promptTitle="Digite o primeiro dia do mês" prompt="Somente utilize esse campo caso o dia seja diferente de 1." sqref="E6">
      <formula1>1</formula1>
      <formula2>31</formula2>
    </dataValidation>
    <dataValidation type="list" allowBlank="1" showInputMessage="1" showErrorMessage="1" errorTitle="Aviso" error="Erro na inserção de dados:_x000a__x000a_'Evento Inválido'_x000a__x000a_Selecione um Evento válido na Lista" promptTitle="Evento" prompt="_x000a_Selecione um Evento na Lista" sqref="D9:D39 I9:I39">
      <formula1>lstEvento</formula1>
    </dataValidation>
    <dataValidation type="list" allowBlank="1" showErrorMessage="1" errorTitle="Mês Inválido" error="Selecione na lista um mês válido" sqref="B6:C6">
      <formula1>lst_Mes</formula1>
    </dataValidation>
    <dataValidation type="whole" errorStyle="warning" allowBlank="1" showInputMessage="1" showErrorMessage="1" errorTitle="Aviso" error="Ano fora do período estipulado" promptTitle="Digite o ano com 4 dígitos" prompt="_x000a_ex. 2016_x000a__x000a_Entre: 1904 a 9999" sqref="D6">
      <formula1>999</formula1>
      <formula2>9999</formula2>
    </dataValidation>
    <dataValidation type="time" allowBlank="1" showInputMessage="1" showErrorMessage="1" errorTitle="Aviso" error="Erro na inserção de dados:_x000a__x000a_'Hora Inválida'_x000a__x000a_Favor inserir uma hora válida no formato: hh:mm (ex. 12:00)" sqref="E9:H39">
      <formula1>0</formula1>
      <formula2>0.999305555555556</formula2>
    </dataValidation>
  </dataValidations>
  <printOptions verticalCentered="1"/>
  <pageMargins left="0.51181102362204722" right="0.51181102362204722" top="0.78740157480314965" bottom="0.78740157480314965" header="0.31496062992125984" footer="0.31496062992125984"/>
  <pageSetup paperSize="9" scale="82" orientation="landscape" r:id="rId1"/>
  <headerFooter>
    <oddHeader>&amp;R&amp;D</oddHeader>
    <oddFooter>&amp;L.e&amp;RPágina &amp;P de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7" id="{BA46215E-DFB6-4B0E-910E-7788D787901C}">
            <xm:f>IF(OR(IF(ISERROR(VLOOKUP($C9,Config!$C$1:$D$18,2,FALSE)),FALSE,IF(VLOOKUP($C9,Config!$C$1:$D$18,2,FALSE)="Não",TRUE,FALSE)),IF(ISERROR(VLOOKUP($D9,Tabelas!$A$3:$B$51,2,FALSE)),FALSE,IF(VLOOKUP($D9,Tabelas!$A$3:$B$51,2,FALSE)="Sim",TRUE,FALSE)),IF(ISERROR(VLOOKUP($I9,Tabelas!$A$3:$B$51,2,FALSE)),FALSE,IF(VLOOKUP($I9,Tabelas!$A$3:$B$51,2,FALSE)="Sim",TRUE,FALSE))),TRUE,FALSE)</xm:f>
            <x14:dxf>
              <fill>
                <patternFill>
                  <bgColor rgb="FFFFFFCC"/>
                </patternFill>
              </fill>
            </x14:dxf>
          </x14:cfRule>
          <xm:sqref>B9:T9</xm:sqref>
        </x14:conditionalFormatting>
        <x14:conditionalFormatting xmlns:xm="http://schemas.microsoft.com/office/excel/2006/main">
          <x14:cfRule type="expression" priority="6" id="{D70E0044-2704-4F9F-A8B2-3183C5BBC8BA}">
            <xm:f>IF(IF(ISERROR(VLOOKUP($D9,Tabelas!$A$3:$C$51,3,FALSE)),FALSE,VLOOKUP($D9,Tabelas!$A$3:$C$51,3,FALSE)="Sim"),TRUE,FALSE)</xm:f>
            <x14:dxf>
              <fill>
                <patternFill>
                  <bgColor rgb="FFFFD1D2"/>
                </patternFill>
              </fill>
            </x14:dxf>
          </x14:cfRule>
          <xm:sqref>J9 D9:F9</xm:sqref>
        </x14:conditionalFormatting>
        <x14:conditionalFormatting xmlns:xm="http://schemas.microsoft.com/office/excel/2006/main">
          <x14:cfRule type="expression" priority="8" id="{F00C48DF-282C-4FB4-89C0-9EAECA659F84}">
            <xm:f>IF(IF(ISERROR(VLOOKUP($I9,Tabelas!$A$3:$C$51,3,FALSE)),FALSE,VLOOKUP($I9,Tabelas!$A$3:$C$51,3,FALSE)="Sim"),TRUE,FALSE)</xm:f>
            <x14:dxf>
              <fill>
                <patternFill>
                  <bgColor rgb="FFFFD5D6"/>
                </patternFill>
              </fill>
            </x14:dxf>
          </x14:cfRule>
          <xm:sqref>K9:M9 G9:I9</xm:sqref>
        </x14:conditionalFormatting>
        <x14:conditionalFormatting xmlns:xm="http://schemas.microsoft.com/office/excel/2006/main">
          <x14:cfRule type="expression" priority="5" id="{779B240B-3BFD-4C0B-B3CB-B618865D36CC}">
            <xm:f>IF(OR(IF(ISERROR(VLOOKUP($C7,Config!$C$1:$D$18,2,FALSE)),FALSE,IF(VLOOKUP($C7,Config!$C$1:$D$18,2,FALSE)="Não",TRUE,FALSE)),IF(ISERROR(VLOOKUP($D7,Tabelas!$A$3:$B$51,2,FALSE)),FALSE,IF(VLOOKUP($D7,Tabelas!$A$3:$B$51,2,FALSE)="Sim",TRUE,FALSE)),IF(ISERROR(VLOOKUP($I7,Tabelas!$A$3:$B$51,2,FALSE)),FALSE,IF(VLOOKUP($I7,Tabelas!$A$3:$B$51,2,FALSE)="Sim",TRUE,FALSE))),TRUE,FALSE)</xm:f>
            <x14:dxf>
              <fill>
                <patternFill>
                  <bgColor rgb="FFFFFFCC"/>
                </patternFill>
              </fill>
            </x14:dxf>
          </x14:cfRule>
          <xm:sqref>P7:S7</xm:sqref>
        </x14:conditionalFormatting>
        <x14:conditionalFormatting xmlns:xm="http://schemas.microsoft.com/office/excel/2006/main">
          <x14:cfRule type="expression" priority="3" id="{19DEF129-938D-4536-B7B8-4E0C23F70707}">
            <xm:f>IF(OR(IF(ISERROR(VLOOKUP($C10,Config!$C$1:$D$18,2,FALSE)),FALSE,IF(VLOOKUP($C10,Config!$C$1:$D$18,2,FALSE)="Não",TRUE,FALSE)),IF(ISERROR(VLOOKUP($D10,Tabelas!$A$3:$B$51,2,FALSE)),FALSE,IF(VLOOKUP($D10,Tabelas!$A$3:$B$51,2,FALSE)="Sim",TRUE,FALSE)),IF(ISERROR(VLOOKUP($I10,Tabelas!$A$3:$B$51,2,FALSE)),FALSE,IF(VLOOKUP($I10,Tabelas!$A$3:$B$51,2,FALSE)="Sim",TRUE,FALSE))),TRUE,FALSE)</xm:f>
            <x14:dxf>
              <fill>
                <patternFill>
                  <bgColor rgb="FFFFFFCC"/>
                </patternFill>
              </fill>
            </x14:dxf>
          </x14:cfRule>
          <xm:sqref>B10:T39</xm:sqref>
        </x14:conditionalFormatting>
        <x14:conditionalFormatting xmlns:xm="http://schemas.microsoft.com/office/excel/2006/main">
          <x14:cfRule type="expression" priority="2" id="{3FCDEFDA-CEB5-42C2-8711-CC92711AC612}">
            <xm:f>IF(IF(ISERROR(VLOOKUP($D10,Tabelas!$A$3:$C$51,3,FALSE)),FALSE,VLOOKUP($D10,Tabelas!$A$3:$C$51,3,FALSE)="Sim"),TRUE,FALSE)</xm:f>
            <x14:dxf>
              <fill>
                <patternFill>
                  <bgColor rgb="FFFFD1D2"/>
                </patternFill>
              </fill>
            </x14:dxf>
          </x14:cfRule>
          <xm:sqref>J10:J39 D10:F39</xm:sqref>
        </x14:conditionalFormatting>
        <x14:conditionalFormatting xmlns:xm="http://schemas.microsoft.com/office/excel/2006/main">
          <x14:cfRule type="expression" priority="4" id="{6D959D70-FC32-4CB8-ABDB-34C8826220EB}">
            <xm:f>IF(IF(ISERROR(VLOOKUP($I10,Tabelas!$A$3:$C$51,3,FALSE)),FALSE,VLOOKUP($I10,Tabelas!$A$3:$C$51,3,FALSE)="Sim"),TRUE,FALSE)</xm:f>
            <x14:dxf>
              <fill>
                <patternFill>
                  <bgColor rgb="FFFFD5D6"/>
                </patternFill>
              </fill>
            </x14:dxf>
          </x14:cfRule>
          <xm:sqref>K10:M39 G10:I39</xm:sqref>
        </x14:conditionalFormatting>
        <x14:conditionalFormatting xmlns:xm="http://schemas.microsoft.com/office/excel/2006/main">
          <x14:cfRule type="expression" priority="1" id="{051497C1-3DD8-452D-B29F-AE81861CFE6E}">
            <xm:f>IF(OR(IF(ISERROR(VLOOKUP($C7,Config!$C$1:$D$18,2,FALSE)),FALSE,IF(VLOOKUP($C7,Config!$C$1:$D$18,2,FALSE)="Não",TRUE,FALSE)),IF(ISERROR(VLOOKUP($D7,Tabelas!$A$3:$B$51,2,FALSE)),FALSE,IF(VLOOKUP($D7,Tabelas!$A$3:$B$51,2,FALSE)="Sim",TRUE,FALSE)),IF(ISERROR(VLOOKUP($I7,Tabelas!$A$3:$B$51,2,FALSE)),FALSE,IF(VLOOKUP($I7,Tabelas!$A$3:$B$51,2,FALSE)="Sim",TRUE,FALSE))),TRUE,FALSE)</xm:f>
            <x14:dxf>
              <fill>
                <patternFill>
                  <bgColor rgb="FFFFFFCC"/>
                </patternFill>
              </fill>
            </x14:dxf>
          </x14:cfRule>
          <xm:sqref>O7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nNovembro">
    <tabColor theme="4" tint="0.59999389629810485"/>
    <pageSetUpPr fitToPage="1"/>
  </sheetPr>
  <dimension ref="A1:AC47"/>
  <sheetViews>
    <sheetView showGridLines="0" workbookViewId="0">
      <pane xSplit="1" ySplit="8" topLeftCell="B9" activePane="bottomRight" state="frozen"/>
      <selection activeCell="H10" sqref="H10"/>
      <selection pane="topRight" activeCell="H10" sqref="H10"/>
      <selection pane="bottomLeft" activeCell="H10" sqref="H10"/>
      <selection pane="bottomRight" activeCell="E9" sqref="E9"/>
    </sheetView>
  </sheetViews>
  <sheetFormatPr defaultColWidth="0" defaultRowHeight="15" zeroHeight="1" x14ac:dyDescent="0.25"/>
  <cols>
    <col min="1" max="1" width="6.7109375" style="5" customWidth="1"/>
    <col min="2" max="2" width="10.7109375" style="5" customWidth="1"/>
    <col min="3" max="3" width="10" style="5" customWidth="1"/>
    <col min="4" max="9" width="12.7109375" style="5" customWidth="1"/>
    <col min="10" max="14" width="12.7109375" style="5" hidden="1" customWidth="1"/>
    <col min="15" max="15" width="12.7109375" style="5" customWidth="1"/>
    <col min="16" max="19" width="12.7109375" style="5" hidden="1" customWidth="1"/>
    <col min="20" max="20" width="38.42578125" style="5" customWidth="1"/>
    <col min="21" max="21" width="2.7109375" style="5" customWidth="1"/>
    <col min="22" max="22" width="9.140625" style="5" hidden="1" customWidth="1"/>
    <col min="23" max="23" width="12.42578125" style="5" hidden="1" customWidth="1"/>
    <col min="24" max="25" width="0" style="5" hidden="1" customWidth="1"/>
    <col min="26" max="26" width="9.140625" style="5" hidden="1" customWidth="1"/>
    <col min="27" max="27" width="12.42578125" style="5" hidden="1" customWidth="1"/>
    <col min="28" max="29" width="0" style="5" hidden="1" customWidth="1"/>
    <col min="30" max="16384" width="9.140625" style="5" hidden="1"/>
  </cols>
  <sheetData>
    <row r="1" spans="2:25" ht="15" customHeight="1" x14ac:dyDescent="0.25">
      <c r="G1" s="48" t="s">
        <v>58</v>
      </c>
      <c r="O1" s="83" t="str">
        <f>"*Limite de horas: " &amp; LIMITE &amp; "; e 
*Contabiliza a partir de " &amp; TEXT(CARENCIA, "hh:mm") &amp; " hora(s) (para mais ou para menos);
*Caso tenha Atestado em um dos períodos, o que ultrapassar de 4:00 horas de trabalho contabiliza hora positiva."</f>
        <v>*Limite de horas: 2h diárias; e 
*Contabiliza a partir de 00:00 hora(s) (para mais ou para menos);
*Caso tenha Atestado em um dos períodos, o que ultrapassar de 4:00 horas de trabalho contabiliza hora positiva.</v>
      </c>
      <c r="P1" s="83"/>
      <c r="Q1" s="83"/>
      <c r="R1" s="83"/>
      <c r="S1" s="83"/>
      <c r="T1" s="83"/>
    </row>
    <row r="2" spans="2:25" ht="15" customHeight="1" thickBot="1" x14ac:dyDescent="0.3">
      <c r="B2" s="6"/>
      <c r="G2" s="90"/>
      <c r="H2" s="91"/>
      <c r="I2" s="91"/>
      <c r="N2" s="24"/>
      <c r="O2" s="83"/>
      <c r="P2" s="83"/>
      <c r="Q2" s="83"/>
      <c r="R2" s="83"/>
      <c r="S2" s="83"/>
      <c r="T2" s="83"/>
    </row>
    <row r="3" spans="2:25" ht="15" customHeight="1" x14ac:dyDescent="0.25">
      <c r="B3" s="6"/>
      <c r="G3" s="48" t="s">
        <v>96</v>
      </c>
      <c r="H3" s="92" t="s">
        <v>97</v>
      </c>
      <c r="I3" s="93"/>
      <c r="N3" s="24"/>
      <c r="O3" s="83"/>
      <c r="P3" s="83"/>
      <c r="Q3" s="83"/>
      <c r="R3" s="83"/>
      <c r="S3" s="83"/>
      <c r="T3" s="83"/>
    </row>
    <row r="4" spans="2:25" ht="15" customHeight="1" thickBot="1" x14ac:dyDescent="0.3">
      <c r="B4" s="6"/>
      <c r="G4" s="52"/>
      <c r="H4" s="84"/>
      <c r="I4" s="85"/>
      <c r="N4" s="24"/>
      <c r="O4" s="83"/>
      <c r="P4" s="83"/>
      <c r="Q4" s="83"/>
      <c r="R4" s="83"/>
      <c r="S4" s="83"/>
      <c r="T4" s="83"/>
    </row>
    <row r="5" spans="2:25" ht="15" customHeight="1" x14ac:dyDescent="0.25">
      <c r="B5" s="86" t="s">
        <v>59</v>
      </c>
      <c r="C5" s="87"/>
      <c r="D5" s="48" t="s">
        <v>62</v>
      </c>
      <c r="E5" s="48" t="s">
        <v>88</v>
      </c>
      <c r="G5" s="7"/>
      <c r="N5" s="24"/>
      <c r="O5" s="94" t="s">
        <v>100</v>
      </c>
      <c r="P5" s="34" t="s">
        <v>76</v>
      </c>
      <c r="Q5" s="34" t="s">
        <v>76</v>
      </c>
      <c r="R5" s="34" t="s">
        <v>76</v>
      </c>
      <c r="S5" s="34" t="s">
        <v>76</v>
      </c>
      <c r="T5" s="24"/>
    </row>
    <row r="6" spans="2:25" ht="16.5" customHeight="1" thickBot="1" x14ac:dyDescent="0.3">
      <c r="B6" s="88" t="s">
        <v>73</v>
      </c>
      <c r="C6" s="89"/>
      <c r="D6" s="30" t="str">
        <f>IF(Janeiro!D6&lt;&gt;"",Janeiro!D6,"")</f>
        <v/>
      </c>
      <c r="E6" s="30" t="str">
        <f>IF(Janeiro!E6&lt;&gt;"",Janeiro!E6,"")</f>
        <v/>
      </c>
      <c r="F6" s="32" t="str">
        <f>IF(ISERROR(DATEVALUE(IF(E6&lt;&gt;"",E6,1)&amp;"-"&amp;B6&amp;"-"&amp;D6)),"",DATEVALUE(IF(E6&lt;&gt;"",E6,1)&amp;"-"&amp;B6&amp;"-"&amp;D6))</f>
        <v/>
      </c>
      <c r="N6" s="24"/>
      <c r="O6" s="95"/>
      <c r="P6" s="81" t="s">
        <v>95</v>
      </c>
      <c r="Q6" s="82"/>
      <c r="R6" s="82"/>
      <c r="S6" s="82"/>
      <c r="T6" s="24"/>
    </row>
    <row r="7" spans="2:25" x14ac:dyDescent="0.25">
      <c r="E7" s="8"/>
      <c r="F7" s="8"/>
      <c r="G7" s="8"/>
      <c r="H7" s="8"/>
      <c r="I7" s="8"/>
      <c r="J7" s="34" t="s">
        <v>76</v>
      </c>
      <c r="K7" s="34" t="s">
        <v>76</v>
      </c>
      <c r="L7" s="34" t="s">
        <v>76</v>
      </c>
      <c r="M7" s="34" t="s">
        <v>76</v>
      </c>
      <c r="N7" s="34" t="s">
        <v>76</v>
      </c>
      <c r="O7" s="45">
        <f>Outubro!O39</f>
        <v>0</v>
      </c>
      <c r="P7" s="45">
        <f>SUM(tblHorasNov[Atrasos
(horas)])</f>
        <v>0</v>
      </c>
      <c r="Q7" s="46">
        <f>SUM(tblHorasNov[Faltas
(dias)])</f>
        <v>0</v>
      </c>
      <c r="R7" s="45">
        <f>SUM(tblHorasNov[Hora Extra Normal])</f>
        <v>0</v>
      </c>
      <c r="S7" s="45">
        <f>SUM(tblHorasNov[Hora Extra 
Especial])</f>
        <v>0</v>
      </c>
      <c r="T7" s="24"/>
    </row>
    <row r="8" spans="2:25" s="9" customFormat="1" ht="45" customHeight="1" x14ac:dyDescent="0.25">
      <c r="B8" s="9" t="s">
        <v>0</v>
      </c>
      <c r="C8" s="9" t="s">
        <v>1</v>
      </c>
      <c r="D8" s="10" t="s">
        <v>51</v>
      </c>
      <c r="E8" s="9" t="s">
        <v>3</v>
      </c>
      <c r="F8" s="9" t="s">
        <v>4</v>
      </c>
      <c r="G8" s="9" t="s">
        <v>5</v>
      </c>
      <c r="H8" s="9" t="s">
        <v>6</v>
      </c>
      <c r="I8" s="10" t="s">
        <v>52</v>
      </c>
      <c r="J8" s="9" t="s">
        <v>35</v>
      </c>
      <c r="K8" s="9" t="s">
        <v>36</v>
      </c>
      <c r="L8" s="9" t="s">
        <v>55</v>
      </c>
      <c r="M8" s="9" t="s">
        <v>48</v>
      </c>
      <c r="N8" s="9" t="s">
        <v>50</v>
      </c>
      <c r="O8" s="9" t="s">
        <v>49</v>
      </c>
      <c r="P8" s="9" t="s">
        <v>91</v>
      </c>
      <c r="Q8" s="9" t="s">
        <v>92</v>
      </c>
      <c r="R8" s="9" t="s">
        <v>93</v>
      </c>
      <c r="S8" s="9" t="s">
        <v>94</v>
      </c>
      <c r="T8" s="9" t="s">
        <v>46</v>
      </c>
      <c r="W8" s="26"/>
    </row>
    <row r="9" spans="2:25" x14ac:dyDescent="0.25">
      <c r="B9" s="11" t="str">
        <f>IF(ISERROR(F6),"",F6)</f>
        <v/>
      </c>
      <c r="C9" s="12" t="str">
        <f>TEXT(tblHorasNov[Data],"ddd")</f>
        <v/>
      </c>
      <c r="D9" s="25"/>
      <c r="E9" s="1"/>
      <c r="F9" s="1"/>
      <c r="G9" s="1"/>
      <c r="H9" s="1"/>
      <c r="I9" s="53"/>
      <c r="J9" s="4">
        <f>IF($B$6&lt;&gt;"",
IF(AND(tblHorasNov[Evento 
(1º Período)]&lt;&gt;"",IF(ISERROR(VLOOKUP(tblHorasNov[Evento 
(1º Período)],tblEvento[],Tabelas!$D$1,FALSE)),FALSE,VLOOKUP(tblHorasNov[Evento 
(1º Período)],tblEvento[],Tabelas!$D$1,FALSE)="Sim")),
        IF(JORNADA_PERIODO_1&lt;&gt;"",
IF(VLOOKUP(tblHorasNov[Dia],tblDiaUtil[[Abreviatura]:[1º Período]],3,FALSE)&gt;0,VLOOKUP(tblHorasNov[Dia],tblDiaUtil[[Abreviatura]:[1º Período]],3,FALSE),JORNADA_PERIODO_1),
IF(VLOOKUP(tblHorasNov[Dia],tblDiaUtil[[Abreviatura]:[1º Período]],3,FALSE)&gt;0,VLOOKUP(tblHorasNov[Dia],tblDiaUtil[[Abreviatura]:[1º Período]],3,FALSE),JORNADA/2)),
        IF(AND(ISNUMBER(tblHorasNov[Saída - 1 (Almoço)]),ISNUMBER(tblHorasNov[Entrada - 1])),
              IF(OR(AND(tblHorasNov[Evento 
(1º Período)]&lt;&gt;"",IF(ISERROR(VLOOKUP(tblHorasNov[Evento 
(1º Período)],tblEvento[],Tabelas!$E$1,FALSE)),FALSE,VLOOKUP(tblHorasNov[Evento 
(1º Período)],tblEvento[],Tabelas!$E$1,FALSE)="Sim")),IF(VLOOKUP(TEXT(tblHorasNov[Data],"dddd"),tblDiaUtil[],2,FALSE)="Não",TRUE,FALSE)),
                   tblHorasNov[Saída - 1 (Almoço)]-tblHorasNov[Entrada - 1],
                   IF(OR(HOUR(tblHorasNov[Saída - 1 (Almoço)]-tblHorasNov[Entrada - 1])&gt;0,ROUND(tblHorasNov[Saída - 1 (Almoço)]-tblHorasNov[Entrada - 1],6)&gt;ROUND(CARENCIA,6)),
                          tblHorasNov[Saída - 1 (Almoço)]-tblHorasNov[Entrada - 1],
                          0)),
                    0)),0)</f>
        <v>0</v>
      </c>
      <c r="K9" s="4">
        <f>IF($B$6&lt;&gt;"",
IF(AND(tblHorasNov[Evento 
(2º Período)]&lt;&gt;"",IF(ISERROR(VLOOKUP(tblHorasNov[Evento 
(2º Período)],tblEvento[],Tabelas!$D$1,FALSE)),FALSE,VLOOKUP(tblHorasNov[Evento 
(2º Período)],tblEvento[],Tabelas!$D$1,FALSE)="Sim")),
        IF(JORNADA_PERIODO_2&lt;&gt;"",
IF(VLOOKUP(tblHorasNov[Dia],tblDiaUtil[[Abreviatura]:[2º Período]],4,FALSE)&gt;0,VLOOKUP(tblHorasNov[Dia],tblDiaUtil[[Abreviatura]:[2º Período]],4,FALSE),JORNADA_PERIODO_2),
IF(VLOOKUP(tblHorasNov[Dia],tblDiaUtil[[Abreviatura]:[2º Período]],4,FALSE)&gt;0,VLOOKUP(tblHorasNov[Dia],tblDiaUtil[[Abreviatura]:[2º Período]],4,FALSE),JORNADA/2)),
        IF(AND(ISNUMBER(tblHorasNov[Saída - 2]),ISNUMBER(tblHorasNov[Entrada - 2 (Almoço)])),
              IF(OR(AND(tblHorasNov[Evento 
(2º Período)]&lt;&gt;"",IF(ISERROR(VLOOKUP(tblHorasNov[Evento 
(2º Período)],tblEvento[],Tabelas!$E$1,FALSE)),FALSE,VLOOKUP(tblHorasNov[Evento 
(2º Período)],tblEvento[],Tabelas!$E$1,FALSE)="Sim")),IF(VLOOKUP(TEXT(tblHorasNov[Data],"dddd"),tblDiaUtil[],2,FALSE)="Não",TRUE,FALSE)),
                   tblHorasNov[Saída - 2]-tblHorasNov[Entrada - 2 (Almoço)],
                   IF(OR(HOUR(tblHorasNov[Saída - 2]-tblHorasNov[Entrada - 2 (Almoço)])&gt;0,MINUTE(tblHorasNov[Saída - 2]-tblHorasNov[Entrada - 2 (Almoço)])&gt;CARENCIA),
                         tblHorasNov[Saída - 2]-tblHorasNov[Entrada - 2 (Almoço)],
                         0)),
       0)),0)</f>
        <v>0</v>
      </c>
      <c r="L9" s="4">
        <f>tblHorasNov[Horas Trabalhadas (1º Período)]+tblHorasNov[Horas Trabalhadas (2º Período)]</f>
        <v>0</v>
      </c>
      <c r="M9" s="4" t="str">
        <f>IF(tblHorasNov[Data]&lt;&gt;"",
        IF(
AND(VLOOKUP(TEXT(tblHorasNov[Data],"dddd"),tblDiaUtil[],3,FALSE)="Sim",IF(tblHorasNov[Evento 
(1º Período)]&lt;&gt;"",IF(VLOOKUP(tblHorasNov[Evento 
(1º Período)],tblEvento[],Tabelas!$E$1,FALSE)="Sim",FALSE,TRUE),TRUE),IF(tblHorasNov[Evento 
(2º Período)]&lt;&gt;"",IF(VLOOKUP(tblHorasNov[Evento 
(2º Período)],tblEvento[],Tabelas!$E$1,FALSE)="Sim",FALSE,TRUE),TRUE)),
              IF(VLOOKUP(tblHorasNov[Dia],tblDiaUtil[[Abreviatura]:[1º Período]],3,FALSE)&gt;0,VLOOKUP(tblHorasNov[Dia],tblDiaUtil[[Abreviatura]:[1º Período]],3,FALSE),JORNADA),
              ""),
         "")</f>
        <v/>
      </c>
      <c r="N9" s="14">
        <f>IF(OR(tblHorasNov[Horas Trabalhadas (1º Período)]&lt;&gt;0,tblHorasNov[Horas Trabalhadas (2º Período)]&lt;&gt;0),
        IF(ISNUMBER(tblHorasNov[Jornada Diária]),
              IF(tblHorasNov[Jornada Diária]&gt;(tblHorasNov[Horas Trabalhadas (2º Período)]+tblHorasNov[Horas Trabalhadas (1º Período)]),
                     IF(ROUND((tblHorasNov[Jornada Diária]-(tblHorasNov[Horas Trabalhadas (2º Período)]+tblHorasNov[Horas Trabalhadas (1º Período)])),6)&gt;ROUND(CARENCIA,6),
                           -tblHorasNov[Jornada Diária]+(tblHorasNov[Horas Trabalhadas (2º Período)]+tblHorasNov[Horas Trabalhadas (1º Período)]),
                           0),
                      IF(ROUND((tblHorasNov[Jornada Diária]-(tblHorasNov[Horas Trabalhadas (2º Período)]+tblHorasNov[Horas Trabalhadas (1º Período)])),6)&lt;ROUND(-CARENCIA,6),
                           -tblHorasNov[Jornada Diária]+(tblHorasNov[Horas Trabalhadas (2º Período)]+tblHorasNov[Horas Trabalhadas (1º Período)]),
                           0)),
              tblHorasNov[Horas Trabalhadas (2º Período)]+tblHorasNov[Horas Trabalhadas (1º Período)]),
         IF(AND(IF(ISERROR(VLOOKUP(tblHorasNov[Evento 
(1º Período)],tblEvento[[Evento]:[Libera o Período]],4,FALSE)),FALSE,IF(VLOOKUP(tblHorasNov[Evento 
(1º Período)],tblEvento[[Evento]:[Libera o Período]],4,FALSE)="Não",TRUE,FALSE)),IF(ISERROR(VLOOKUP(tblHorasNov[Evento 
(2º Período)],tblEvento[[Evento]:[Libera o Período]],4,FALSE)),FALSE,IF(VLOOKUP(tblHorasNov[Evento 
(2º Período)],tblEvento[[Evento]:[Libera o Período]],4,FALSE)="Não",TRUE,FALSE))),
-IF(VLOOKUP(tblHorasNov[Dia],tblDiaUtil[[Abreviatura]:[Total Jornada]],5,FALSE)&lt;&gt;"",VLOOKUP(tblHorasNov[Dia],tblDiaUtil[[Abreviatura]:[Total Jornada]],5,FALSE),JORNADA),
IF(IF(ISERROR(VLOOKUP(tblHorasNov[Evento 
(1º Período)],tblEvento[[Evento]:[Libera o Período]],4,FALSE)),FALSE,
IF(VLOOKUP(tblHorasNov[Evento 
(1º Período)],tblEvento[[Evento]:[Libera o Período]],4,FALSE)="Não",TRUE,FALSE)
),
-IF(VLOOKUP(tblHorasNov[Dia],tblDiaUtil[[Abreviatura]:[1º Período]],3,FALSE)&lt;&gt;"",VLOOKUP(tblHorasNov[Dia],tblDiaUtil[[Abreviatura]:[1º Período]],3,FALSE),JORNADA_PERIODO_1),
IF(IF(ISERROR(VLOOKUP(tblHorasNov[Evento 
(2º Período)],tblEvento[[Evento]:[Libera o Período]],4,FALSE)),FALSE,IF(VLOOKUP(tblHorasNov[Evento 
(2º Período)],tblEvento[[Evento]:[Libera o Período]],4,FALSE)="Não",TRUE,FALSE)),
-IF(VLOOKUP(tblHorasNov[Dia],tblDiaUtil[[Abreviatura]:[2º Período]],4,FALSE)&lt;&gt;"",VLOOKUP(tblHorasNov[Dia],tblDiaUtil[[Abreviatura]:[2º Período]],4,FALSE),JORNADA_PERIODO_2),0))))</f>
        <v>0</v>
      </c>
      <c r="O9" s="14">
        <f>IF(tblHorasNov[Horas Trabalhadas Além Jornada]&gt;0,
        IF(ISNUMBER(tblHorasNov[Jornada Diária]),
              IF(HOUR(tblHorasNov[Horas Trabalhadas Além Jornada])&gt;=VLOOKUP(LIMITE,tblLimiteHora[],Tabelas!$I$1,FALSE),
                    VLOOKUP(LIMITE,tblLimiteHora[],Tabelas!$J$1,FALSE),
                    tblHorasNov[Horas Trabalhadas Além Jornada]),
              tblHorasNov[Horas Trabalhadas Além Jornada]),
        tblHorasNov[Horas Trabalhadas Além Jornada])+O7</f>
        <v>0</v>
      </c>
      <c r="P9" s="14" t="str">
        <f>IF(tblHorasNov[Horas Trabalhadas Além Jornada]&lt;0,IF(OR(tblHorasNov[Evento 
(1º Período)]="",tblHorasNov[Evento 
(2º Período)]=""),tblHorasNov[Horas Trabalhadas Além Jornada],""),"")</f>
        <v/>
      </c>
      <c r="Q9" s="14" t="str">
        <f>IF(tblHorasNov[Jornada Diária]&lt;&gt;"",IF((N(tblHorasNov[Jornada Diária])-ABS(N(tblHorasNov[Horas Trabalhadas Além Jornada])))=0,1,""),"")</f>
        <v/>
      </c>
      <c r="R9" s="14" t="str">
        <f>IF(tblHorasNov[Horas Trabalhadas Além Jornada]&gt;0,
IF(AND(VLOOKUP(TEXT(tblHorasNov[Data],"dddd"),tblDiaUtil[],3,FALSE)="Sim",IF(tblHorasNov[Evento 
(1º Período)]&lt;&gt;"",IF(VLOOKUP(tblHorasNov[Evento 
(1º Período)],tblEvento[],Tabelas!$E$1,FALSE)="Sim",FALSE,TRUE),TRUE),IF(tblHorasNov[Evento 
(2º Período)]&lt;&gt;"",IF(VLOOKUP(tblHorasNov[Evento 
(2º Período)],tblEvento[],Tabelas!$E$1,FALSE)="Sim",FALSE,TRUE),TRUE)),
tblHorasNov[Horas Trabalhadas Além Jornada],""),"")</f>
        <v/>
      </c>
      <c r="S9" s="14" t="str">
        <f>IF(tblHorasNov[Horas Trabalhadas Além Jornada]&gt;0,
IF(OR(VLOOKUP(TEXT(tblHorasNov[Data],"dddd"),tblDiaUtil[],3,FALSE)="Não",IF(tblHorasNov[Evento 
(1º Período)]&lt;&gt;"",IF(VLOOKUP(tblHorasNov[Evento 
(1º Período)],tblEvento[],Tabelas!$E$1,FALSE)="Sim",TRUE,FALSE),FALSE),IF(tblHorasNov[Evento 
(2º Período)]&lt;&gt;"",IF(VLOOKUP(tblHorasNov[Evento 
(2º Período)],tblEvento[],Tabelas!$E$1,FALSE)="Sim",TRUE,FALSE),FALSE)),
tblHorasNov[Horas Trabalhadas Além Jornada],""),"")</f>
        <v/>
      </c>
      <c r="T9" s="15" t="str">
        <f>IF(tblHorasNov[Evento 
(1º Período)]&lt;&gt;""," - " &amp;VLOOKUP(tblHorasNov[Evento 
(1º Período)],tblEvento[],Tabelas!$F$1,FALSE),"")&amp;IF(AND(tblHorasNov[Evento 
(2º Período)]&lt;&gt;"",tblHorasNov[Evento 
(2º Período)]&lt;&gt;tblHorasNov[Evento 
(1º Período)])," - " &amp; VLOOKUP(tblHorasNov[Evento 
(2º Período)],tblEvento[],Tabelas!$F$1,FALSE),"")</f>
        <v/>
      </c>
      <c r="V9" s="16"/>
      <c r="Y9" s="17"/>
    </row>
    <row r="10" spans="2:25" x14ac:dyDescent="0.25">
      <c r="B10" s="11" t="str">
        <f>IF(B9&lt;&gt;"",IF(DAY(B9+1)=IF($E$6&lt;&gt;"",$E$6,1),"",B9+1),"")</f>
        <v/>
      </c>
      <c r="C10" s="12" t="str">
        <f>TEXT(tblHorasNov[Data],"ddd")</f>
        <v/>
      </c>
      <c r="D10" s="25"/>
      <c r="E10" s="1"/>
      <c r="F10" s="1"/>
      <c r="G10" s="1"/>
      <c r="H10" s="1"/>
      <c r="I10" s="53"/>
      <c r="J10" s="4">
        <f>IF($B$6&lt;&gt;"",
IF(AND(tblHorasNov[Evento 
(1º Período)]&lt;&gt;"",IF(ISERROR(VLOOKUP(tblHorasNov[Evento 
(1º Período)],tblEvento[],Tabelas!$D$1,FALSE)),FALSE,VLOOKUP(tblHorasNov[Evento 
(1º Período)],tblEvento[],Tabelas!$D$1,FALSE)="Sim")),
        IF(JORNADA_PERIODO_1&lt;&gt;"",
IF(VLOOKUP(tblHorasNov[Dia],tblDiaUtil[[Abreviatura]:[1º Período]],3,FALSE)&gt;0,VLOOKUP(tblHorasNov[Dia],tblDiaUtil[[Abreviatura]:[1º Período]],3,FALSE),JORNADA_PERIODO_1),
IF(VLOOKUP(tblHorasNov[Dia],tblDiaUtil[[Abreviatura]:[1º Período]],3,FALSE)&gt;0,VLOOKUP(tblHorasNov[Dia],tblDiaUtil[[Abreviatura]:[1º Período]],3,FALSE),JORNADA/2)),
        IF(AND(ISNUMBER(tblHorasNov[Saída - 1 (Almoço)]),ISNUMBER(tblHorasNov[Entrada - 1])),
              IF(OR(AND(tblHorasNov[Evento 
(1º Período)]&lt;&gt;"",IF(ISERROR(VLOOKUP(tblHorasNov[Evento 
(1º Período)],tblEvento[],Tabelas!$E$1,FALSE)),FALSE,VLOOKUP(tblHorasNov[Evento 
(1º Período)],tblEvento[],Tabelas!$E$1,FALSE)="Sim")),IF(VLOOKUP(TEXT(tblHorasNov[Data],"dddd"),tblDiaUtil[],2,FALSE)="Não",TRUE,FALSE)),
                   tblHorasNov[Saída - 1 (Almoço)]-tblHorasNov[Entrada - 1],
                   IF(OR(HOUR(tblHorasNov[Saída - 1 (Almoço)]-tblHorasNov[Entrada - 1])&gt;0,ROUND(tblHorasNov[Saída - 1 (Almoço)]-tblHorasNov[Entrada - 1],6)&gt;ROUND(CARENCIA,6)),
                          tblHorasNov[Saída - 1 (Almoço)]-tblHorasNov[Entrada - 1],
                          0)),
                    0)),0)</f>
        <v>0</v>
      </c>
      <c r="K10" s="4">
        <f>IF($B$6&lt;&gt;"",
IF(AND(tblHorasNov[Evento 
(2º Período)]&lt;&gt;"",IF(ISERROR(VLOOKUP(tblHorasNov[Evento 
(2º Período)],tblEvento[],Tabelas!$D$1,FALSE)),FALSE,VLOOKUP(tblHorasNov[Evento 
(2º Período)],tblEvento[],Tabelas!$D$1,FALSE)="Sim")),
        IF(JORNADA_PERIODO_2&lt;&gt;"",
IF(VLOOKUP(tblHorasNov[Dia],tblDiaUtil[[Abreviatura]:[2º Período]],4,FALSE)&gt;0,VLOOKUP(tblHorasNov[Dia],tblDiaUtil[[Abreviatura]:[2º Período]],4,FALSE),JORNADA_PERIODO_2),
IF(VLOOKUP(tblHorasNov[Dia],tblDiaUtil[[Abreviatura]:[2º Período]],4,FALSE)&gt;0,VLOOKUP(tblHorasNov[Dia],tblDiaUtil[[Abreviatura]:[2º Período]],4,FALSE),JORNADA/2)),
        IF(AND(ISNUMBER(tblHorasNov[Saída - 2]),ISNUMBER(tblHorasNov[Entrada - 2 (Almoço)])),
              IF(OR(AND(tblHorasNov[Evento 
(2º Período)]&lt;&gt;"",IF(ISERROR(VLOOKUP(tblHorasNov[Evento 
(2º Período)],tblEvento[],Tabelas!$E$1,FALSE)),FALSE,VLOOKUP(tblHorasNov[Evento 
(2º Período)],tblEvento[],Tabelas!$E$1,FALSE)="Sim")),IF(VLOOKUP(TEXT(tblHorasNov[Data],"dddd"),tblDiaUtil[],2,FALSE)="Não",TRUE,FALSE)),
                   tblHorasNov[Saída - 2]-tblHorasNov[Entrada - 2 (Almoço)],
                   IF(OR(HOUR(tblHorasNov[Saída - 2]-tblHorasNov[Entrada - 2 (Almoço)])&gt;0,MINUTE(tblHorasNov[Saída - 2]-tblHorasNov[Entrada - 2 (Almoço)])&gt;CARENCIA),
                         tblHorasNov[Saída - 2]-tblHorasNov[Entrada - 2 (Almoço)],
                         0)),
       0)),0)</f>
        <v>0</v>
      </c>
      <c r="L10" s="4">
        <f>tblHorasNov[Horas Trabalhadas (1º Período)]+tblHorasNov[Horas Trabalhadas (2º Período)]</f>
        <v>0</v>
      </c>
      <c r="M10" s="4" t="str">
        <f>IF(tblHorasNov[Data]&lt;&gt;"",
        IF(
AND(VLOOKUP(TEXT(tblHorasNov[Data],"dddd"),tblDiaUtil[],3,FALSE)="Sim",IF(tblHorasNov[Evento 
(1º Período)]&lt;&gt;"",IF(VLOOKUP(tblHorasNov[Evento 
(1º Período)],tblEvento[],Tabelas!$E$1,FALSE)="Sim",FALSE,TRUE),TRUE),IF(tblHorasNov[Evento 
(2º Período)]&lt;&gt;"",IF(VLOOKUP(tblHorasNov[Evento 
(2º Período)],tblEvento[],Tabelas!$E$1,FALSE)="Sim",FALSE,TRUE),TRUE)),
              IF(VLOOKUP(tblHorasNov[Dia],tblDiaUtil[[Abreviatura]:[1º Período]],3,FALSE)&gt;0,VLOOKUP(tblHorasNov[Dia],tblDiaUtil[[Abreviatura]:[1º Período]],3,FALSE),JORNADA),
              ""),
         "")</f>
        <v/>
      </c>
      <c r="N10" s="14">
        <f>IF(OR(tblHorasNov[Horas Trabalhadas (1º Período)]&lt;&gt;0,tblHorasNov[Horas Trabalhadas (2º Período)]&lt;&gt;0),
        IF(ISNUMBER(tblHorasNov[Jornada Diária]),
              IF(tblHorasNov[Jornada Diária]&gt;(tblHorasNov[Horas Trabalhadas (2º Período)]+tblHorasNov[Horas Trabalhadas (1º Período)]),
                     IF(ROUND((tblHorasNov[Jornada Diária]-(tblHorasNov[Horas Trabalhadas (2º Período)]+tblHorasNov[Horas Trabalhadas (1º Período)])),6)&gt;ROUND(CARENCIA,6),
                           -tblHorasNov[Jornada Diária]+(tblHorasNov[Horas Trabalhadas (2º Período)]+tblHorasNov[Horas Trabalhadas (1º Período)]),
                           0),
                      IF(ROUND((tblHorasNov[Jornada Diária]-(tblHorasNov[Horas Trabalhadas (2º Período)]+tblHorasNov[Horas Trabalhadas (1º Período)])),6)&lt;ROUND(-CARENCIA,6),
                           -tblHorasNov[Jornada Diária]+(tblHorasNov[Horas Trabalhadas (2º Período)]+tblHorasNov[Horas Trabalhadas (1º Período)]),
                           0)),
              tblHorasNov[Horas Trabalhadas (2º Período)]+tblHorasNov[Horas Trabalhadas (1º Período)]),
         IF(AND(IF(ISERROR(VLOOKUP(tblHorasNov[Evento 
(1º Período)],tblEvento[[Evento]:[Libera o Período]],4,FALSE)),FALSE,IF(VLOOKUP(tblHorasNov[Evento 
(1º Período)],tblEvento[[Evento]:[Libera o Período]],4,FALSE)="Não",TRUE,FALSE)),IF(ISERROR(VLOOKUP(tblHorasNov[Evento 
(2º Período)],tblEvento[[Evento]:[Libera o Período]],4,FALSE)),FALSE,IF(VLOOKUP(tblHorasNov[Evento 
(2º Período)],tblEvento[[Evento]:[Libera o Período]],4,FALSE)="Não",TRUE,FALSE))),
-IF(VLOOKUP(tblHorasNov[Dia],tblDiaUtil[[Abreviatura]:[Total Jornada]],5,FALSE)&lt;&gt;"",VLOOKUP(tblHorasNov[Dia],tblDiaUtil[[Abreviatura]:[Total Jornada]],5,FALSE),JORNADA),
IF(IF(ISERROR(VLOOKUP(tblHorasNov[Evento 
(1º Período)],tblEvento[[Evento]:[Libera o Período]],4,FALSE)),FALSE,
IF(VLOOKUP(tblHorasNov[Evento 
(1º Período)],tblEvento[[Evento]:[Libera o Período]],4,FALSE)="Não",TRUE,FALSE)
),
-IF(VLOOKUP(tblHorasNov[Dia],tblDiaUtil[[Abreviatura]:[1º Período]],3,FALSE)&lt;&gt;"",VLOOKUP(tblHorasNov[Dia],tblDiaUtil[[Abreviatura]:[1º Período]],3,FALSE),JORNADA_PERIODO_1),
IF(IF(ISERROR(VLOOKUP(tblHorasNov[Evento 
(2º Período)],tblEvento[[Evento]:[Libera o Período]],4,FALSE)),FALSE,IF(VLOOKUP(tblHorasNov[Evento 
(2º Período)],tblEvento[[Evento]:[Libera o Período]],4,FALSE)="Não",TRUE,FALSE)),
-IF(VLOOKUP(tblHorasNov[Dia],tblDiaUtil[[Abreviatura]:[2º Período]],4,FALSE)&lt;&gt;"",VLOOKUP(tblHorasNov[Dia],tblDiaUtil[[Abreviatura]:[2º Período]],4,FALSE),JORNADA_PERIODO_2),0))))</f>
        <v>0</v>
      </c>
      <c r="O10" s="14">
        <f>IF(tblHorasNov[Horas Trabalhadas Além Jornada]&gt;0,
        IF(ISNUMBER(tblHorasNov[Jornada Diária]),
              IF(HOUR(tblHorasNov[Horas Trabalhadas Além Jornada])&gt;=VLOOKUP(LIMITE,tblLimiteHora[],Tabelas!$I$1,FALSE),
                    VLOOKUP(LIMITE,tblLimiteHora[],Tabelas!$J$1,FALSE),
                    tblHorasNov[Horas Trabalhadas Além Jornada]),
              tblHorasNov[Horas Trabalhadas Além Jornada]),
        tblHorasNov[Horas Trabalhadas Além Jornada])+O9</f>
        <v>0</v>
      </c>
      <c r="P10" s="14" t="str">
        <f>IF(tblHorasNov[Horas Trabalhadas Além Jornada]&lt;0,IF(OR(tblHorasNov[Evento 
(1º Período)]="",tblHorasNov[Evento 
(2º Período)]=""),tblHorasNov[Horas Trabalhadas Além Jornada],""),"")</f>
        <v/>
      </c>
      <c r="Q10" s="14" t="str">
        <f>IF(tblHorasNov[Jornada Diária]&lt;&gt;"",IF((N(tblHorasNov[Jornada Diária])-ABS(N(tblHorasNov[Horas Trabalhadas Além Jornada])))=0,1,""),"")</f>
        <v/>
      </c>
      <c r="R10" s="14" t="str">
        <f>IF(tblHorasNov[Horas Trabalhadas Além Jornada]&gt;0,
IF(AND(VLOOKUP(TEXT(tblHorasNov[Data],"dddd"),tblDiaUtil[],3,FALSE)="Sim",IF(tblHorasNov[Evento 
(1º Período)]&lt;&gt;"",IF(VLOOKUP(tblHorasNov[Evento 
(1º Período)],tblEvento[],Tabelas!$E$1,FALSE)="Sim",FALSE,TRUE),TRUE),IF(tblHorasNov[Evento 
(2º Período)]&lt;&gt;"",IF(VLOOKUP(tblHorasNov[Evento 
(2º Período)],tblEvento[],Tabelas!$E$1,FALSE)="Sim",FALSE,TRUE),TRUE)),
tblHorasNov[Horas Trabalhadas Além Jornada],""),"")</f>
        <v/>
      </c>
      <c r="S10" s="14" t="str">
        <f>IF(tblHorasNov[Horas Trabalhadas Além Jornada]&gt;0,
IF(OR(VLOOKUP(TEXT(tblHorasNov[Data],"dddd"),tblDiaUtil[],3,FALSE)="Não",IF(tblHorasNov[Evento 
(1º Período)]&lt;&gt;"",IF(VLOOKUP(tblHorasNov[Evento 
(1º Período)],tblEvento[],Tabelas!$E$1,FALSE)="Sim",TRUE,FALSE),FALSE),IF(tblHorasNov[Evento 
(2º Período)]&lt;&gt;"",IF(VLOOKUP(tblHorasNov[Evento 
(2º Período)],tblEvento[],Tabelas!$E$1,FALSE)="Sim",TRUE,FALSE),FALSE)),
tblHorasNov[Horas Trabalhadas Além Jornada],""),"")</f>
        <v/>
      </c>
      <c r="T10" s="15" t="str">
        <f>IF(tblHorasNov[Evento 
(1º Período)]&lt;&gt;""," - " &amp;VLOOKUP(tblHorasNov[Evento 
(1º Período)],tblEvento[],Tabelas!$F$1,FALSE),"")&amp;IF(AND(tblHorasNov[Evento 
(2º Período)]&lt;&gt;"",tblHorasNov[Evento 
(2º Período)]&lt;&gt;tblHorasNov[Evento 
(1º Período)])," - " &amp; VLOOKUP(tblHorasNov[Evento 
(2º Período)],tblEvento[],Tabelas!$F$1,FALSE),"")</f>
        <v/>
      </c>
      <c r="Y10" s="17"/>
    </row>
    <row r="11" spans="2:25" x14ac:dyDescent="0.25">
      <c r="B11" s="11" t="str">
        <f t="shared" ref="B11:B39" si="0">IF(B10&lt;&gt;"",IF(DAY(B10+1)=IF($E$6&lt;&gt;"",$E$6,1),"",B10+1),"")</f>
        <v/>
      </c>
      <c r="C11" s="12" t="str">
        <f>TEXT(tblHorasNov[Data],"ddd")</f>
        <v/>
      </c>
      <c r="D11" s="25"/>
      <c r="E11" s="1"/>
      <c r="F11" s="1"/>
      <c r="G11" s="1"/>
      <c r="H11" s="1"/>
      <c r="I11" s="53"/>
      <c r="J11" s="4">
        <f>IF($B$6&lt;&gt;"",
IF(AND(tblHorasNov[Evento 
(1º Período)]&lt;&gt;"",IF(ISERROR(VLOOKUP(tblHorasNov[Evento 
(1º Período)],tblEvento[],Tabelas!$D$1,FALSE)),FALSE,VLOOKUP(tblHorasNov[Evento 
(1º Período)],tblEvento[],Tabelas!$D$1,FALSE)="Sim")),
        IF(JORNADA_PERIODO_1&lt;&gt;"",
IF(VLOOKUP(tblHorasNov[Dia],tblDiaUtil[[Abreviatura]:[1º Período]],3,FALSE)&gt;0,VLOOKUP(tblHorasNov[Dia],tblDiaUtil[[Abreviatura]:[1º Período]],3,FALSE),JORNADA_PERIODO_1),
IF(VLOOKUP(tblHorasNov[Dia],tblDiaUtil[[Abreviatura]:[1º Período]],3,FALSE)&gt;0,VLOOKUP(tblHorasNov[Dia],tblDiaUtil[[Abreviatura]:[1º Período]],3,FALSE),JORNADA/2)),
        IF(AND(ISNUMBER(tblHorasNov[Saída - 1 (Almoço)]),ISNUMBER(tblHorasNov[Entrada - 1])),
              IF(OR(AND(tblHorasNov[Evento 
(1º Período)]&lt;&gt;"",IF(ISERROR(VLOOKUP(tblHorasNov[Evento 
(1º Período)],tblEvento[],Tabelas!$E$1,FALSE)),FALSE,VLOOKUP(tblHorasNov[Evento 
(1º Período)],tblEvento[],Tabelas!$E$1,FALSE)="Sim")),IF(VLOOKUP(TEXT(tblHorasNov[Data],"dddd"),tblDiaUtil[],2,FALSE)="Não",TRUE,FALSE)),
                   tblHorasNov[Saída - 1 (Almoço)]-tblHorasNov[Entrada - 1],
                   IF(OR(HOUR(tblHorasNov[Saída - 1 (Almoço)]-tblHorasNov[Entrada - 1])&gt;0,ROUND(tblHorasNov[Saída - 1 (Almoço)]-tblHorasNov[Entrada - 1],6)&gt;ROUND(CARENCIA,6)),
                          tblHorasNov[Saída - 1 (Almoço)]-tblHorasNov[Entrada - 1],
                          0)),
                    0)),0)</f>
        <v>0</v>
      </c>
      <c r="K11" s="4">
        <f>IF($B$6&lt;&gt;"",
IF(AND(tblHorasNov[Evento 
(2º Período)]&lt;&gt;"",IF(ISERROR(VLOOKUP(tblHorasNov[Evento 
(2º Período)],tblEvento[],Tabelas!$D$1,FALSE)),FALSE,VLOOKUP(tblHorasNov[Evento 
(2º Período)],tblEvento[],Tabelas!$D$1,FALSE)="Sim")),
        IF(JORNADA_PERIODO_2&lt;&gt;"",
IF(VLOOKUP(tblHorasNov[Dia],tblDiaUtil[[Abreviatura]:[2º Período]],4,FALSE)&gt;0,VLOOKUP(tblHorasNov[Dia],tblDiaUtil[[Abreviatura]:[2º Período]],4,FALSE),JORNADA_PERIODO_2),
IF(VLOOKUP(tblHorasNov[Dia],tblDiaUtil[[Abreviatura]:[2º Período]],4,FALSE)&gt;0,VLOOKUP(tblHorasNov[Dia],tblDiaUtil[[Abreviatura]:[2º Período]],4,FALSE),JORNADA/2)),
        IF(AND(ISNUMBER(tblHorasNov[Saída - 2]),ISNUMBER(tblHorasNov[Entrada - 2 (Almoço)])),
              IF(OR(AND(tblHorasNov[Evento 
(2º Período)]&lt;&gt;"",IF(ISERROR(VLOOKUP(tblHorasNov[Evento 
(2º Período)],tblEvento[],Tabelas!$E$1,FALSE)),FALSE,VLOOKUP(tblHorasNov[Evento 
(2º Período)],tblEvento[],Tabelas!$E$1,FALSE)="Sim")),IF(VLOOKUP(TEXT(tblHorasNov[Data],"dddd"),tblDiaUtil[],2,FALSE)="Não",TRUE,FALSE)),
                   tblHorasNov[Saída - 2]-tblHorasNov[Entrada - 2 (Almoço)],
                   IF(OR(HOUR(tblHorasNov[Saída - 2]-tblHorasNov[Entrada - 2 (Almoço)])&gt;0,MINUTE(tblHorasNov[Saída - 2]-tblHorasNov[Entrada - 2 (Almoço)])&gt;CARENCIA),
                         tblHorasNov[Saída - 2]-tblHorasNov[Entrada - 2 (Almoço)],
                         0)),
       0)),0)</f>
        <v>0</v>
      </c>
      <c r="L11" s="4">
        <f>tblHorasNov[Horas Trabalhadas (1º Período)]+tblHorasNov[Horas Trabalhadas (2º Período)]</f>
        <v>0</v>
      </c>
      <c r="M11" s="4" t="str">
        <f>IF(tblHorasNov[Data]&lt;&gt;"",
        IF(
AND(VLOOKUP(TEXT(tblHorasNov[Data],"dddd"),tblDiaUtil[],3,FALSE)="Sim",IF(tblHorasNov[Evento 
(1º Período)]&lt;&gt;"",IF(VLOOKUP(tblHorasNov[Evento 
(1º Período)],tblEvento[],Tabelas!$E$1,FALSE)="Sim",FALSE,TRUE),TRUE),IF(tblHorasNov[Evento 
(2º Período)]&lt;&gt;"",IF(VLOOKUP(tblHorasNov[Evento 
(2º Período)],tblEvento[],Tabelas!$E$1,FALSE)="Sim",FALSE,TRUE),TRUE)),
              IF(VLOOKUP(tblHorasNov[Dia],tblDiaUtil[[Abreviatura]:[1º Período]],3,FALSE)&gt;0,VLOOKUP(tblHorasNov[Dia],tblDiaUtil[[Abreviatura]:[1º Período]],3,FALSE),JORNADA),
              ""),
         "")</f>
        <v/>
      </c>
      <c r="N11" s="14">
        <f>IF(OR(tblHorasNov[Horas Trabalhadas (1º Período)]&lt;&gt;0,tblHorasNov[Horas Trabalhadas (2º Período)]&lt;&gt;0),
        IF(ISNUMBER(tblHorasNov[Jornada Diária]),
              IF(tblHorasNov[Jornada Diária]&gt;(tblHorasNov[Horas Trabalhadas (2º Período)]+tblHorasNov[Horas Trabalhadas (1º Período)]),
                     IF(ROUND((tblHorasNov[Jornada Diária]-(tblHorasNov[Horas Trabalhadas (2º Período)]+tblHorasNov[Horas Trabalhadas (1º Período)])),6)&gt;ROUND(CARENCIA,6),
                           -tblHorasNov[Jornada Diária]+(tblHorasNov[Horas Trabalhadas (2º Período)]+tblHorasNov[Horas Trabalhadas (1º Período)]),
                           0),
                      IF(ROUND((tblHorasNov[Jornada Diária]-(tblHorasNov[Horas Trabalhadas (2º Período)]+tblHorasNov[Horas Trabalhadas (1º Período)])),6)&lt;ROUND(-CARENCIA,6),
                           -tblHorasNov[Jornada Diária]+(tblHorasNov[Horas Trabalhadas (2º Período)]+tblHorasNov[Horas Trabalhadas (1º Período)]),
                           0)),
              tblHorasNov[Horas Trabalhadas (2º Período)]+tblHorasNov[Horas Trabalhadas (1º Período)]),
         IF(AND(IF(ISERROR(VLOOKUP(tblHorasNov[Evento 
(1º Período)],tblEvento[[Evento]:[Libera o Período]],4,FALSE)),FALSE,IF(VLOOKUP(tblHorasNov[Evento 
(1º Período)],tblEvento[[Evento]:[Libera o Período]],4,FALSE)="Não",TRUE,FALSE)),IF(ISERROR(VLOOKUP(tblHorasNov[Evento 
(2º Período)],tblEvento[[Evento]:[Libera o Período]],4,FALSE)),FALSE,IF(VLOOKUP(tblHorasNov[Evento 
(2º Período)],tblEvento[[Evento]:[Libera o Período]],4,FALSE)="Não",TRUE,FALSE))),
-IF(VLOOKUP(tblHorasNov[Dia],tblDiaUtil[[Abreviatura]:[Total Jornada]],5,FALSE)&lt;&gt;"",VLOOKUP(tblHorasNov[Dia],tblDiaUtil[[Abreviatura]:[Total Jornada]],5,FALSE),JORNADA),
IF(IF(ISERROR(VLOOKUP(tblHorasNov[Evento 
(1º Período)],tblEvento[[Evento]:[Libera o Período]],4,FALSE)),FALSE,
IF(VLOOKUP(tblHorasNov[Evento 
(1º Período)],tblEvento[[Evento]:[Libera o Período]],4,FALSE)="Não",TRUE,FALSE)
),
-IF(VLOOKUP(tblHorasNov[Dia],tblDiaUtil[[Abreviatura]:[1º Período]],3,FALSE)&lt;&gt;"",VLOOKUP(tblHorasNov[Dia],tblDiaUtil[[Abreviatura]:[1º Período]],3,FALSE),JORNADA_PERIODO_1),
IF(IF(ISERROR(VLOOKUP(tblHorasNov[Evento 
(2º Período)],tblEvento[[Evento]:[Libera o Período]],4,FALSE)),FALSE,IF(VLOOKUP(tblHorasNov[Evento 
(2º Período)],tblEvento[[Evento]:[Libera o Período]],4,FALSE)="Não",TRUE,FALSE)),
-IF(VLOOKUP(tblHorasNov[Dia],tblDiaUtil[[Abreviatura]:[2º Período]],4,FALSE)&lt;&gt;"",VLOOKUP(tblHorasNov[Dia],tblDiaUtil[[Abreviatura]:[2º Período]],4,FALSE),JORNADA_PERIODO_2),0))))</f>
        <v>0</v>
      </c>
      <c r="O11" s="14">
        <f>IF(tblHorasNov[Horas Trabalhadas Além Jornada]&gt;0,
        IF(ISNUMBER(tblHorasNov[Jornada Diária]),
              IF(HOUR(tblHorasNov[Horas Trabalhadas Além Jornada])&gt;=VLOOKUP(LIMITE,tblLimiteHora[],Tabelas!$I$1,FALSE),
                    VLOOKUP(LIMITE,tblLimiteHora[],Tabelas!$J$1,FALSE),
                    tblHorasNov[Horas Trabalhadas Além Jornada]),
              tblHorasNov[Horas Trabalhadas Além Jornada]),
        tblHorasNov[Horas Trabalhadas Além Jornada])+O10</f>
        <v>0</v>
      </c>
      <c r="P11" s="14" t="str">
        <f>IF(tblHorasNov[Horas Trabalhadas Além Jornada]&lt;0,IF(OR(tblHorasNov[Evento 
(1º Período)]="",tblHorasNov[Evento 
(2º Período)]=""),tblHorasNov[Horas Trabalhadas Além Jornada],""),"")</f>
        <v/>
      </c>
      <c r="Q11" s="14" t="str">
        <f>IF(tblHorasNov[Jornada Diária]&lt;&gt;"",IF((N(tblHorasNov[Jornada Diária])-ABS(N(tblHorasNov[Horas Trabalhadas Além Jornada])))=0,1,""),"")</f>
        <v/>
      </c>
      <c r="R11" s="14" t="str">
        <f>IF(tblHorasNov[Horas Trabalhadas Além Jornada]&gt;0,
IF(AND(VLOOKUP(TEXT(tblHorasNov[Data],"dddd"),tblDiaUtil[],3,FALSE)="Sim",IF(tblHorasNov[Evento 
(1º Período)]&lt;&gt;"",IF(VLOOKUP(tblHorasNov[Evento 
(1º Período)],tblEvento[],Tabelas!$E$1,FALSE)="Sim",FALSE,TRUE),TRUE),IF(tblHorasNov[Evento 
(2º Período)]&lt;&gt;"",IF(VLOOKUP(tblHorasNov[Evento 
(2º Período)],tblEvento[],Tabelas!$E$1,FALSE)="Sim",FALSE,TRUE),TRUE)),
tblHorasNov[Horas Trabalhadas Além Jornada],""),"")</f>
        <v/>
      </c>
      <c r="S11" s="14" t="str">
        <f>IF(tblHorasNov[Horas Trabalhadas Além Jornada]&gt;0,
IF(OR(VLOOKUP(TEXT(tblHorasNov[Data],"dddd"),tblDiaUtil[],3,FALSE)="Não",IF(tblHorasNov[Evento 
(1º Período)]&lt;&gt;"",IF(VLOOKUP(tblHorasNov[Evento 
(1º Período)],tblEvento[],Tabelas!$E$1,FALSE)="Sim",TRUE,FALSE),FALSE),IF(tblHorasNov[Evento 
(2º Período)]&lt;&gt;"",IF(VLOOKUP(tblHorasNov[Evento 
(2º Período)],tblEvento[],Tabelas!$E$1,FALSE)="Sim",TRUE,FALSE),FALSE)),
tblHorasNov[Horas Trabalhadas Além Jornada],""),"")</f>
        <v/>
      </c>
      <c r="T11" s="15" t="str">
        <f>IF(tblHorasNov[Evento 
(1º Período)]&lt;&gt;""," - " &amp;VLOOKUP(tblHorasNov[Evento 
(1º Período)],tblEvento[],Tabelas!$F$1,FALSE),"")&amp;IF(AND(tblHorasNov[Evento 
(2º Período)]&lt;&gt;"",tblHorasNov[Evento 
(2º Período)]&lt;&gt;tblHorasNov[Evento 
(1º Período)])," - " &amp; VLOOKUP(tblHorasNov[Evento 
(2º Período)],tblEvento[],Tabelas!$F$1,FALSE),"")</f>
        <v/>
      </c>
    </row>
    <row r="12" spans="2:25" x14ac:dyDescent="0.25">
      <c r="B12" s="11" t="str">
        <f t="shared" si="0"/>
        <v/>
      </c>
      <c r="C12" s="12" t="str">
        <f>TEXT(tblHorasNov[Data],"ddd")</f>
        <v/>
      </c>
      <c r="D12" s="25"/>
      <c r="E12" s="1"/>
      <c r="F12" s="1"/>
      <c r="G12" s="1"/>
      <c r="H12" s="1"/>
      <c r="I12" s="53"/>
      <c r="J12" s="4">
        <f>IF($B$6&lt;&gt;"",
IF(AND(tblHorasNov[Evento 
(1º Período)]&lt;&gt;"",IF(ISERROR(VLOOKUP(tblHorasNov[Evento 
(1º Período)],tblEvento[],Tabelas!$D$1,FALSE)),FALSE,VLOOKUP(tblHorasNov[Evento 
(1º Período)],tblEvento[],Tabelas!$D$1,FALSE)="Sim")),
        IF(JORNADA_PERIODO_1&lt;&gt;"",
IF(VLOOKUP(tblHorasNov[Dia],tblDiaUtil[[Abreviatura]:[1º Período]],3,FALSE)&gt;0,VLOOKUP(tblHorasNov[Dia],tblDiaUtil[[Abreviatura]:[1º Período]],3,FALSE),JORNADA_PERIODO_1),
IF(VLOOKUP(tblHorasNov[Dia],tblDiaUtil[[Abreviatura]:[1º Período]],3,FALSE)&gt;0,VLOOKUP(tblHorasNov[Dia],tblDiaUtil[[Abreviatura]:[1º Período]],3,FALSE),JORNADA/2)),
        IF(AND(ISNUMBER(tblHorasNov[Saída - 1 (Almoço)]),ISNUMBER(tblHorasNov[Entrada - 1])),
              IF(OR(AND(tblHorasNov[Evento 
(1º Período)]&lt;&gt;"",IF(ISERROR(VLOOKUP(tblHorasNov[Evento 
(1º Período)],tblEvento[],Tabelas!$E$1,FALSE)),FALSE,VLOOKUP(tblHorasNov[Evento 
(1º Período)],tblEvento[],Tabelas!$E$1,FALSE)="Sim")),IF(VLOOKUP(TEXT(tblHorasNov[Data],"dddd"),tblDiaUtil[],2,FALSE)="Não",TRUE,FALSE)),
                   tblHorasNov[Saída - 1 (Almoço)]-tblHorasNov[Entrada - 1],
                   IF(OR(HOUR(tblHorasNov[Saída - 1 (Almoço)]-tblHorasNov[Entrada - 1])&gt;0,ROUND(tblHorasNov[Saída - 1 (Almoço)]-tblHorasNov[Entrada - 1],6)&gt;ROUND(CARENCIA,6)),
                          tblHorasNov[Saída - 1 (Almoço)]-tblHorasNov[Entrada - 1],
                          0)),
                    0)),0)</f>
        <v>0</v>
      </c>
      <c r="K12" s="4">
        <f>IF($B$6&lt;&gt;"",
IF(AND(tblHorasNov[Evento 
(2º Período)]&lt;&gt;"",IF(ISERROR(VLOOKUP(tblHorasNov[Evento 
(2º Período)],tblEvento[],Tabelas!$D$1,FALSE)),FALSE,VLOOKUP(tblHorasNov[Evento 
(2º Período)],tblEvento[],Tabelas!$D$1,FALSE)="Sim")),
        IF(JORNADA_PERIODO_2&lt;&gt;"",
IF(VLOOKUP(tblHorasNov[Dia],tblDiaUtil[[Abreviatura]:[2º Período]],4,FALSE)&gt;0,VLOOKUP(tblHorasNov[Dia],tblDiaUtil[[Abreviatura]:[2º Período]],4,FALSE),JORNADA_PERIODO_2),
IF(VLOOKUP(tblHorasNov[Dia],tblDiaUtil[[Abreviatura]:[2º Período]],4,FALSE)&gt;0,VLOOKUP(tblHorasNov[Dia],tblDiaUtil[[Abreviatura]:[2º Período]],4,FALSE),JORNADA/2)),
        IF(AND(ISNUMBER(tblHorasNov[Saída - 2]),ISNUMBER(tblHorasNov[Entrada - 2 (Almoço)])),
              IF(OR(AND(tblHorasNov[Evento 
(2º Período)]&lt;&gt;"",IF(ISERROR(VLOOKUP(tblHorasNov[Evento 
(2º Período)],tblEvento[],Tabelas!$E$1,FALSE)),FALSE,VLOOKUP(tblHorasNov[Evento 
(2º Período)],tblEvento[],Tabelas!$E$1,FALSE)="Sim")),IF(VLOOKUP(TEXT(tblHorasNov[Data],"dddd"),tblDiaUtil[],2,FALSE)="Não",TRUE,FALSE)),
                   tblHorasNov[Saída - 2]-tblHorasNov[Entrada - 2 (Almoço)],
                   IF(OR(HOUR(tblHorasNov[Saída - 2]-tblHorasNov[Entrada - 2 (Almoço)])&gt;0,MINUTE(tblHorasNov[Saída - 2]-tblHorasNov[Entrada - 2 (Almoço)])&gt;CARENCIA),
                         tblHorasNov[Saída - 2]-tblHorasNov[Entrada - 2 (Almoço)],
                         0)),
       0)),0)</f>
        <v>0</v>
      </c>
      <c r="L12" s="4">
        <f>tblHorasNov[Horas Trabalhadas (1º Período)]+tblHorasNov[Horas Trabalhadas (2º Período)]</f>
        <v>0</v>
      </c>
      <c r="M12" s="4" t="str">
        <f>IF(tblHorasNov[Data]&lt;&gt;"",
        IF(
AND(VLOOKUP(TEXT(tblHorasNov[Data],"dddd"),tblDiaUtil[],3,FALSE)="Sim",IF(tblHorasNov[Evento 
(1º Período)]&lt;&gt;"",IF(VLOOKUP(tblHorasNov[Evento 
(1º Período)],tblEvento[],Tabelas!$E$1,FALSE)="Sim",FALSE,TRUE),TRUE),IF(tblHorasNov[Evento 
(2º Período)]&lt;&gt;"",IF(VLOOKUP(tblHorasNov[Evento 
(2º Período)],tblEvento[],Tabelas!$E$1,FALSE)="Sim",FALSE,TRUE),TRUE)),
              IF(VLOOKUP(tblHorasNov[Dia],tblDiaUtil[[Abreviatura]:[1º Período]],3,FALSE)&gt;0,VLOOKUP(tblHorasNov[Dia],tblDiaUtil[[Abreviatura]:[1º Período]],3,FALSE),JORNADA),
              ""),
         "")</f>
        <v/>
      </c>
      <c r="N12" s="14">
        <f>IF(OR(tblHorasNov[Horas Trabalhadas (1º Período)]&lt;&gt;0,tblHorasNov[Horas Trabalhadas (2º Período)]&lt;&gt;0),
        IF(ISNUMBER(tblHorasNov[Jornada Diária]),
              IF(tblHorasNov[Jornada Diária]&gt;(tblHorasNov[Horas Trabalhadas (2º Período)]+tblHorasNov[Horas Trabalhadas (1º Período)]),
                     IF(ROUND((tblHorasNov[Jornada Diária]-(tblHorasNov[Horas Trabalhadas (2º Período)]+tblHorasNov[Horas Trabalhadas (1º Período)])),6)&gt;ROUND(CARENCIA,6),
                           -tblHorasNov[Jornada Diária]+(tblHorasNov[Horas Trabalhadas (2º Período)]+tblHorasNov[Horas Trabalhadas (1º Período)]),
                           0),
                      IF(ROUND((tblHorasNov[Jornada Diária]-(tblHorasNov[Horas Trabalhadas (2º Período)]+tblHorasNov[Horas Trabalhadas (1º Período)])),6)&lt;ROUND(-CARENCIA,6),
                           -tblHorasNov[Jornada Diária]+(tblHorasNov[Horas Trabalhadas (2º Período)]+tblHorasNov[Horas Trabalhadas (1º Período)]),
                           0)),
              tblHorasNov[Horas Trabalhadas (2º Período)]+tblHorasNov[Horas Trabalhadas (1º Período)]),
         IF(AND(IF(ISERROR(VLOOKUP(tblHorasNov[Evento 
(1º Período)],tblEvento[[Evento]:[Libera o Período]],4,FALSE)),FALSE,IF(VLOOKUP(tblHorasNov[Evento 
(1º Período)],tblEvento[[Evento]:[Libera o Período]],4,FALSE)="Não",TRUE,FALSE)),IF(ISERROR(VLOOKUP(tblHorasNov[Evento 
(2º Período)],tblEvento[[Evento]:[Libera o Período]],4,FALSE)),FALSE,IF(VLOOKUP(tblHorasNov[Evento 
(2º Período)],tblEvento[[Evento]:[Libera o Período]],4,FALSE)="Não",TRUE,FALSE))),
-IF(VLOOKUP(tblHorasNov[Dia],tblDiaUtil[[Abreviatura]:[Total Jornada]],5,FALSE)&lt;&gt;"",VLOOKUP(tblHorasNov[Dia],tblDiaUtil[[Abreviatura]:[Total Jornada]],5,FALSE),JORNADA),
IF(IF(ISERROR(VLOOKUP(tblHorasNov[Evento 
(1º Período)],tblEvento[[Evento]:[Libera o Período]],4,FALSE)),FALSE,
IF(VLOOKUP(tblHorasNov[Evento 
(1º Período)],tblEvento[[Evento]:[Libera o Período]],4,FALSE)="Não",TRUE,FALSE)
),
-IF(VLOOKUP(tblHorasNov[Dia],tblDiaUtil[[Abreviatura]:[1º Período]],3,FALSE)&lt;&gt;"",VLOOKUP(tblHorasNov[Dia],tblDiaUtil[[Abreviatura]:[1º Período]],3,FALSE),JORNADA_PERIODO_1),
IF(IF(ISERROR(VLOOKUP(tblHorasNov[Evento 
(2º Período)],tblEvento[[Evento]:[Libera o Período]],4,FALSE)),FALSE,IF(VLOOKUP(tblHorasNov[Evento 
(2º Período)],tblEvento[[Evento]:[Libera o Período]],4,FALSE)="Não",TRUE,FALSE)),
-IF(VLOOKUP(tblHorasNov[Dia],tblDiaUtil[[Abreviatura]:[2º Período]],4,FALSE)&lt;&gt;"",VLOOKUP(tblHorasNov[Dia],tblDiaUtil[[Abreviatura]:[2º Período]],4,FALSE),JORNADA_PERIODO_2),0))))</f>
        <v>0</v>
      </c>
      <c r="O12" s="14">
        <f>IF(tblHorasNov[Horas Trabalhadas Além Jornada]&gt;0,
        IF(ISNUMBER(tblHorasNov[Jornada Diária]),
              IF(HOUR(tblHorasNov[Horas Trabalhadas Além Jornada])&gt;=VLOOKUP(LIMITE,tblLimiteHora[],Tabelas!$I$1,FALSE),
                    VLOOKUP(LIMITE,tblLimiteHora[],Tabelas!$J$1,FALSE),
                    tblHorasNov[Horas Trabalhadas Além Jornada]),
              tblHorasNov[Horas Trabalhadas Além Jornada]),
        tblHorasNov[Horas Trabalhadas Além Jornada])+O11</f>
        <v>0</v>
      </c>
      <c r="P12" s="14" t="str">
        <f>IF(tblHorasNov[Horas Trabalhadas Além Jornada]&lt;0,IF(OR(tblHorasNov[Evento 
(1º Período)]="",tblHorasNov[Evento 
(2º Período)]=""),tblHorasNov[Horas Trabalhadas Além Jornada],""),"")</f>
        <v/>
      </c>
      <c r="Q12" s="14" t="str">
        <f>IF(tblHorasNov[Jornada Diária]&lt;&gt;"",IF((N(tblHorasNov[Jornada Diária])-ABS(N(tblHorasNov[Horas Trabalhadas Além Jornada])))=0,1,""),"")</f>
        <v/>
      </c>
      <c r="R12" s="14" t="str">
        <f>IF(tblHorasNov[Horas Trabalhadas Além Jornada]&gt;0,
IF(AND(VLOOKUP(TEXT(tblHorasNov[Data],"dddd"),tblDiaUtil[],3,FALSE)="Sim",IF(tblHorasNov[Evento 
(1º Período)]&lt;&gt;"",IF(VLOOKUP(tblHorasNov[Evento 
(1º Período)],tblEvento[],Tabelas!$E$1,FALSE)="Sim",FALSE,TRUE),TRUE),IF(tblHorasNov[Evento 
(2º Período)]&lt;&gt;"",IF(VLOOKUP(tblHorasNov[Evento 
(2º Período)],tblEvento[],Tabelas!$E$1,FALSE)="Sim",FALSE,TRUE),TRUE)),
tblHorasNov[Horas Trabalhadas Além Jornada],""),"")</f>
        <v/>
      </c>
      <c r="S12" s="14" t="str">
        <f>IF(tblHorasNov[Horas Trabalhadas Além Jornada]&gt;0,
IF(OR(VLOOKUP(TEXT(tblHorasNov[Data],"dddd"),tblDiaUtil[],3,FALSE)="Não",IF(tblHorasNov[Evento 
(1º Período)]&lt;&gt;"",IF(VLOOKUP(tblHorasNov[Evento 
(1º Período)],tblEvento[],Tabelas!$E$1,FALSE)="Sim",TRUE,FALSE),FALSE),IF(tblHorasNov[Evento 
(2º Período)]&lt;&gt;"",IF(VLOOKUP(tblHorasNov[Evento 
(2º Período)],tblEvento[],Tabelas!$E$1,FALSE)="Sim",TRUE,FALSE),FALSE)),
tblHorasNov[Horas Trabalhadas Além Jornada],""),"")</f>
        <v/>
      </c>
      <c r="T12" s="15" t="str">
        <f>IF(tblHorasNov[Evento 
(1º Período)]&lt;&gt;""," - " &amp;VLOOKUP(tblHorasNov[Evento 
(1º Período)],tblEvento[],Tabelas!$F$1,FALSE),"")&amp;IF(AND(tblHorasNov[Evento 
(2º Período)]&lt;&gt;"",tblHorasNov[Evento 
(2º Período)]&lt;&gt;tblHorasNov[Evento 
(1º Período)])," - " &amp; VLOOKUP(tblHorasNov[Evento 
(2º Período)],tblEvento[],Tabelas!$F$1,FALSE),"")</f>
        <v/>
      </c>
    </row>
    <row r="13" spans="2:25" x14ac:dyDescent="0.25">
      <c r="B13" s="11" t="str">
        <f t="shared" si="0"/>
        <v/>
      </c>
      <c r="C13" s="12" t="str">
        <f>TEXT(tblHorasNov[Data],"ddd")</f>
        <v/>
      </c>
      <c r="D13" s="25"/>
      <c r="E13" s="1"/>
      <c r="F13" s="1"/>
      <c r="G13" s="1"/>
      <c r="H13" s="1"/>
      <c r="I13" s="53"/>
      <c r="J13" s="4">
        <f>IF($B$6&lt;&gt;"",
IF(AND(tblHorasNov[Evento 
(1º Período)]&lt;&gt;"",IF(ISERROR(VLOOKUP(tblHorasNov[Evento 
(1º Período)],tblEvento[],Tabelas!$D$1,FALSE)),FALSE,VLOOKUP(tblHorasNov[Evento 
(1º Período)],tblEvento[],Tabelas!$D$1,FALSE)="Sim")),
        IF(JORNADA_PERIODO_1&lt;&gt;"",
IF(VLOOKUP(tblHorasNov[Dia],tblDiaUtil[[Abreviatura]:[1º Período]],3,FALSE)&gt;0,VLOOKUP(tblHorasNov[Dia],tblDiaUtil[[Abreviatura]:[1º Período]],3,FALSE),JORNADA_PERIODO_1),
IF(VLOOKUP(tblHorasNov[Dia],tblDiaUtil[[Abreviatura]:[1º Período]],3,FALSE)&gt;0,VLOOKUP(tblHorasNov[Dia],tblDiaUtil[[Abreviatura]:[1º Período]],3,FALSE),JORNADA/2)),
        IF(AND(ISNUMBER(tblHorasNov[Saída - 1 (Almoço)]),ISNUMBER(tblHorasNov[Entrada - 1])),
              IF(OR(AND(tblHorasNov[Evento 
(1º Período)]&lt;&gt;"",IF(ISERROR(VLOOKUP(tblHorasNov[Evento 
(1º Período)],tblEvento[],Tabelas!$E$1,FALSE)),FALSE,VLOOKUP(tblHorasNov[Evento 
(1º Período)],tblEvento[],Tabelas!$E$1,FALSE)="Sim")),IF(VLOOKUP(TEXT(tblHorasNov[Data],"dddd"),tblDiaUtil[],2,FALSE)="Não",TRUE,FALSE)),
                   tblHorasNov[Saída - 1 (Almoço)]-tblHorasNov[Entrada - 1],
                   IF(OR(HOUR(tblHorasNov[Saída - 1 (Almoço)]-tblHorasNov[Entrada - 1])&gt;0,ROUND(tblHorasNov[Saída - 1 (Almoço)]-tblHorasNov[Entrada - 1],6)&gt;ROUND(CARENCIA,6)),
                          tblHorasNov[Saída - 1 (Almoço)]-tblHorasNov[Entrada - 1],
                          0)),
                    0)),0)</f>
        <v>0</v>
      </c>
      <c r="K13" s="4">
        <f>IF($B$6&lt;&gt;"",
IF(AND(tblHorasNov[Evento 
(2º Período)]&lt;&gt;"",IF(ISERROR(VLOOKUP(tblHorasNov[Evento 
(2º Período)],tblEvento[],Tabelas!$D$1,FALSE)),FALSE,VLOOKUP(tblHorasNov[Evento 
(2º Período)],tblEvento[],Tabelas!$D$1,FALSE)="Sim")),
        IF(JORNADA_PERIODO_2&lt;&gt;"",
IF(VLOOKUP(tblHorasNov[Dia],tblDiaUtil[[Abreviatura]:[2º Período]],4,FALSE)&gt;0,VLOOKUP(tblHorasNov[Dia],tblDiaUtil[[Abreviatura]:[2º Período]],4,FALSE),JORNADA_PERIODO_2),
IF(VLOOKUP(tblHorasNov[Dia],tblDiaUtil[[Abreviatura]:[2º Período]],4,FALSE)&gt;0,VLOOKUP(tblHorasNov[Dia],tblDiaUtil[[Abreviatura]:[2º Período]],4,FALSE),JORNADA/2)),
        IF(AND(ISNUMBER(tblHorasNov[Saída - 2]),ISNUMBER(tblHorasNov[Entrada - 2 (Almoço)])),
              IF(OR(AND(tblHorasNov[Evento 
(2º Período)]&lt;&gt;"",IF(ISERROR(VLOOKUP(tblHorasNov[Evento 
(2º Período)],tblEvento[],Tabelas!$E$1,FALSE)),FALSE,VLOOKUP(tblHorasNov[Evento 
(2º Período)],tblEvento[],Tabelas!$E$1,FALSE)="Sim")),IF(VLOOKUP(TEXT(tblHorasNov[Data],"dddd"),tblDiaUtil[],2,FALSE)="Não",TRUE,FALSE)),
                   tblHorasNov[Saída - 2]-tblHorasNov[Entrada - 2 (Almoço)],
                   IF(OR(HOUR(tblHorasNov[Saída - 2]-tblHorasNov[Entrada - 2 (Almoço)])&gt;0,MINUTE(tblHorasNov[Saída - 2]-tblHorasNov[Entrada - 2 (Almoço)])&gt;CARENCIA),
                         tblHorasNov[Saída - 2]-tblHorasNov[Entrada - 2 (Almoço)],
                         0)),
       0)),0)</f>
        <v>0</v>
      </c>
      <c r="L13" s="4">
        <f>tblHorasNov[Horas Trabalhadas (1º Período)]+tblHorasNov[Horas Trabalhadas (2º Período)]</f>
        <v>0</v>
      </c>
      <c r="M13" s="4" t="str">
        <f>IF(tblHorasNov[Data]&lt;&gt;"",
        IF(
AND(VLOOKUP(TEXT(tblHorasNov[Data],"dddd"),tblDiaUtil[],3,FALSE)="Sim",IF(tblHorasNov[Evento 
(1º Período)]&lt;&gt;"",IF(VLOOKUP(tblHorasNov[Evento 
(1º Período)],tblEvento[],Tabelas!$E$1,FALSE)="Sim",FALSE,TRUE),TRUE),IF(tblHorasNov[Evento 
(2º Período)]&lt;&gt;"",IF(VLOOKUP(tblHorasNov[Evento 
(2º Período)],tblEvento[],Tabelas!$E$1,FALSE)="Sim",FALSE,TRUE),TRUE)),
              IF(VLOOKUP(tblHorasNov[Dia],tblDiaUtil[[Abreviatura]:[1º Período]],3,FALSE)&gt;0,VLOOKUP(tblHorasNov[Dia],tblDiaUtil[[Abreviatura]:[1º Período]],3,FALSE),JORNADA),
              ""),
         "")</f>
        <v/>
      </c>
      <c r="N13" s="14">
        <f>IF(OR(tblHorasNov[Horas Trabalhadas (1º Período)]&lt;&gt;0,tblHorasNov[Horas Trabalhadas (2º Período)]&lt;&gt;0),
        IF(ISNUMBER(tblHorasNov[Jornada Diária]),
              IF(tblHorasNov[Jornada Diária]&gt;(tblHorasNov[Horas Trabalhadas (2º Período)]+tblHorasNov[Horas Trabalhadas (1º Período)]),
                     IF(ROUND((tblHorasNov[Jornada Diária]-(tblHorasNov[Horas Trabalhadas (2º Período)]+tblHorasNov[Horas Trabalhadas (1º Período)])),6)&gt;ROUND(CARENCIA,6),
                           -tblHorasNov[Jornada Diária]+(tblHorasNov[Horas Trabalhadas (2º Período)]+tblHorasNov[Horas Trabalhadas (1º Período)]),
                           0),
                      IF(ROUND((tblHorasNov[Jornada Diária]-(tblHorasNov[Horas Trabalhadas (2º Período)]+tblHorasNov[Horas Trabalhadas (1º Período)])),6)&lt;ROUND(-CARENCIA,6),
                           -tblHorasNov[Jornada Diária]+(tblHorasNov[Horas Trabalhadas (2º Período)]+tblHorasNov[Horas Trabalhadas (1º Período)]),
                           0)),
              tblHorasNov[Horas Trabalhadas (2º Período)]+tblHorasNov[Horas Trabalhadas (1º Período)]),
         IF(AND(IF(ISERROR(VLOOKUP(tblHorasNov[Evento 
(1º Período)],tblEvento[[Evento]:[Libera o Período]],4,FALSE)),FALSE,IF(VLOOKUP(tblHorasNov[Evento 
(1º Período)],tblEvento[[Evento]:[Libera o Período]],4,FALSE)="Não",TRUE,FALSE)),IF(ISERROR(VLOOKUP(tblHorasNov[Evento 
(2º Período)],tblEvento[[Evento]:[Libera o Período]],4,FALSE)),FALSE,IF(VLOOKUP(tblHorasNov[Evento 
(2º Período)],tblEvento[[Evento]:[Libera o Período]],4,FALSE)="Não",TRUE,FALSE))),
-IF(VLOOKUP(tblHorasNov[Dia],tblDiaUtil[[Abreviatura]:[Total Jornada]],5,FALSE)&lt;&gt;"",VLOOKUP(tblHorasNov[Dia],tblDiaUtil[[Abreviatura]:[Total Jornada]],5,FALSE),JORNADA),
IF(IF(ISERROR(VLOOKUP(tblHorasNov[Evento 
(1º Período)],tblEvento[[Evento]:[Libera o Período]],4,FALSE)),FALSE,
IF(VLOOKUP(tblHorasNov[Evento 
(1º Período)],tblEvento[[Evento]:[Libera o Período]],4,FALSE)="Não",TRUE,FALSE)
),
-IF(VLOOKUP(tblHorasNov[Dia],tblDiaUtil[[Abreviatura]:[1º Período]],3,FALSE)&lt;&gt;"",VLOOKUP(tblHorasNov[Dia],tblDiaUtil[[Abreviatura]:[1º Período]],3,FALSE),JORNADA_PERIODO_1),
IF(IF(ISERROR(VLOOKUP(tblHorasNov[Evento 
(2º Período)],tblEvento[[Evento]:[Libera o Período]],4,FALSE)),FALSE,IF(VLOOKUP(tblHorasNov[Evento 
(2º Período)],tblEvento[[Evento]:[Libera o Período]],4,FALSE)="Não",TRUE,FALSE)),
-IF(VLOOKUP(tblHorasNov[Dia],tblDiaUtil[[Abreviatura]:[2º Período]],4,FALSE)&lt;&gt;"",VLOOKUP(tblHorasNov[Dia],tblDiaUtil[[Abreviatura]:[2º Período]],4,FALSE),JORNADA_PERIODO_2),0))))</f>
        <v>0</v>
      </c>
      <c r="O13" s="14">
        <f>IF(tblHorasNov[Horas Trabalhadas Além Jornada]&gt;0,
        IF(ISNUMBER(tblHorasNov[Jornada Diária]),
              IF(HOUR(tblHorasNov[Horas Trabalhadas Além Jornada])&gt;=VLOOKUP(LIMITE,tblLimiteHora[],Tabelas!$I$1,FALSE),
                    VLOOKUP(LIMITE,tblLimiteHora[],Tabelas!$J$1,FALSE),
                    tblHorasNov[Horas Trabalhadas Além Jornada]),
              tblHorasNov[Horas Trabalhadas Além Jornada]),
        tblHorasNov[Horas Trabalhadas Além Jornada])+O12</f>
        <v>0</v>
      </c>
      <c r="P13" s="14" t="str">
        <f>IF(tblHorasNov[Horas Trabalhadas Além Jornada]&lt;0,IF(OR(tblHorasNov[Evento 
(1º Período)]="",tblHorasNov[Evento 
(2º Período)]=""),tblHorasNov[Horas Trabalhadas Além Jornada],""),"")</f>
        <v/>
      </c>
      <c r="Q13" s="14" t="str">
        <f>IF(tblHorasNov[Jornada Diária]&lt;&gt;"",IF((N(tblHorasNov[Jornada Diária])-ABS(N(tblHorasNov[Horas Trabalhadas Além Jornada])))=0,1,""),"")</f>
        <v/>
      </c>
      <c r="R13" s="14" t="str">
        <f>IF(tblHorasNov[Horas Trabalhadas Além Jornada]&gt;0,
IF(AND(VLOOKUP(TEXT(tblHorasNov[Data],"dddd"),tblDiaUtil[],3,FALSE)="Sim",IF(tblHorasNov[Evento 
(1º Período)]&lt;&gt;"",IF(VLOOKUP(tblHorasNov[Evento 
(1º Período)],tblEvento[],Tabelas!$E$1,FALSE)="Sim",FALSE,TRUE),TRUE),IF(tblHorasNov[Evento 
(2º Período)]&lt;&gt;"",IF(VLOOKUP(tblHorasNov[Evento 
(2º Período)],tblEvento[],Tabelas!$E$1,FALSE)="Sim",FALSE,TRUE),TRUE)),
tblHorasNov[Horas Trabalhadas Além Jornada],""),"")</f>
        <v/>
      </c>
      <c r="S13" s="14" t="str">
        <f>IF(tblHorasNov[Horas Trabalhadas Além Jornada]&gt;0,
IF(OR(VLOOKUP(TEXT(tblHorasNov[Data],"dddd"),tblDiaUtil[],3,FALSE)="Não",IF(tblHorasNov[Evento 
(1º Período)]&lt;&gt;"",IF(VLOOKUP(tblHorasNov[Evento 
(1º Período)],tblEvento[],Tabelas!$E$1,FALSE)="Sim",TRUE,FALSE),FALSE),IF(tblHorasNov[Evento 
(2º Período)]&lt;&gt;"",IF(VLOOKUP(tblHorasNov[Evento 
(2º Período)],tblEvento[],Tabelas!$E$1,FALSE)="Sim",TRUE,FALSE),FALSE)),
tblHorasNov[Horas Trabalhadas Além Jornada],""),"")</f>
        <v/>
      </c>
      <c r="T13" s="15" t="str">
        <f>IF(tblHorasNov[Evento 
(1º Período)]&lt;&gt;""," - " &amp;VLOOKUP(tblHorasNov[Evento 
(1º Período)],tblEvento[],Tabelas!$F$1,FALSE),"")&amp;IF(AND(tblHorasNov[Evento 
(2º Período)]&lt;&gt;"",tblHorasNov[Evento 
(2º Período)]&lt;&gt;tblHorasNov[Evento 
(1º Período)])," - " &amp; VLOOKUP(tblHorasNov[Evento 
(2º Período)],tblEvento[],Tabelas!$F$1,FALSE),"")</f>
        <v/>
      </c>
    </row>
    <row r="14" spans="2:25" x14ac:dyDescent="0.25">
      <c r="B14" s="11" t="str">
        <f t="shared" si="0"/>
        <v/>
      </c>
      <c r="C14" s="12" t="str">
        <f>TEXT(tblHorasNov[Data],"ddd")</f>
        <v/>
      </c>
      <c r="D14" s="25"/>
      <c r="E14" s="1"/>
      <c r="F14" s="1"/>
      <c r="G14" s="1"/>
      <c r="H14" s="1"/>
      <c r="I14" s="53"/>
      <c r="J14" s="4">
        <f>IF($B$6&lt;&gt;"",
IF(AND(tblHorasNov[Evento 
(1º Período)]&lt;&gt;"",IF(ISERROR(VLOOKUP(tblHorasNov[Evento 
(1º Período)],tblEvento[],Tabelas!$D$1,FALSE)),FALSE,VLOOKUP(tblHorasNov[Evento 
(1º Período)],tblEvento[],Tabelas!$D$1,FALSE)="Sim")),
        IF(JORNADA_PERIODO_1&lt;&gt;"",
IF(VLOOKUP(tblHorasNov[Dia],tblDiaUtil[[Abreviatura]:[1º Período]],3,FALSE)&gt;0,VLOOKUP(tblHorasNov[Dia],tblDiaUtil[[Abreviatura]:[1º Período]],3,FALSE),JORNADA_PERIODO_1),
IF(VLOOKUP(tblHorasNov[Dia],tblDiaUtil[[Abreviatura]:[1º Período]],3,FALSE)&gt;0,VLOOKUP(tblHorasNov[Dia],tblDiaUtil[[Abreviatura]:[1º Período]],3,FALSE),JORNADA/2)),
        IF(AND(ISNUMBER(tblHorasNov[Saída - 1 (Almoço)]),ISNUMBER(tblHorasNov[Entrada - 1])),
              IF(OR(AND(tblHorasNov[Evento 
(1º Período)]&lt;&gt;"",IF(ISERROR(VLOOKUP(tblHorasNov[Evento 
(1º Período)],tblEvento[],Tabelas!$E$1,FALSE)),FALSE,VLOOKUP(tblHorasNov[Evento 
(1º Período)],tblEvento[],Tabelas!$E$1,FALSE)="Sim")),IF(VLOOKUP(TEXT(tblHorasNov[Data],"dddd"),tblDiaUtil[],2,FALSE)="Não",TRUE,FALSE)),
                   tblHorasNov[Saída - 1 (Almoço)]-tblHorasNov[Entrada - 1],
                   IF(OR(HOUR(tblHorasNov[Saída - 1 (Almoço)]-tblHorasNov[Entrada - 1])&gt;0,ROUND(tblHorasNov[Saída - 1 (Almoço)]-tblHorasNov[Entrada - 1],6)&gt;ROUND(CARENCIA,6)),
                          tblHorasNov[Saída - 1 (Almoço)]-tblHorasNov[Entrada - 1],
                          0)),
                    0)),0)</f>
        <v>0</v>
      </c>
      <c r="K14" s="4">
        <f>IF($B$6&lt;&gt;"",
IF(AND(tblHorasNov[Evento 
(2º Período)]&lt;&gt;"",IF(ISERROR(VLOOKUP(tblHorasNov[Evento 
(2º Período)],tblEvento[],Tabelas!$D$1,FALSE)),FALSE,VLOOKUP(tblHorasNov[Evento 
(2º Período)],tblEvento[],Tabelas!$D$1,FALSE)="Sim")),
        IF(JORNADA_PERIODO_2&lt;&gt;"",
IF(VLOOKUP(tblHorasNov[Dia],tblDiaUtil[[Abreviatura]:[2º Período]],4,FALSE)&gt;0,VLOOKUP(tblHorasNov[Dia],tblDiaUtil[[Abreviatura]:[2º Período]],4,FALSE),JORNADA_PERIODO_2),
IF(VLOOKUP(tblHorasNov[Dia],tblDiaUtil[[Abreviatura]:[2º Período]],4,FALSE)&gt;0,VLOOKUP(tblHorasNov[Dia],tblDiaUtil[[Abreviatura]:[2º Período]],4,FALSE),JORNADA/2)),
        IF(AND(ISNUMBER(tblHorasNov[Saída - 2]),ISNUMBER(tblHorasNov[Entrada - 2 (Almoço)])),
              IF(OR(AND(tblHorasNov[Evento 
(2º Período)]&lt;&gt;"",IF(ISERROR(VLOOKUP(tblHorasNov[Evento 
(2º Período)],tblEvento[],Tabelas!$E$1,FALSE)),FALSE,VLOOKUP(tblHorasNov[Evento 
(2º Período)],tblEvento[],Tabelas!$E$1,FALSE)="Sim")),IF(VLOOKUP(TEXT(tblHorasNov[Data],"dddd"),tblDiaUtil[],2,FALSE)="Não",TRUE,FALSE)),
                   tblHorasNov[Saída - 2]-tblHorasNov[Entrada - 2 (Almoço)],
                   IF(OR(HOUR(tblHorasNov[Saída - 2]-tblHorasNov[Entrada - 2 (Almoço)])&gt;0,MINUTE(tblHorasNov[Saída - 2]-tblHorasNov[Entrada - 2 (Almoço)])&gt;CARENCIA),
                         tblHorasNov[Saída - 2]-tblHorasNov[Entrada - 2 (Almoço)],
                         0)),
       0)),0)</f>
        <v>0</v>
      </c>
      <c r="L14" s="4">
        <f>tblHorasNov[Horas Trabalhadas (1º Período)]+tblHorasNov[Horas Trabalhadas (2º Período)]</f>
        <v>0</v>
      </c>
      <c r="M14" s="4" t="str">
        <f>IF(tblHorasNov[Data]&lt;&gt;"",
        IF(
AND(VLOOKUP(TEXT(tblHorasNov[Data],"dddd"),tblDiaUtil[],3,FALSE)="Sim",IF(tblHorasNov[Evento 
(1º Período)]&lt;&gt;"",IF(VLOOKUP(tblHorasNov[Evento 
(1º Período)],tblEvento[],Tabelas!$E$1,FALSE)="Sim",FALSE,TRUE),TRUE),IF(tblHorasNov[Evento 
(2º Período)]&lt;&gt;"",IF(VLOOKUP(tblHorasNov[Evento 
(2º Período)],tblEvento[],Tabelas!$E$1,FALSE)="Sim",FALSE,TRUE),TRUE)),
              IF(VLOOKUP(tblHorasNov[Dia],tblDiaUtil[[Abreviatura]:[1º Período]],3,FALSE)&gt;0,VLOOKUP(tblHorasNov[Dia],tblDiaUtil[[Abreviatura]:[1º Período]],3,FALSE),JORNADA),
              ""),
         "")</f>
        <v/>
      </c>
      <c r="N14" s="14">
        <f>IF(OR(tblHorasNov[Horas Trabalhadas (1º Período)]&lt;&gt;0,tblHorasNov[Horas Trabalhadas (2º Período)]&lt;&gt;0),
        IF(ISNUMBER(tblHorasNov[Jornada Diária]),
              IF(tblHorasNov[Jornada Diária]&gt;(tblHorasNov[Horas Trabalhadas (2º Período)]+tblHorasNov[Horas Trabalhadas (1º Período)]),
                     IF(ROUND((tblHorasNov[Jornada Diária]-(tblHorasNov[Horas Trabalhadas (2º Período)]+tblHorasNov[Horas Trabalhadas (1º Período)])),6)&gt;ROUND(CARENCIA,6),
                           -tblHorasNov[Jornada Diária]+(tblHorasNov[Horas Trabalhadas (2º Período)]+tblHorasNov[Horas Trabalhadas (1º Período)]),
                           0),
                      IF(ROUND((tblHorasNov[Jornada Diária]-(tblHorasNov[Horas Trabalhadas (2º Período)]+tblHorasNov[Horas Trabalhadas (1º Período)])),6)&lt;ROUND(-CARENCIA,6),
                           -tblHorasNov[Jornada Diária]+(tblHorasNov[Horas Trabalhadas (2º Período)]+tblHorasNov[Horas Trabalhadas (1º Período)]),
                           0)),
              tblHorasNov[Horas Trabalhadas (2º Período)]+tblHorasNov[Horas Trabalhadas (1º Período)]),
         IF(AND(IF(ISERROR(VLOOKUP(tblHorasNov[Evento 
(1º Período)],tblEvento[[Evento]:[Libera o Período]],4,FALSE)),FALSE,IF(VLOOKUP(tblHorasNov[Evento 
(1º Período)],tblEvento[[Evento]:[Libera o Período]],4,FALSE)="Não",TRUE,FALSE)),IF(ISERROR(VLOOKUP(tblHorasNov[Evento 
(2º Período)],tblEvento[[Evento]:[Libera o Período]],4,FALSE)),FALSE,IF(VLOOKUP(tblHorasNov[Evento 
(2º Período)],tblEvento[[Evento]:[Libera o Período]],4,FALSE)="Não",TRUE,FALSE))),
-IF(VLOOKUP(tblHorasNov[Dia],tblDiaUtil[[Abreviatura]:[Total Jornada]],5,FALSE)&lt;&gt;"",VLOOKUP(tblHorasNov[Dia],tblDiaUtil[[Abreviatura]:[Total Jornada]],5,FALSE),JORNADA),
IF(IF(ISERROR(VLOOKUP(tblHorasNov[Evento 
(1º Período)],tblEvento[[Evento]:[Libera o Período]],4,FALSE)),FALSE,
IF(VLOOKUP(tblHorasNov[Evento 
(1º Período)],tblEvento[[Evento]:[Libera o Período]],4,FALSE)="Não",TRUE,FALSE)
),
-IF(VLOOKUP(tblHorasNov[Dia],tblDiaUtil[[Abreviatura]:[1º Período]],3,FALSE)&lt;&gt;"",VLOOKUP(tblHorasNov[Dia],tblDiaUtil[[Abreviatura]:[1º Período]],3,FALSE),JORNADA_PERIODO_1),
IF(IF(ISERROR(VLOOKUP(tblHorasNov[Evento 
(2º Período)],tblEvento[[Evento]:[Libera o Período]],4,FALSE)),FALSE,IF(VLOOKUP(tblHorasNov[Evento 
(2º Período)],tblEvento[[Evento]:[Libera o Período]],4,FALSE)="Não",TRUE,FALSE)),
-IF(VLOOKUP(tblHorasNov[Dia],tblDiaUtil[[Abreviatura]:[2º Período]],4,FALSE)&lt;&gt;"",VLOOKUP(tblHorasNov[Dia],tblDiaUtil[[Abreviatura]:[2º Período]],4,FALSE),JORNADA_PERIODO_2),0))))</f>
        <v>0</v>
      </c>
      <c r="O14" s="14">
        <f>IF(tblHorasNov[Horas Trabalhadas Além Jornada]&gt;0,
        IF(ISNUMBER(tblHorasNov[Jornada Diária]),
              IF(HOUR(tblHorasNov[Horas Trabalhadas Além Jornada])&gt;=VLOOKUP(LIMITE,tblLimiteHora[],Tabelas!$I$1,FALSE),
                    VLOOKUP(LIMITE,tblLimiteHora[],Tabelas!$J$1,FALSE),
                    tblHorasNov[Horas Trabalhadas Além Jornada]),
              tblHorasNov[Horas Trabalhadas Além Jornada]),
        tblHorasNov[Horas Trabalhadas Além Jornada])+O13</f>
        <v>0</v>
      </c>
      <c r="P14" s="14" t="str">
        <f>IF(tblHorasNov[Horas Trabalhadas Além Jornada]&lt;0,IF(OR(tblHorasNov[Evento 
(1º Período)]="",tblHorasNov[Evento 
(2º Período)]=""),tblHorasNov[Horas Trabalhadas Além Jornada],""),"")</f>
        <v/>
      </c>
      <c r="Q14" s="14" t="str">
        <f>IF(tblHorasNov[Jornada Diária]&lt;&gt;"",IF((N(tblHorasNov[Jornada Diária])-ABS(N(tblHorasNov[Horas Trabalhadas Além Jornada])))=0,1,""),"")</f>
        <v/>
      </c>
      <c r="R14" s="14" t="str">
        <f>IF(tblHorasNov[Horas Trabalhadas Além Jornada]&gt;0,
IF(AND(VLOOKUP(TEXT(tblHorasNov[Data],"dddd"),tblDiaUtil[],3,FALSE)="Sim",IF(tblHorasNov[Evento 
(1º Período)]&lt;&gt;"",IF(VLOOKUP(tblHorasNov[Evento 
(1º Período)],tblEvento[],Tabelas!$E$1,FALSE)="Sim",FALSE,TRUE),TRUE),IF(tblHorasNov[Evento 
(2º Período)]&lt;&gt;"",IF(VLOOKUP(tblHorasNov[Evento 
(2º Período)],tblEvento[],Tabelas!$E$1,FALSE)="Sim",FALSE,TRUE),TRUE)),
tblHorasNov[Horas Trabalhadas Além Jornada],""),"")</f>
        <v/>
      </c>
      <c r="S14" s="14" t="str">
        <f>IF(tblHorasNov[Horas Trabalhadas Além Jornada]&gt;0,
IF(OR(VLOOKUP(TEXT(tblHorasNov[Data],"dddd"),tblDiaUtil[],3,FALSE)="Não",IF(tblHorasNov[Evento 
(1º Período)]&lt;&gt;"",IF(VLOOKUP(tblHorasNov[Evento 
(1º Período)],tblEvento[],Tabelas!$E$1,FALSE)="Sim",TRUE,FALSE),FALSE),IF(tblHorasNov[Evento 
(2º Período)]&lt;&gt;"",IF(VLOOKUP(tblHorasNov[Evento 
(2º Período)],tblEvento[],Tabelas!$E$1,FALSE)="Sim",TRUE,FALSE),FALSE)),
tblHorasNov[Horas Trabalhadas Além Jornada],""),"")</f>
        <v/>
      </c>
      <c r="T14" s="15" t="str">
        <f>IF(tblHorasNov[Evento 
(1º Período)]&lt;&gt;""," - " &amp;VLOOKUP(tblHorasNov[Evento 
(1º Período)],tblEvento[],Tabelas!$F$1,FALSE),"")&amp;IF(AND(tblHorasNov[Evento 
(2º Período)]&lt;&gt;"",tblHorasNov[Evento 
(2º Período)]&lt;&gt;tblHorasNov[Evento 
(1º Período)])," - " &amp; VLOOKUP(tblHorasNov[Evento 
(2º Período)],tblEvento[],Tabelas!$F$1,FALSE),"")</f>
        <v/>
      </c>
      <c r="X14" s="18"/>
      <c r="Y14" s="18"/>
    </row>
    <row r="15" spans="2:25" x14ac:dyDescent="0.25">
      <c r="B15" s="11" t="str">
        <f t="shared" si="0"/>
        <v/>
      </c>
      <c r="C15" s="12" t="str">
        <f>TEXT(tblHorasNov[Data],"ddd")</f>
        <v/>
      </c>
      <c r="D15" s="25"/>
      <c r="E15" s="1"/>
      <c r="F15" s="1"/>
      <c r="G15" s="1"/>
      <c r="H15" s="1"/>
      <c r="I15" s="53"/>
      <c r="J15" s="4">
        <f>IF($B$6&lt;&gt;"",
IF(AND(tblHorasNov[Evento 
(1º Período)]&lt;&gt;"",IF(ISERROR(VLOOKUP(tblHorasNov[Evento 
(1º Período)],tblEvento[],Tabelas!$D$1,FALSE)),FALSE,VLOOKUP(tblHorasNov[Evento 
(1º Período)],tblEvento[],Tabelas!$D$1,FALSE)="Sim")),
        IF(JORNADA_PERIODO_1&lt;&gt;"",
IF(VLOOKUP(tblHorasNov[Dia],tblDiaUtil[[Abreviatura]:[1º Período]],3,FALSE)&gt;0,VLOOKUP(tblHorasNov[Dia],tblDiaUtil[[Abreviatura]:[1º Período]],3,FALSE),JORNADA_PERIODO_1),
IF(VLOOKUP(tblHorasNov[Dia],tblDiaUtil[[Abreviatura]:[1º Período]],3,FALSE)&gt;0,VLOOKUP(tblHorasNov[Dia],tblDiaUtil[[Abreviatura]:[1º Período]],3,FALSE),JORNADA/2)),
        IF(AND(ISNUMBER(tblHorasNov[Saída - 1 (Almoço)]),ISNUMBER(tblHorasNov[Entrada - 1])),
              IF(OR(AND(tblHorasNov[Evento 
(1º Período)]&lt;&gt;"",IF(ISERROR(VLOOKUP(tblHorasNov[Evento 
(1º Período)],tblEvento[],Tabelas!$E$1,FALSE)),FALSE,VLOOKUP(tblHorasNov[Evento 
(1º Período)],tblEvento[],Tabelas!$E$1,FALSE)="Sim")),IF(VLOOKUP(TEXT(tblHorasNov[Data],"dddd"),tblDiaUtil[],2,FALSE)="Não",TRUE,FALSE)),
                   tblHorasNov[Saída - 1 (Almoço)]-tblHorasNov[Entrada - 1],
                   IF(OR(HOUR(tblHorasNov[Saída - 1 (Almoço)]-tblHorasNov[Entrada - 1])&gt;0,ROUND(tblHorasNov[Saída - 1 (Almoço)]-tblHorasNov[Entrada - 1],6)&gt;ROUND(CARENCIA,6)),
                          tblHorasNov[Saída - 1 (Almoço)]-tblHorasNov[Entrada - 1],
                          0)),
                    0)),0)</f>
        <v>0</v>
      </c>
      <c r="K15" s="4">
        <f>IF($B$6&lt;&gt;"",
IF(AND(tblHorasNov[Evento 
(2º Período)]&lt;&gt;"",IF(ISERROR(VLOOKUP(tblHorasNov[Evento 
(2º Período)],tblEvento[],Tabelas!$D$1,FALSE)),FALSE,VLOOKUP(tblHorasNov[Evento 
(2º Período)],tblEvento[],Tabelas!$D$1,FALSE)="Sim")),
        IF(JORNADA_PERIODO_2&lt;&gt;"",
IF(VLOOKUP(tblHorasNov[Dia],tblDiaUtil[[Abreviatura]:[2º Período]],4,FALSE)&gt;0,VLOOKUP(tblHorasNov[Dia],tblDiaUtil[[Abreviatura]:[2º Período]],4,FALSE),JORNADA_PERIODO_2),
IF(VLOOKUP(tblHorasNov[Dia],tblDiaUtil[[Abreviatura]:[2º Período]],4,FALSE)&gt;0,VLOOKUP(tblHorasNov[Dia],tblDiaUtil[[Abreviatura]:[2º Período]],4,FALSE),JORNADA/2)),
        IF(AND(ISNUMBER(tblHorasNov[Saída - 2]),ISNUMBER(tblHorasNov[Entrada - 2 (Almoço)])),
              IF(OR(AND(tblHorasNov[Evento 
(2º Período)]&lt;&gt;"",IF(ISERROR(VLOOKUP(tblHorasNov[Evento 
(2º Período)],tblEvento[],Tabelas!$E$1,FALSE)),FALSE,VLOOKUP(tblHorasNov[Evento 
(2º Período)],tblEvento[],Tabelas!$E$1,FALSE)="Sim")),IF(VLOOKUP(TEXT(tblHorasNov[Data],"dddd"),tblDiaUtil[],2,FALSE)="Não",TRUE,FALSE)),
                   tblHorasNov[Saída - 2]-tblHorasNov[Entrada - 2 (Almoço)],
                   IF(OR(HOUR(tblHorasNov[Saída - 2]-tblHorasNov[Entrada - 2 (Almoço)])&gt;0,MINUTE(tblHorasNov[Saída - 2]-tblHorasNov[Entrada - 2 (Almoço)])&gt;CARENCIA),
                         tblHorasNov[Saída - 2]-tblHorasNov[Entrada - 2 (Almoço)],
                         0)),
       0)),0)</f>
        <v>0</v>
      </c>
      <c r="L15" s="4">
        <f>tblHorasNov[Horas Trabalhadas (1º Período)]+tblHorasNov[Horas Trabalhadas (2º Período)]</f>
        <v>0</v>
      </c>
      <c r="M15" s="4" t="str">
        <f>IF(tblHorasNov[Data]&lt;&gt;"",
        IF(
AND(VLOOKUP(TEXT(tblHorasNov[Data],"dddd"),tblDiaUtil[],3,FALSE)="Sim",IF(tblHorasNov[Evento 
(1º Período)]&lt;&gt;"",IF(VLOOKUP(tblHorasNov[Evento 
(1º Período)],tblEvento[],Tabelas!$E$1,FALSE)="Sim",FALSE,TRUE),TRUE),IF(tblHorasNov[Evento 
(2º Período)]&lt;&gt;"",IF(VLOOKUP(tblHorasNov[Evento 
(2º Período)],tblEvento[],Tabelas!$E$1,FALSE)="Sim",FALSE,TRUE),TRUE)),
              IF(VLOOKUP(tblHorasNov[Dia],tblDiaUtil[[Abreviatura]:[1º Período]],3,FALSE)&gt;0,VLOOKUP(tblHorasNov[Dia],tblDiaUtil[[Abreviatura]:[1º Período]],3,FALSE),JORNADA),
              ""),
         "")</f>
        <v/>
      </c>
      <c r="N15" s="14">
        <f>IF(OR(tblHorasNov[Horas Trabalhadas (1º Período)]&lt;&gt;0,tblHorasNov[Horas Trabalhadas (2º Período)]&lt;&gt;0),
        IF(ISNUMBER(tblHorasNov[Jornada Diária]),
              IF(tblHorasNov[Jornada Diária]&gt;(tblHorasNov[Horas Trabalhadas (2º Período)]+tblHorasNov[Horas Trabalhadas (1º Período)]),
                     IF(ROUND((tblHorasNov[Jornada Diária]-(tblHorasNov[Horas Trabalhadas (2º Período)]+tblHorasNov[Horas Trabalhadas (1º Período)])),6)&gt;ROUND(CARENCIA,6),
                           -tblHorasNov[Jornada Diária]+(tblHorasNov[Horas Trabalhadas (2º Período)]+tblHorasNov[Horas Trabalhadas (1º Período)]),
                           0),
                      IF(ROUND((tblHorasNov[Jornada Diária]-(tblHorasNov[Horas Trabalhadas (2º Período)]+tblHorasNov[Horas Trabalhadas (1º Período)])),6)&lt;ROUND(-CARENCIA,6),
                           -tblHorasNov[Jornada Diária]+(tblHorasNov[Horas Trabalhadas (2º Período)]+tblHorasNov[Horas Trabalhadas (1º Período)]),
                           0)),
              tblHorasNov[Horas Trabalhadas (2º Período)]+tblHorasNov[Horas Trabalhadas (1º Período)]),
         IF(AND(IF(ISERROR(VLOOKUP(tblHorasNov[Evento 
(1º Período)],tblEvento[[Evento]:[Libera o Período]],4,FALSE)),FALSE,IF(VLOOKUP(tblHorasNov[Evento 
(1º Período)],tblEvento[[Evento]:[Libera o Período]],4,FALSE)="Não",TRUE,FALSE)),IF(ISERROR(VLOOKUP(tblHorasNov[Evento 
(2º Período)],tblEvento[[Evento]:[Libera o Período]],4,FALSE)),FALSE,IF(VLOOKUP(tblHorasNov[Evento 
(2º Período)],tblEvento[[Evento]:[Libera o Período]],4,FALSE)="Não",TRUE,FALSE))),
-IF(VLOOKUP(tblHorasNov[Dia],tblDiaUtil[[Abreviatura]:[Total Jornada]],5,FALSE)&lt;&gt;"",VLOOKUP(tblHorasNov[Dia],tblDiaUtil[[Abreviatura]:[Total Jornada]],5,FALSE),JORNADA),
IF(IF(ISERROR(VLOOKUP(tblHorasNov[Evento 
(1º Período)],tblEvento[[Evento]:[Libera o Período]],4,FALSE)),FALSE,
IF(VLOOKUP(tblHorasNov[Evento 
(1º Período)],tblEvento[[Evento]:[Libera o Período]],4,FALSE)="Não",TRUE,FALSE)
),
-IF(VLOOKUP(tblHorasNov[Dia],tblDiaUtil[[Abreviatura]:[1º Período]],3,FALSE)&lt;&gt;"",VLOOKUP(tblHorasNov[Dia],tblDiaUtil[[Abreviatura]:[1º Período]],3,FALSE),JORNADA_PERIODO_1),
IF(IF(ISERROR(VLOOKUP(tblHorasNov[Evento 
(2º Período)],tblEvento[[Evento]:[Libera o Período]],4,FALSE)),FALSE,IF(VLOOKUP(tblHorasNov[Evento 
(2º Período)],tblEvento[[Evento]:[Libera o Período]],4,FALSE)="Não",TRUE,FALSE)),
-IF(VLOOKUP(tblHorasNov[Dia],tblDiaUtil[[Abreviatura]:[2º Período]],4,FALSE)&lt;&gt;"",VLOOKUP(tblHorasNov[Dia],tblDiaUtil[[Abreviatura]:[2º Período]],4,FALSE),JORNADA_PERIODO_2),0))))</f>
        <v>0</v>
      </c>
      <c r="O15" s="14">
        <f>IF(tblHorasNov[Horas Trabalhadas Além Jornada]&gt;0,
        IF(ISNUMBER(tblHorasNov[Jornada Diária]),
              IF(HOUR(tblHorasNov[Horas Trabalhadas Além Jornada])&gt;=VLOOKUP(LIMITE,tblLimiteHora[],Tabelas!$I$1,FALSE),
                    VLOOKUP(LIMITE,tblLimiteHora[],Tabelas!$J$1,FALSE),
                    tblHorasNov[Horas Trabalhadas Além Jornada]),
              tblHorasNov[Horas Trabalhadas Além Jornada]),
        tblHorasNov[Horas Trabalhadas Além Jornada])+O14</f>
        <v>0</v>
      </c>
      <c r="P15" s="14" t="str">
        <f>IF(tblHorasNov[Horas Trabalhadas Além Jornada]&lt;0,IF(OR(tblHorasNov[Evento 
(1º Período)]="",tblHorasNov[Evento 
(2º Período)]=""),tblHorasNov[Horas Trabalhadas Além Jornada],""),"")</f>
        <v/>
      </c>
      <c r="Q15" s="14" t="str">
        <f>IF(tblHorasNov[Jornada Diária]&lt;&gt;"",IF((N(tblHorasNov[Jornada Diária])-ABS(N(tblHorasNov[Horas Trabalhadas Além Jornada])))=0,1,""),"")</f>
        <v/>
      </c>
      <c r="R15" s="14" t="str">
        <f>IF(tblHorasNov[Horas Trabalhadas Além Jornada]&gt;0,
IF(AND(VLOOKUP(TEXT(tblHorasNov[Data],"dddd"),tblDiaUtil[],3,FALSE)="Sim",IF(tblHorasNov[Evento 
(1º Período)]&lt;&gt;"",IF(VLOOKUP(tblHorasNov[Evento 
(1º Período)],tblEvento[],Tabelas!$E$1,FALSE)="Sim",FALSE,TRUE),TRUE),IF(tblHorasNov[Evento 
(2º Período)]&lt;&gt;"",IF(VLOOKUP(tblHorasNov[Evento 
(2º Período)],tblEvento[],Tabelas!$E$1,FALSE)="Sim",FALSE,TRUE),TRUE)),
tblHorasNov[Horas Trabalhadas Além Jornada],""),"")</f>
        <v/>
      </c>
      <c r="S15" s="14" t="str">
        <f>IF(tblHorasNov[Horas Trabalhadas Além Jornada]&gt;0,
IF(OR(VLOOKUP(TEXT(tblHorasNov[Data],"dddd"),tblDiaUtil[],3,FALSE)="Não",IF(tblHorasNov[Evento 
(1º Período)]&lt;&gt;"",IF(VLOOKUP(tblHorasNov[Evento 
(1º Período)],tblEvento[],Tabelas!$E$1,FALSE)="Sim",TRUE,FALSE),FALSE),IF(tblHorasNov[Evento 
(2º Período)]&lt;&gt;"",IF(VLOOKUP(tblHorasNov[Evento 
(2º Período)],tblEvento[],Tabelas!$E$1,FALSE)="Sim",TRUE,FALSE),FALSE)),
tblHorasNov[Horas Trabalhadas Além Jornada],""),"")</f>
        <v/>
      </c>
      <c r="T15" s="15" t="str">
        <f>IF(tblHorasNov[Evento 
(1º Período)]&lt;&gt;""," - " &amp;VLOOKUP(tblHorasNov[Evento 
(1º Período)],tblEvento[],Tabelas!$F$1,FALSE),"")&amp;IF(AND(tblHorasNov[Evento 
(2º Período)]&lt;&gt;"",tblHorasNov[Evento 
(2º Período)]&lt;&gt;tblHorasNov[Evento 
(1º Período)])," - " &amp; VLOOKUP(tblHorasNov[Evento 
(2º Período)],tblEvento[],Tabelas!$F$1,FALSE),"")</f>
        <v/>
      </c>
      <c r="X15" s="17"/>
    </row>
    <row r="16" spans="2:25" x14ac:dyDescent="0.25">
      <c r="B16" s="11" t="str">
        <f t="shared" si="0"/>
        <v/>
      </c>
      <c r="C16" s="12" t="str">
        <f>TEXT(tblHorasNov[Data],"ddd")</f>
        <v/>
      </c>
      <c r="D16" s="25"/>
      <c r="E16" s="1"/>
      <c r="F16" s="1"/>
      <c r="G16" s="1"/>
      <c r="H16" s="1"/>
      <c r="I16" s="53"/>
      <c r="J16" s="4">
        <f>IF($B$6&lt;&gt;"",
IF(AND(tblHorasNov[Evento 
(1º Período)]&lt;&gt;"",IF(ISERROR(VLOOKUP(tblHorasNov[Evento 
(1º Período)],tblEvento[],Tabelas!$D$1,FALSE)),FALSE,VLOOKUP(tblHorasNov[Evento 
(1º Período)],tblEvento[],Tabelas!$D$1,FALSE)="Sim")),
        IF(JORNADA_PERIODO_1&lt;&gt;"",
IF(VLOOKUP(tblHorasNov[Dia],tblDiaUtil[[Abreviatura]:[1º Período]],3,FALSE)&gt;0,VLOOKUP(tblHorasNov[Dia],tblDiaUtil[[Abreviatura]:[1º Período]],3,FALSE),JORNADA_PERIODO_1),
IF(VLOOKUP(tblHorasNov[Dia],tblDiaUtil[[Abreviatura]:[1º Período]],3,FALSE)&gt;0,VLOOKUP(tblHorasNov[Dia],tblDiaUtil[[Abreviatura]:[1º Período]],3,FALSE),JORNADA/2)),
        IF(AND(ISNUMBER(tblHorasNov[Saída - 1 (Almoço)]),ISNUMBER(tblHorasNov[Entrada - 1])),
              IF(OR(AND(tblHorasNov[Evento 
(1º Período)]&lt;&gt;"",IF(ISERROR(VLOOKUP(tblHorasNov[Evento 
(1º Período)],tblEvento[],Tabelas!$E$1,FALSE)),FALSE,VLOOKUP(tblHorasNov[Evento 
(1º Período)],tblEvento[],Tabelas!$E$1,FALSE)="Sim")),IF(VLOOKUP(TEXT(tblHorasNov[Data],"dddd"),tblDiaUtil[],2,FALSE)="Não",TRUE,FALSE)),
                   tblHorasNov[Saída - 1 (Almoço)]-tblHorasNov[Entrada - 1],
                   IF(OR(HOUR(tblHorasNov[Saída - 1 (Almoço)]-tblHorasNov[Entrada - 1])&gt;0,ROUND(tblHorasNov[Saída - 1 (Almoço)]-tblHorasNov[Entrada - 1],6)&gt;ROUND(CARENCIA,6)),
                          tblHorasNov[Saída - 1 (Almoço)]-tblHorasNov[Entrada - 1],
                          0)),
                    0)),0)</f>
        <v>0</v>
      </c>
      <c r="K16" s="4">
        <f>IF($B$6&lt;&gt;"",
IF(AND(tblHorasNov[Evento 
(2º Período)]&lt;&gt;"",IF(ISERROR(VLOOKUP(tblHorasNov[Evento 
(2º Período)],tblEvento[],Tabelas!$D$1,FALSE)),FALSE,VLOOKUP(tblHorasNov[Evento 
(2º Período)],tblEvento[],Tabelas!$D$1,FALSE)="Sim")),
        IF(JORNADA_PERIODO_2&lt;&gt;"",
IF(VLOOKUP(tblHorasNov[Dia],tblDiaUtil[[Abreviatura]:[2º Período]],4,FALSE)&gt;0,VLOOKUP(tblHorasNov[Dia],tblDiaUtil[[Abreviatura]:[2º Período]],4,FALSE),JORNADA_PERIODO_2),
IF(VLOOKUP(tblHorasNov[Dia],tblDiaUtil[[Abreviatura]:[2º Período]],4,FALSE)&gt;0,VLOOKUP(tblHorasNov[Dia],tblDiaUtil[[Abreviatura]:[2º Período]],4,FALSE),JORNADA/2)),
        IF(AND(ISNUMBER(tblHorasNov[Saída - 2]),ISNUMBER(tblHorasNov[Entrada - 2 (Almoço)])),
              IF(OR(AND(tblHorasNov[Evento 
(2º Período)]&lt;&gt;"",IF(ISERROR(VLOOKUP(tblHorasNov[Evento 
(2º Período)],tblEvento[],Tabelas!$E$1,FALSE)),FALSE,VLOOKUP(tblHorasNov[Evento 
(2º Período)],tblEvento[],Tabelas!$E$1,FALSE)="Sim")),IF(VLOOKUP(TEXT(tblHorasNov[Data],"dddd"),tblDiaUtil[],2,FALSE)="Não",TRUE,FALSE)),
                   tblHorasNov[Saída - 2]-tblHorasNov[Entrada - 2 (Almoço)],
                   IF(OR(HOUR(tblHorasNov[Saída - 2]-tblHorasNov[Entrada - 2 (Almoço)])&gt;0,MINUTE(tblHorasNov[Saída - 2]-tblHorasNov[Entrada - 2 (Almoço)])&gt;CARENCIA),
                         tblHorasNov[Saída - 2]-tblHorasNov[Entrada - 2 (Almoço)],
                         0)),
       0)),0)</f>
        <v>0</v>
      </c>
      <c r="L16" s="4">
        <f>tblHorasNov[Horas Trabalhadas (1º Período)]+tblHorasNov[Horas Trabalhadas (2º Período)]</f>
        <v>0</v>
      </c>
      <c r="M16" s="4" t="str">
        <f>IF(tblHorasNov[Data]&lt;&gt;"",
        IF(
AND(VLOOKUP(TEXT(tblHorasNov[Data],"dddd"),tblDiaUtil[],3,FALSE)="Sim",IF(tblHorasNov[Evento 
(1º Período)]&lt;&gt;"",IF(VLOOKUP(tblHorasNov[Evento 
(1º Período)],tblEvento[],Tabelas!$E$1,FALSE)="Sim",FALSE,TRUE),TRUE),IF(tblHorasNov[Evento 
(2º Período)]&lt;&gt;"",IF(VLOOKUP(tblHorasNov[Evento 
(2º Período)],tblEvento[],Tabelas!$E$1,FALSE)="Sim",FALSE,TRUE),TRUE)),
              IF(VLOOKUP(tblHorasNov[Dia],tblDiaUtil[[Abreviatura]:[1º Período]],3,FALSE)&gt;0,VLOOKUP(tblHorasNov[Dia],tblDiaUtil[[Abreviatura]:[1º Período]],3,FALSE),JORNADA),
              ""),
         "")</f>
        <v/>
      </c>
      <c r="N16" s="14">
        <f>IF(OR(tblHorasNov[Horas Trabalhadas (1º Período)]&lt;&gt;0,tblHorasNov[Horas Trabalhadas (2º Período)]&lt;&gt;0),
        IF(ISNUMBER(tblHorasNov[Jornada Diária]),
              IF(tblHorasNov[Jornada Diária]&gt;(tblHorasNov[Horas Trabalhadas (2º Período)]+tblHorasNov[Horas Trabalhadas (1º Período)]),
                     IF(ROUND((tblHorasNov[Jornada Diária]-(tblHorasNov[Horas Trabalhadas (2º Período)]+tblHorasNov[Horas Trabalhadas (1º Período)])),6)&gt;ROUND(CARENCIA,6),
                           -tblHorasNov[Jornada Diária]+(tblHorasNov[Horas Trabalhadas (2º Período)]+tblHorasNov[Horas Trabalhadas (1º Período)]),
                           0),
                      IF(ROUND((tblHorasNov[Jornada Diária]-(tblHorasNov[Horas Trabalhadas (2º Período)]+tblHorasNov[Horas Trabalhadas (1º Período)])),6)&lt;ROUND(-CARENCIA,6),
                           -tblHorasNov[Jornada Diária]+(tblHorasNov[Horas Trabalhadas (2º Período)]+tblHorasNov[Horas Trabalhadas (1º Período)]),
                           0)),
              tblHorasNov[Horas Trabalhadas (2º Período)]+tblHorasNov[Horas Trabalhadas (1º Período)]),
         IF(AND(IF(ISERROR(VLOOKUP(tblHorasNov[Evento 
(1º Período)],tblEvento[[Evento]:[Libera o Período]],4,FALSE)),FALSE,IF(VLOOKUP(tblHorasNov[Evento 
(1º Período)],tblEvento[[Evento]:[Libera o Período]],4,FALSE)="Não",TRUE,FALSE)),IF(ISERROR(VLOOKUP(tblHorasNov[Evento 
(2º Período)],tblEvento[[Evento]:[Libera o Período]],4,FALSE)),FALSE,IF(VLOOKUP(tblHorasNov[Evento 
(2º Período)],tblEvento[[Evento]:[Libera o Período]],4,FALSE)="Não",TRUE,FALSE))),
-IF(VLOOKUP(tblHorasNov[Dia],tblDiaUtil[[Abreviatura]:[Total Jornada]],5,FALSE)&lt;&gt;"",VLOOKUP(tblHorasNov[Dia],tblDiaUtil[[Abreviatura]:[Total Jornada]],5,FALSE),JORNADA),
IF(IF(ISERROR(VLOOKUP(tblHorasNov[Evento 
(1º Período)],tblEvento[[Evento]:[Libera o Período]],4,FALSE)),FALSE,
IF(VLOOKUP(tblHorasNov[Evento 
(1º Período)],tblEvento[[Evento]:[Libera o Período]],4,FALSE)="Não",TRUE,FALSE)
),
-IF(VLOOKUP(tblHorasNov[Dia],tblDiaUtil[[Abreviatura]:[1º Período]],3,FALSE)&lt;&gt;"",VLOOKUP(tblHorasNov[Dia],tblDiaUtil[[Abreviatura]:[1º Período]],3,FALSE),JORNADA_PERIODO_1),
IF(IF(ISERROR(VLOOKUP(tblHorasNov[Evento 
(2º Período)],tblEvento[[Evento]:[Libera o Período]],4,FALSE)),FALSE,IF(VLOOKUP(tblHorasNov[Evento 
(2º Período)],tblEvento[[Evento]:[Libera o Período]],4,FALSE)="Não",TRUE,FALSE)),
-IF(VLOOKUP(tblHorasNov[Dia],tblDiaUtil[[Abreviatura]:[2º Período]],4,FALSE)&lt;&gt;"",VLOOKUP(tblHorasNov[Dia],tblDiaUtil[[Abreviatura]:[2º Período]],4,FALSE),JORNADA_PERIODO_2),0))))</f>
        <v>0</v>
      </c>
      <c r="O16" s="14">
        <f>IF(tblHorasNov[Horas Trabalhadas Além Jornada]&gt;0,
        IF(ISNUMBER(tblHorasNov[Jornada Diária]),
              IF(HOUR(tblHorasNov[Horas Trabalhadas Além Jornada])&gt;=VLOOKUP(LIMITE,tblLimiteHora[],Tabelas!$I$1,FALSE),
                    VLOOKUP(LIMITE,tblLimiteHora[],Tabelas!$J$1,FALSE),
                    tblHorasNov[Horas Trabalhadas Além Jornada]),
              tblHorasNov[Horas Trabalhadas Além Jornada]),
        tblHorasNov[Horas Trabalhadas Além Jornada])+O15</f>
        <v>0</v>
      </c>
      <c r="P16" s="14" t="str">
        <f>IF(tblHorasNov[Horas Trabalhadas Além Jornada]&lt;0,IF(OR(tblHorasNov[Evento 
(1º Período)]="",tblHorasNov[Evento 
(2º Período)]=""),tblHorasNov[Horas Trabalhadas Além Jornada],""),"")</f>
        <v/>
      </c>
      <c r="Q16" s="14" t="str">
        <f>IF(tblHorasNov[Jornada Diária]&lt;&gt;"",IF((N(tblHorasNov[Jornada Diária])-ABS(N(tblHorasNov[Horas Trabalhadas Além Jornada])))=0,1,""),"")</f>
        <v/>
      </c>
      <c r="R16" s="14" t="str">
        <f>IF(tblHorasNov[Horas Trabalhadas Além Jornada]&gt;0,
IF(AND(VLOOKUP(TEXT(tblHorasNov[Data],"dddd"),tblDiaUtil[],3,FALSE)="Sim",IF(tblHorasNov[Evento 
(1º Período)]&lt;&gt;"",IF(VLOOKUP(tblHorasNov[Evento 
(1º Período)],tblEvento[],Tabelas!$E$1,FALSE)="Sim",FALSE,TRUE),TRUE),IF(tblHorasNov[Evento 
(2º Período)]&lt;&gt;"",IF(VLOOKUP(tblHorasNov[Evento 
(2º Período)],tblEvento[],Tabelas!$E$1,FALSE)="Sim",FALSE,TRUE),TRUE)),
tblHorasNov[Horas Trabalhadas Além Jornada],""),"")</f>
        <v/>
      </c>
      <c r="S16" s="14" t="str">
        <f>IF(tblHorasNov[Horas Trabalhadas Além Jornada]&gt;0,
IF(OR(VLOOKUP(TEXT(tblHorasNov[Data],"dddd"),tblDiaUtil[],3,FALSE)="Não",IF(tblHorasNov[Evento 
(1º Período)]&lt;&gt;"",IF(VLOOKUP(tblHorasNov[Evento 
(1º Período)],tblEvento[],Tabelas!$E$1,FALSE)="Sim",TRUE,FALSE),FALSE),IF(tblHorasNov[Evento 
(2º Período)]&lt;&gt;"",IF(VLOOKUP(tblHorasNov[Evento 
(2º Período)],tblEvento[],Tabelas!$E$1,FALSE)="Sim",TRUE,FALSE),FALSE)),
tblHorasNov[Horas Trabalhadas Além Jornada],""),"")</f>
        <v/>
      </c>
      <c r="T16" s="15" t="str">
        <f>IF(tblHorasNov[Evento 
(1º Período)]&lt;&gt;""," - " &amp;VLOOKUP(tblHorasNov[Evento 
(1º Período)],tblEvento[],Tabelas!$F$1,FALSE),"")&amp;IF(AND(tblHorasNov[Evento 
(2º Período)]&lt;&gt;"",tblHorasNov[Evento 
(2º Período)]&lt;&gt;tblHorasNov[Evento 
(1º Período)])," - " &amp; VLOOKUP(tblHorasNov[Evento 
(2º Período)],tblEvento[],Tabelas!$F$1,FALSE),"")</f>
        <v/>
      </c>
    </row>
    <row r="17" spans="2:20" x14ac:dyDescent="0.25">
      <c r="B17" s="11" t="str">
        <f t="shared" si="0"/>
        <v/>
      </c>
      <c r="C17" s="12" t="str">
        <f>TEXT(tblHorasNov[Data],"ddd")</f>
        <v/>
      </c>
      <c r="D17" s="25"/>
      <c r="E17" s="1"/>
      <c r="F17" s="1"/>
      <c r="G17" s="1"/>
      <c r="H17" s="1"/>
      <c r="I17" s="53"/>
      <c r="J17" s="4">
        <f>IF($B$6&lt;&gt;"",
IF(AND(tblHorasNov[Evento 
(1º Período)]&lt;&gt;"",IF(ISERROR(VLOOKUP(tblHorasNov[Evento 
(1º Período)],tblEvento[],Tabelas!$D$1,FALSE)),FALSE,VLOOKUP(tblHorasNov[Evento 
(1º Período)],tblEvento[],Tabelas!$D$1,FALSE)="Sim")),
        IF(JORNADA_PERIODO_1&lt;&gt;"",
IF(VLOOKUP(tblHorasNov[Dia],tblDiaUtil[[Abreviatura]:[1º Período]],3,FALSE)&gt;0,VLOOKUP(tblHorasNov[Dia],tblDiaUtil[[Abreviatura]:[1º Período]],3,FALSE),JORNADA_PERIODO_1),
IF(VLOOKUP(tblHorasNov[Dia],tblDiaUtil[[Abreviatura]:[1º Período]],3,FALSE)&gt;0,VLOOKUP(tblHorasNov[Dia],tblDiaUtil[[Abreviatura]:[1º Período]],3,FALSE),JORNADA/2)),
        IF(AND(ISNUMBER(tblHorasNov[Saída - 1 (Almoço)]),ISNUMBER(tblHorasNov[Entrada - 1])),
              IF(OR(AND(tblHorasNov[Evento 
(1º Período)]&lt;&gt;"",IF(ISERROR(VLOOKUP(tblHorasNov[Evento 
(1º Período)],tblEvento[],Tabelas!$E$1,FALSE)),FALSE,VLOOKUP(tblHorasNov[Evento 
(1º Período)],tblEvento[],Tabelas!$E$1,FALSE)="Sim")),IF(VLOOKUP(TEXT(tblHorasNov[Data],"dddd"),tblDiaUtil[],2,FALSE)="Não",TRUE,FALSE)),
                   tblHorasNov[Saída - 1 (Almoço)]-tblHorasNov[Entrada - 1],
                   IF(OR(HOUR(tblHorasNov[Saída - 1 (Almoço)]-tblHorasNov[Entrada - 1])&gt;0,ROUND(tblHorasNov[Saída - 1 (Almoço)]-tblHorasNov[Entrada - 1],6)&gt;ROUND(CARENCIA,6)),
                          tblHorasNov[Saída - 1 (Almoço)]-tblHorasNov[Entrada - 1],
                          0)),
                    0)),0)</f>
        <v>0</v>
      </c>
      <c r="K17" s="4">
        <f>IF($B$6&lt;&gt;"",
IF(AND(tblHorasNov[Evento 
(2º Período)]&lt;&gt;"",IF(ISERROR(VLOOKUP(tblHorasNov[Evento 
(2º Período)],tblEvento[],Tabelas!$D$1,FALSE)),FALSE,VLOOKUP(tblHorasNov[Evento 
(2º Período)],tblEvento[],Tabelas!$D$1,FALSE)="Sim")),
        IF(JORNADA_PERIODO_2&lt;&gt;"",
IF(VLOOKUP(tblHorasNov[Dia],tblDiaUtil[[Abreviatura]:[2º Período]],4,FALSE)&gt;0,VLOOKUP(tblHorasNov[Dia],tblDiaUtil[[Abreviatura]:[2º Período]],4,FALSE),JORNADA_PERIODO_2),
IF(VLOOKUP(tblHorasNov[Dia],tblDiaUtil[[Abreviatura]:[2º Período]],4,FALSE)&gt;0,VLOOKUP(tblHorasNov[Dia],tblDiaUtil[[Abreviatura]:[2º Período]],4,FALSE),JORNADA/2)),
        IF(AND(ISNUMBER(tblHorasNov[Saída - 2]),ISNUMBER(tblHorasNov[Entrada - 2 (Almoço)])),
              IF(OR(AND(tblHorasNov[Evento 
(2º Período)]&lt;&gt;"",IF(ISERROR(VLOOKUP(tblHorasNov[Evento 
(2º Período)],tblEvento[],Tabelas!$E$1,FALSE)),FALSE,VLOOKUP(tblHorasNov[Evento 
(2º Período)],tblEvento[],Tabelas!$E$1,FALSE)="Sim")),IF(VLOOKUP(TEXT(tblHorasNov[Data],"dddd"),tblDiaUtil[],2,FALSE)="Não",TRUE,FALSE)),
                   tblHorasNov[Saída - 2]-tblHorasNov[Entrada - 2 (Almoço)],
                   IF(OR(HOUR(tblHorasNov[Saída - 2]-tblHorasNov[Entrada - 2 (Almoço)])&gt;0,MINUTE(tblHorasNov[Saída - 2]-tblHorasNov[Entrada - 2 (Almoço)])&gt;CARENCIA),
                         tblHorasNov[Saída - 2]-tblHorasNov[Entrada - 2 (Almoço)],
                         0)),
       0)),0)</f>
        <v>0</v>
      </c>
      <c r="L17" s="4">
        <f>tblHorasNov[Horas Trabalhadas (1º Período)]+tblHorasNov[Horas Trabalhadas (2º Período)]</f>
        <v>0</v>
      </c>
      <c r="M17" s="4" t="str">
        <f>IF(tblHorasNov[Data]&lt;&gt;"",
        IF(
AND(VLOOKUP(TEXT(tblHorasNov[Data],"dddd"),tblDiaUtil[],3,FALSE)="Sim",IF(tblHorasNov[Evento 
(1º Período)]&lt;&gt;"",IF(VLOOKUP(tblHorasNov[Evento 
(1º Período)],tblEvento[],Tabelas!$E$1,FALSE)="Sim",FALSE,TRUE),TRUE),IF(tblHorasNov[Evento 
(2º Período)]&lt;&gt;"",IF(VLOOKUP(tblHorasNov[Evento 
(2º Período)],tblEvento[],Tabelas!$E$1,FALSE)="Sim",FALSE,TRUE),TRUE)),
              IF(VLOOKUP(tblHorasNov[Dia],tblDiaUtil[[Abreviatura]:[1º Período]],3,FALSE)&gt;0,VLOOKUP(tblHorasNov[Dia],tblDiaUtil[[Abreviatura]:[1º Período]],3,FALSE),JORNADA),
              ""),
         "")</f>
        <v/>
      </c>
      <c r="N17" s="14">
        <f>IF(OR(tblHorasNov[Horas Trabalhadas (1º Período)]&lt;&gt;0,tblHorasNov[Horas Trabalhadas (2º Período)]&lt;&gt;0),
        IF(ISNUMBER(tblHorasNov[Jornada Diária]),
              IF(tblHorasNov[Jornada Diária]&gt;(tblHorasNov[Horas Trabalhadas (2º Período)]+tblHorasNov[Horas Trabalhadas (1º Período)]),
                     IF(ROUND((tblHorasNov[Jornada Diária]-(tblHorasNov[Horas Trabalhadas (2º Período)]+tblHorasNov[Horas Trabalhadas (1º Período)])),6)&gt;ROUND(CARENCIA,6),
                           -tblHorasNov[Jornada Diária]+(tblHorasNov[Horas Trabalhadas (2º Período)]+tblHorasNov[Horas Trabalhadas (1º Período)]),
                           0),
                      IF(ROUND((tblHorasNov[Jornada Diária]-(tblHorasNov[Horas Trabalhadas (2º Período)]+tblHorasNov[Horas Trabalhadas (1º Período)])),6)&lt;ROUND(-CARENCIA,6),
                           -tblHorasNov[Jornada Diária]+(tblHorasNov[Horas Trabalhadas (2º Período)]+tblHorasNov[Horas Trabalhadas (1º Período)]),
                           0)),
              tblHorasNov[Horas Trabalhadas (2º Período)]+tblHorasNov[Horas Trabalhadas (1º Período)]),
         IF(AND(IF(ISERROR(VLOOKUP(tblHorasNov[Evento 
(1º Período)],tblEvento[[Evento]:[Libera o Período]],4,FALSE)),FALSE,IF(VLOOKUP(tblHorasNov[Evento 
(1º Período)],tblEvento[[Evento]:[Libera o Período]],4,FALSE)="Não",TRUE,FALSE)),IF(ISERROR(VLOOKUP(tblHorasNov[Evento 
(2º Período)],tblEvento[[Evento]:[Libera o Período]],4,FALSE)),FALSE,IF(VLOOKUP(tblHorasNov[Evento 
(2º Período)],tblEvento[[Evento]:[Libera o Período]],4,FALSE)="Não",TRUE,FALSE))),
-IF(VLOOKUP(tblHorasNov[Dia],tblDiaUtil[[Abreviatura]:[Total Jornada]],5,FALSE)&lt;&gt;"",VLOOKUP(tblHorasNov[Dia],tblDiaUtil[[Abreviatura]:[Total Jornada]],5,FALSE),JORNADA),
IF(IF(ISERROR(VLOOKUP(tblHorasNov[Evento 
(1º Período)],tblEvento[[Evento]:[Libera o Período]],4,FALSE)),FALSE,
IF(VLOOKUP(tblHorasNov[Evento 
(1º Período)],tblEvento[[Evento]:[Libera o Período]],4,FALSE)="Não",TRUE,FALSE)
),
-IF(VLOOKUP(tblHorasNov[Dia],tblDiaUtil[[Abreviatura]:[1º Período]],3,FALSE)&lt;&gt;"",VLOOKUP(tblHorasNov[Dia],tblDiaUtil[[Abreviatura]:[1º Período]],3,FALSE),JORNADA_PERIODO_1),
IF(IF(ISERROR(VLOOKUP(tblHorasNov[Evento 
(2º Período)],tblEvento[[Evento]:[Libera o Período]],4,FALSE)),FALSE,IF(VLOOKUP(tblHorasNov[Evento 
(2º Período)],tblEvento[[Evento]:[Libera o Período]],4,FALSE)="Não",TRUE,FALSE)),
-IF(VLOOKUP(tblHorasNov[Dia],tblDiaUtil[[Abreviatura]:[2º Período]],4,FALSE)&lt;&gt;"",VLOOKUP(tblHorasNov[Dia],tblDiaUtil[[Abreviatura]:[2º Período]],4,FALSE),JORNADA_PERIODO_2),0))))</f>
        <v>0</v>
      </c>
      <c r="O17" s="14">
        <f>IF(tblHorasNov[Horas Trabalhadas Além Jornada]&gt;0,
        IF(ISNUMBER(tblHorasNov[Jornada Diária]),
              IF(HOUR(tblHorasNov[Horas Trabalhadas Além Jornada])&gt;=VLOOKUP(LIMITE,tblLimiteHora[],Tabelas!$I$1,FALSE),
                    VLOOKUP(LIMITE,tblLimiteHora[],Tabelas!$J$1,FALSE),
                    tblHorasNov[Horas Trabalhadas Além Jornada]),
              tblHorasNov[Horas Trabalhadas Além Jornada]),
        tblHorasNov[Horas Trabalhadas Além Jornada])+O16</f>
        <v>0</v>
      </c>
      <c r="P17" s="14" t="str">
        <f>IF(tblHorasNov[Horas Trabalhadas Além Jornada]&lt;0,IF(OR(tblHorasNov[Evento 
(1º Período)]="",tblHorasNov[Evento 
(2º Período)]=""),tblHorasNov[Horas Trabalhadas Além Jornada],""),"")</f>
        <v/>
      </c>
      <c r="Q17" s="14" t="str">
        <f>IF(tblHorasNov[Jornada Diária]&lt;&gt;"",IF((N(tblHorasNov[Jornada Diária])-ABS(N(tblHorasNov[Horas Trabalhadas Além Jornada])))=0,1,""),"")</f>
        <v/>
      </c>
      <c r="R17" s="14" t="str">
        <f>IF(tblHorasNov[Horas Trabalhadas Além Jornada]&gt;0,
IF(AND(VLOOKUP(TEXT(tblHorasNov[Data],"dddd"),tblDiaUtil[],3,FALSE)="Sim",IF(tblHorasNov[Evento 
(1º Período)]&lt;&gt;"",IF(VLOOKUP(tblHorasNov[Evento 
(1º Período)],tblEvento[],Tabelas!$E$1,FALSE)="Sim",FALSE,TRUE),TRUE),IF(tblHorasNov[Evento 
(2º Período)]&lt;&gt;"",IF(VLOOKUP(tblHorasNov[Evento 
(2º Período)],tblEvento[],Tabelas!$E$1,FALSE)="Sim",FALSE,TRUE),TRUE)),
tblHorasNov[Horas Trabalhadas Além Jornada],""),"")</f>
        <v/>
      </c>
      <c r="S17" s="14" t="str">
        <f>IF(tblHorasNov[Horas Trabalhadas Além Jornada]&gt;0,
IF(OR(VLOOKUP(TEXT(tblHorasNov[Data],"dddd"),tblDiaUtil[],3,FALSE)="Não",IF(tblHorasNov[Evento 
(1º Período)]&lt;&gt;"",IF(VLOOKUP(tblHorasNov[Evento 
(1º Período)],tblEvento[],Tabelas!$E$1,FALSE)="Sim",TRUE,FALSE),FALSE),IF(tblHorasNov[Evento 
(2º Período)]&lt;&gt;"",IF(VLOOKUP(tblHorasNov[Evento 
(2º Período)],tblEvento[],Tabelas!$E$1,FALSE)="Sim",TRUE,FALSE),FALSE)),
tblHorasNov[Horas Trabalhadas Além Jornada],""),"")</f>
        <v/>
      </c>
      <c r="T17" s="15" t="str">
        <f>IF(tblHorasNov[Evento 
(1º Período)]&lt;&gt;""," - " &amp;VLOOKUP(tblHorasNov[Evento 
(1º Período)],tblEvento[],Tabelas!$F$1,FALSE),"")&amp;IF(AND(tblHorasNov[Evento 
(2º Período)]&lt;&gt;"",tblHorasNov[Evento 
(2º Período)]&lt;&gt;tblHorasNov[Evento 
(1º Período)])," - " &amp; VLOOKUP(tblHorasNov[Evento 
(2º Período)],tblEvento[],Tabelas!$F$1,FALSE),"")</f>
        <v/>
      </c>
    </row>
    <row r="18" spans="2:20" x14ac:dyDescent="0.25">
      <c r="B18" s="11" t="str">
        <f t="shared" si="0"/>
        <v/>
      </c>
      <c r="C18" s="12" t="str">
        <f>TEXT(tblHorasNov[Data],"ddd")</f>
        <v/>
      </c>
      <c r="D18" s="25"/>
      <c r="E18" s="1"/>
      <c r="F18" s="1"/>
      <c r="G18" s="1"/>
      <c r="H18" s="1"/>
      <c r="I18" s="53"/>
      <c r="J18" s="4">
        <f>IF($B$6&lt;&gt;"",
IF(AND(tblHorasNov[Evento 
(1º Período)]&lt;&gt;"",IF(ISERROR(VLOOKUP(tblHorasNov[Evento 
(1º Período)],tblEvento[],Tabelas!$D$1,FALSE)),FALSE,VLOOKUP(tblHorasNov[Evento 
(1º Período)],tblEvento[],Tabelas!$D$1,FALSE)="Sim")),
        IF(JORNADA_PERIODO_1&lt;&gt;"",
IF(VLOOKUP(tblHorasNov[Dia],tblDiaUtil[[Abreviatura]:[1º Período]],3,FALSE)&gt;0,VLOOKUP(tblHorasNov[Dia],tblDiaUtil[[Abreviatura]:[1º Período]],3,FALSE),JORNADA_PERIODO_1),
IF(VLOOKUP(tblHorasNov[Dia],tblDiaUtil[[Abreviatura]:[1º Período]],3,FALSE)&gt;0,VLOOKUP(tblHorasNov[Dia],tblDiaUtil[[Abreviatura]:[1º Período]],3,FALSE),JORNADA/2)),
        IF(AND(ISNUMBER(tblHorasNov[Saída - 1 (Almoço)]),ISNUMBER(tblHorasNov[Entrada - 1])),
              IF(OR(AND(tblHorasNov[Evento 
(1º Período)]&lt;&gt;"",IF(ISERROR(VLOOKUP(tblHorasNov[Evento 
(1º Período)],tblEvento[],Tabelas!$E$1,FALSE)),FALSE,VLOOKUP(tblHorasNov[Evento 
(1º Período)],tblEvento[],Tabelas!$E$1,FALSE)="Sim")),IF(VLOOKUP(TEXT(tblHorasNov[Data],"dddd"),tblDiaUtil[],2,FALSE)="Não",TRUE,FALSE)),
                   tblHorasNov[Saída - 1 (Almoço)]-tblHorasNov[Entrada - 1],
                   IF(OR(HOUR(tblHorasNov[Saída - 1 (Almoço)]-tblHorasNov[Entrada - 1])&gt;0,ROUND(tblHorasNov[Saída - 1 (Almoço)]-tblHorasNov[Entrada - 1],6)&gt;ROUND(CARENCIA,6)),
                          tblHorasNov[Saída - 1 (Almoço)]-tblHorasNov[Entrada - 1],
                          0)),
                    0)),0)</f>
        <v>0</v>
      </c>
      <c r="K18" s="4">
        <f>IF($B$6&lt;&gt;"",
IF(AND(tblHorasNov[Evento 
(2º Período)]&lt;&gt;"",IF(ISERROR(VLOOKUP(tblHorasNov[Evento 
(2º Período)],tblEvento[],Tabelas!$D$1,FALSE)),FALSE,VLOOKUP(tblHorasNov[Evento 
(2º Período)],tblEvento[],Tabelas!$D$1,FALSE)="Sim")),
        IF(JORNADA_PERIODO_2&lt;&gt;"",
IF(VLOOKUP(tblHorasNov[Dia],tblDiaUtil[[Abreviatura]:[2º Período]],4,FALSE)&gt;0,VLOOKUP(tblHorasNov[Dia],tblDiaUtil[[Abreviatura]:[2º Período]],4,FALSE),JORNADA_PERIODO_2),
IF(VLOOKUP(tblHorasNov[Dia],tblDiaUtil[[Abreviatura]:[2º Período]],4,FALSE)&gt;0,VLOOKUP(tblHorasNov[Dia],tblDiaUtil[[Abreviatura]:[2º Período]],4,FALSE),JORNADA/2)),
        IF(AND(ISNUMBER(tblHorasNov[Saída - 2]),ISNUMBER(tblHorasNov[Entrada - 2 (Almoço)])),
              IF(OR(AND(tblHorasNov[Evento 
(2º Período)]&lt;&gt;"",IF(ISERROR(VLOOKUP(tblHorasNov[Evento 
(2º Período)],tblEvento[],Tabelas!$E$1,FALSE)),FALSE,VLOOKUP(tblHorasNov[Evento 
(2º Período)],tblEvento[],Tabelas!$E$1,FALSE)="Sim")),IF(VLOOKUP(TEXT(tblHorasNov[Data],"dddd"),tblDiaUtil[],2,FALSE)="Não",TRUE,FALSE)),
                   tblHorasNov[Saída - 2]-tblHorasNov[Entrada - 2 (Almoço)],
                   IF(OR(HOUR(tblHorasNov[Saída - 2]-tblHorasNov[Entrada - 2 (Almoço)])&gt;0,MINUTE(tblHorasNov[Saída - 2]-tblHorasNov[Entrada - 2 (Almoço)])&gt;CARENCIA),
                         tblHorasNov[Saída - 2]-tblHorasNov[Entrada - 2 (Almoço)],
                         0)),
       0)),0)</f>
        <v>0</v>
      </c>
      <c r="L18" s="4">
        <f>tblHorasNov[Horas Trabalhadas (1º Período)]+tblHorasNov[Horas Trabalhadas (2º Período)]</f>
        <v>0</v>
      </c>
      <c r="M18" s="4" t="str">
        <f>IF(tblHorasNov[Data]&lt;&gt;"",
        IF(
AND(VLOOKUP(TEXT(tblHorasNov[Data],"dddd"),tblDiaUtil[],3,FALSE)="Sim",IF(tblHorasNov[Evento 
(1º Período)]&lt;&gt;"",IF(VLOOKUP(tblHorasNov[Evento 
(1º Período)],tblEvento[],Tabelas!$E$1,FALSE)="Sim",FALSE,TRUE),TRUE),IF(tblHorasNov[Evento 
(2º Período)]&lt;&gt;"",IF(VLOOKUP(tblHorasNov[Evento 
(2º Período)],tblEvento[],Tabelas!$E$1,FALSE)="Sim",FALSE,TRUE),TRUE)),
              IF(VLOOKUP(tblHorasNov[Dia],tblDiaUtil[[Abreviatura]:[1º Período]],3,FALSE)&gt;0,VLOOKUP(tblHorasNov[Dia],tblDiaUtil[[Abreviatura]:[1º Período]],3,FALSE),JORNADA),
              ""),
         "")</f>
        <v/>
      </c>
      <c r="N18" s="14">
        <f>IF(OR(tblHorasNov[Horas Trabalhadas (1º Período)]&lt;&gt;0,tblHorasNov[Horas Trabalhadas (2º Período)]&lt;&gt;0),
        IF(ISNUMBER(tblHorasNov[Jornada Diária]),
              IF(tblHorasNov[Jornada Diária]&gt;(tblHorasNov[Horas Trabalhadas (2º Período)]+tblHorasNov[Horas Trabalhadas (1º Período)]),
                     IF(ROUND((tblHorasNov[Jornada Diária]-(tblHorasNov[Horas Trabalhadas (2º Período)]+tblHorasNov[Horas Trabalhadas (1º Período)])),6)&gt;ROUND(CARENCIA,6),
                           -tblHorasNov[Jornada Diária]+(tblHorasNov[Horas Trabalhadas (2º Período)]+tblHorasNov[Horas Trabalhadas (1º Período)]),
                           0),
                      IF(ROUND((tblHorasNov[Jornada Diária]-(tblHorasNov[Horas Trabalhadas (2º Período)]+tblHorasNov[Horas Trabalhadas (1º Período)])),6)&lt;ROUND(-CARENCIA,6),
                           -tblHorasNov[Jornada Diária]+(tblHorasNov[Horas Trabalhadas (2º Período)]+tblHorasNov[Horas Trabalhadas (1º Período)]),
                           0)),
              tblHorasNov[Horas Trabalhadas (2º Período)]+tblHorasNov[Horas Trabalhadas (1º Período)]),
         IF(AND(IF(ISERROR(VLOOKUP(tblHorasNov[Evento 
(1º Período)],tblEvento[[Evento]:[Libera o Período]],4,FALSE)),FALSE,IF(VLOOKUP(tblHorasNov[Evento 
(1º Período)],tblEvento[[Evento]:[Libera o Período]],4,FALSE)="Não",TRUE,FALSE)),IF(ISERROR(VLOOKUP(tblHorasNov[Evento 
(2º Período)],tblEvento[[Evento]:[Libera o Período]],4,FALSE)),FALSE,IF(VLOOKUP(tblHorasNov[Evento 
(2º Período)],tblEvento[[Evento]:[Libera o Período]],4,FALSE)="Não",TRUE,FALSE))),
-IF(VLOOKUP(tblHorasNov[Dia],tblDiaUtil[[Abreviatura]:[Total Jornada]],5,FALSE)&lt;&gt;"",VLOOKUP(tblHorasNov[Dia],tblDiaUtil[[Abreviatura]:[Total Jornada]],5,FALSE),JORNADA),
IF(IF(ISERROR(VLOOKUP(tblHorasNov[Evento 
(1º Período)],tblEvento[[Evento]:[Libera o Período]],4,FALSE)),FALSE,
IF(VLOOKUP(tblHorasNov[Evento 
(1º Período)],tblEvento[[Evento]:[Libera o Período]],4,FALSE)="Não",TRUE,FALSE)
),
-IF(VLOOKUP(tblHorasNov[Dia],tblDiaUtil[[Abreviatura]:[1º Período]],3,FALSE)&lt;&gt;"",VLOOKUP(tblHorasNov[Dia],tblDiaUtil[[Abreviatura]:[1º Período]],3,FALSE),JORNADA_PERIODO_1),
IF(IF(ISERROR(VLOOKUP(tblHorasNov[Evento 
(2º Período)],tblEvento[[Evento]:[Libera o Período]],4,FALSE)),FALSE,IF(VLOOKUP(tblHorasNov[Evento 
(2º Período)],tblEvento[[Evento]:[Libera o Período]],4,FALSE)="Não",TRUE,FALSE)),
-IF(VLOOKUP(tblHorasNov[Dia],tblDiaUtil[[Abreviatura]:[2º Período]],4,FALSE)&lt;&gt;"",VLOOKUP(tblHorasNov[Dia],tblDiaUtil[[Abreviatura]:[2º Período]],4,FALSE),JORNADA_PERIODO_2),0))))</f>
        <v>0</v>
      </c>
      <c r="O18" s="14">
        <f>IF(tblHorasNov[Horas Trabalhadas Além Jornada]&gt;0,
        IF(ISNUMBER(tblHorasNov[Jornada Diária]),
              IF(HOUR(tblHorasNov[Horas Trabalhadas Além Jornada])&gt;=VLOOKUP(LIMITE,tblLimiteHora[],Tabelas!$I$1,FALSE),
                    VLOOKUP(LIMITE,tblLimiteHora[],Tabelas!$J$1,FALSE),
                    tblHorasNov[Horas Trabalhadas Além Jornada]),
              tblHorasNov[Horas Trabalhadas Além Jornada]),
        tblHorasNov[Horas Trabalhadas Além Jornada])+O17</f>
        <v>0</v>
      </c>
      <c r="P18" s="14" t="str">
        <f>IF(tblHorasNov[Horas Trabalhadas Além Jornada]&lt;0,IF(OR(tblHorasNov[Evento 
(1º Período)]="",tblHorasNov[Evento 
(2º Período)]=""),tblHorasNov[Horas Trabalhadas Além Jornada],""),"")</f>
        <v/>
      </c>
      <c r="Q18" s="14" t="str">
        <f>IF(tblHorasNov[Jornada Diária]&lt;&gt;"",IF((N(tblHorasNov[Jornada Diária])-ABS(N(tblHorasNov[Horas Trabalhadas Além Jornada])))=0,1,""),"")</f>
        <v/>
      </c>
      <c r="R18" s="14" t="str">
        <f>IF(tblHorasNov[Horas Trabalhadas Além Jornada]&gt;0,
IF(AND(VLOOKUP(TEXT(tblHorasNov[Data],"dddd"),tblDiaUtil[],3,FALSE)="Sim",IF(tblHorasNov[Evento 
(1º Período)]&lt;&gt;"",IF(VLOOKUP(tblHorasNov[Evento 
(1º Período)],tblEvento[],Tabelas!$E$1,FALSE)="Sim",FALSE,TRUE),TRUE),IF(tblHorasNov[Evento 
(2º Período)]&lt;&gt;"",IF(VLOOKUP(tblHorasNov[Evento 
(2º Período)],tblEvento[],Tabelas!$E$1,FALSE)="Sim",FALSE,TRUE),TRUE)),
tblHorasNov[Horas Trabalhadas Além Jornada],""),"")</f>
        <v/>
      </c>
      <c r="S18" s="14" t="str">
        <f>IF(tblHorasNov[Horas Trabalhadas Além Jornada]&gt;0,
IF(OR(VLOOKUP(TEXT(tblHorasNov[Data],"dddd"),tblDiaUtil[],3,FALSE)="Não",IF(tblHorasNov[Evento 
(1º Período)]&lt;&gt;"",IF(VLOOKUP(tblHorasNov[Evento 
(1º Período)],tblEvento[],Tabelas!$E$1,FALSE)="Sim",TRUE,FALSE),FALSE),IF(tblHorasNov[Evento 
(2º Período)]&lt;&gt;"",IF(VLOOKUP(tblHorasNov[Evento 
(2º Período)],tblEvento[],Tabelas!$E$1,FALSE)="Sim",TRUE,FALSE),FALSE)),
tblHorasNov[Horas Trabalhadas Além Jornada],""),"")</f>
        <v/>
      </c>
      <c r="T18" s="15" t="str">
        <f>IF(tblHorasNov[Evento 
(1º Período)]&lt;&gt;""," - " &amp;VLOOKUP(tblHorasNov[Evento 
(1º Período)],tblEvento[],Tabelas!$F$1,FALSE),"")&amp;IF(AND(tblHorasNov[Evento 
(2º Período)]&lt;&gt;"",tblHorasNov[Evento 
(2º Período)]&lt;&gt;tblHorasNov[Evento 
(1º Período)])," - " &amp; VLOOKUP(tblHorasNov[Evento 
(2º Período)],tblEvento[],Tabelas!$F$1,FALSE),"")</f>
        <v/>
      </c>
    </row>
    <row r="19" spans="2:20" x14ac:dyDescent="0.25">
      <c r="B19" s="11" t="str">
        <f t="shared" si="0"/>
        <v/>
      </c>
      <c r="C19" s="12" t="str">
        <f>TEXT(tblHorasNov[Data],"ddd")</f>
        <v/>
      </c>
      <c r="D19" s="25"/>
      <c r="E19" s="1"/>
      <c r="F19" s="1"/>
      <c r="G19" s="1"/>
      <c r="H19" s="1"/>
      <c r="I19" s="53"/>
      <c r="J19" s="4">
        <f>IF($B$6&lt;&gt;"",
IF(AND(tblHorasNov[Evento 
(1º Período)]&lt;&gt;"",IF(ISERROR(VLOOKUP(tblHorasNov[Evento 
(1º Período)],tblEvento[],Tabelas!$D$1,FALSE)),FALSE,VLOOKUP(tblHorasNov[Evento 
(1º Período)],tblEvento[],Tabelas!$D$1,FALSE)="Sim")),
        IF(JORNADA_PERIODO_1&lt;&gt;"",
IF(VLOOKUP(tblHorasNov[Dia],tblDiaUtil[[Abreviatura]:[1º Período]],3,FALSE)&gt;0,VLOOKUP(tblHorasNov[Dia],tblDiaUtil[[Abreviatura]:[1º Período]],3,FALSE),JORNADA_PERIODO_1),
IF(VLOOKUP(tblHorasNov[Dia],tblDiaUtil[[Abreviatura]:[1º Período]],3,FALSE)&gt;0,VLOOKUP(tblHorasNov[Dia],tblDiaUtil[[Abreviatura]:[1º Período]],3,FALSE),JORNADA/2)),
        IF(AND(ISNUMBER(tblHorasNov[Saída - 1 (Almoço)]),ISNUMBER(tblHorasNov[Entrada - 1])),
              IF(OR(AND(tblHorasNov[Evento 
(1º Período)]&lt;&gt;"",IF(ISERROR(VLOOKUP(tblHorasNov[Evento 
(1º Período)],tblEvento[],Tabelas!$E$1,FALSE)),FALSE,VLOOKUP(tblHorasNov[Evento 
(1º Período)],tblEvento[],Tabelas!$E$1,FALSE)="Sim")),IF(VLOOKUP(TEXT(tblHorasNov[Data],"dddd"),tblDiaUtil[],2,FALSE)="Não",TRUE,FALSE)),
                   tblHorasNov[Saída - 1 (Almoço)]-tblHorasNov[Entrada - 1],
                   IF(OR(HOUR(tblHorasNov[Saída - 1 (Almoço)]-tblHorasNov[Entrada - 1])&gt;0,ROUND(tblHorasNov[Saída - 1 (Almoço)]-tblHorasNov[Entrada - 1],6)&gt;ROUND(CARENCIA,6)),
                          tblHorasNov[Saída - 1 (Almoço)]-tblHorasNov[Entrada - 1],
                          0)),
                    0)),0)</f>
        <v>0</v>
      </c>
      <c r="K19" s="4">
        <f>IF($B$6&lt;&gt;"",
IF(AND(tblHorasNov[Evento 
(2º Período)]&lt;&gt;"",IF(ISERROR(VLOOKUP(tblHorasNov[Evento 
(2º Período)],tblEvento[],Tabelas!$D$1,FALSE)),FALSE,VLOOKUP(tblHorasNov[Evento 
(2º Período)],tblEvento[],Tabelas!$D$1,FALSE)="Sim")),
        IF(JORNADA_PERIODO_2&lt;&gt;"",
IF(VLOOKUP(tblHorasNov[Dia],tblDiaUtil[[Abreviatura]:[2º Período]],4,FALSE)&gt;0,VLOOKUP(tblHorasNov[Dia],tblDiaUtil[[Abreviatura]:[2º Período]],4,FALSE),JORNADA_PERIODO_2),
IF(VLOOKUP(tblHorasNov[Dia],tblDiaUtil[[Abreviatura]:[2º Período]],4,FALSE)&gt;0,VLOOKUP(tblHorasNov[Dia],tblDiaUtil[[Abreviatura]:[2º Período]],4,FALSE),JORNADA/2)),
        IF(AND(ISNUMBER(tblHorasNov[Saída - 2]),ISNUMBER(tblHorasNov[Entrada - 2 (Almoço)])),
              IF(OR(AND(tblHorasNov[Evento 
(2º Período)]&lt;&gt;"",IF(ISERROR(VLOOKUP(tblHorasNov[Evento 
(2º Período)],tblEvento[],Tabelas!$E$1,FALSE)),FALSE,VLOOKUP(tblHorasNov[Evento 
(2º Período)],tblEvento[],Tabelas!$E$1,FALSE)="Sim")),IF(VLOOKUP(TEXT(tblHorasNov[Data],"dddd"),tblDiaUtil[],2,FALSE)="Não",TRUE,FALSE)),
                   tblHorasNov[Saída - 2]-tblHorasNov[Entrada - 2 (Almoço)],
                   IF(OR(HOUR(tblHorasNov[Saída - 2]-tblHorasNov[Entrada - 2 (Almoço)])&gt;0,MINUTE(tblHorasNov[Saída - 2]-tblHorasNov[Entrada - 2 (Almoço)])&gt;CARENCIA),
                         tblHorasNov[Saída - 2]-tblHorasNov[Entrada - 2 (Almoço)],
                         0)),
       0)),0)</f>
        <v>0</v>
      </c>
      <c r="L19" s="4">
        <f>tblHorasNov[Horas Trabalhadas (1º Período)]+tblHorasNov[Horas Trabalhadas (2º Período)]</f>
        <v>0</v>
      </c>
      <c r="M19" s="4" t="str">
        <f>IF(tblHorasNov[Data]&lt;&gt;"",
        IF(
AND(VLOOKUP(TEXT(tblHorasNov[Data],"dddd"),tblDiaUtil[],3,FALSE)="Sim",IF(tblHorasNov[Evento 
(1º Período)]&lt;&gt;"",IF(VLOOKUP(tblHorasNov[Evento 
(1º Período)],tblEvento[],Tabelas!$E$1,FALSE)="Sim",FALSE,TRUE),TRUE),IF(tblHorasNov[Evento 
(2º Período)]&lt;&gt;"",IF(VLOOKUP(tblHorasNov[Evento 
(2º Período)],tblEvento[],Tabelas!$E$1,FALSE)="Sim",FALSE,TRUE),TRUE)),
              IF(VLOOKUP(tblHorasNov[Dia],tblDiaUtil[[Abreviatura]:[1º Período]],3,FALSE)&gt;0,VLOOKUP(tblHorasNov[Dia],tblDiaUtil[[Abreviatura]:[1º Período]],3,FALSE),JORNADA),
              ""),
         "")</f>
        <v/>
      </c>
      <c r="N19" s="14">
        <f>IF(OR(tblHorasNov[Horas Trabalhadas (1º Período)]&lt;&gt;0,tblHorasNov[Horas Trabalhadas (2º Período)]&lt;&gt;0),
        IF(ISNUMBER(tblHorasNov[Jornada Diária]),
              IF(tblHorasNov[Jornada Diária]&gt;(tblHorasNov[Horas Trabalhadas (2º Período)]+tblHorasNov[Horas Trabalhadas (1º Período)]),
                     IF(ROUND((tblHorasNov[Jornada Diária]-(tblHorasNov[Horas Trabalhadas (2º Período)]+tblHorasNov[Horas Trabalhadas (1º Período)])),6)&gt;ROUND(CARENCIA,6),
                           -tblHorasNov[Jornada Diária]+(tblHorasNov[Horas Trabalhadas (2º Período)]+tblHorasNov[Horas Trabalhadas (1º Período)]),
                           0),
                      IF(ROUND((tblHorasNov[Jornada Diária]-(tblHorasNov[Horas Trabalhadas (2º Período)]+tblHorasNov[Horas Trabalhadas (1º Período)])),6)&lt;ROUND(-CARENCIA,6),
                           -tblHorasNov[Jornada Diária]+(tblHorasNov[Horas Trabalhadas (2º Período)]+tblHorasNov[Horas Trabalhadas (1º Período)]),
                           0)),
              tblHorasNov[Horas Trabalhadas (2º Período)]+tblHorasNov[Horas Trabalhadas (1º Período)]),
         IF(AND(IF(ISERROR(VLOOKUP(tblHorasNov[Evento 
(1º Período)],tblEvento[[Evento]:[Libera o Período]],4,FALSE)),FALSE,IF(VLOOKUP(tblHorasNov[Evento 
(1º Período)],tblEvento[[Evento]:[Libera o Período]],4,FALSE)="Não",TRUE,FALSE)),IF(ISERROR(VLOOKUP(tblHorasNov[Evento 
(2º Período)],tblEvento[[Evento]:[Libera o Período]],4,FALSE)),FALSE,IF(VLOOKUP(tblHorasNov[Evento 
(2º Período)],tblEvento[[Evento]:[Libera o Período]],4,FALSE)="Não",TRUE,FALSE))),
-IF(VLOOKUP(tblHorasNov[Dia],tblDiaUtil[[Abreviatura]:[Total Jornada]],5,FALSE)&lt;&gt;"",VLOOKUP(tblHorasNov[Dia],tblDiaUtil[[Abreviatura]:[Total Jornada]],5,FALSE),JORNADA),
IF(IF(ISERROR(VLOOKUP(tblHorasNov[Evento 
(1º Período)],tblEvento[[Evento]:[Libera o Período]],4,FALSE)),FALSE,
IF(VLOOKUP(tblHorasNov[Evento 
(1º Período)],tblEvento[[Evento]:[Libera o Período]],4,FALSE)="Não",TRUE,FALSE)
),
-IF(VLOOKUP(tblHorasNov[Dia],tblDiaUtil[[Abreviatura]:[1º Período]],3,FALSE)&lt;&gt;"",VLOOKUP(tblHorasNov[Dia],tblDiaUtil[[Abreviatura]:[1º Período]],3,FALSE),JORNADA_PERIODO_1),
IF(IF(ISERROR(VLOOKUP(tblHorasNov[Evento 
(2º Período)],tblEvento[[Evento]:[Libera o Período]],4,FALSE)),FALSE,IF(VLOOKUP(tblHorasNov[Evento 
(2º Período)],tblEvento[[Evento]:[Libera o Período]],4,FALSE)="Não",TRUE,FALSE)),
-IF(VLOOKUP(tblHorasNov[Dia],tblDiaUtil[[Abreviatura]:[2º Período]],4,FALSE)&lt;&gt;"",VLOOKUP(tblHorasNov[Dia],tblDiaUtil[[Abreviatura]:[2º Período]],4,FALSE),JORNADA_PERIODO_2),0))))</f>
        <v>0</v>
      </c>
      <c r="O19" s="14">
        <f>IF(tblHorasNov[Horas Trabalhadas Além Jornada]&gt;0,
        IF(ISNUMBER(tblHorasNov[Jornada Diária]),
              IF(HOUR(tblHorasNov[Horas Trabalhadas Além Jornada])&gt;=VLOOKUP(LIMITE,tblLimiteHora[],Tabelas!$I$1,FALSE),
                    VLOOKUP(LIMITE,tblLimiteHora[],Tabelas!$J$1,FALSE),
                    tblHorasNov[Horas Trabalhadas Além Jornada]),
              tblHorasNov[Horas Trabalhadas Além Jornada]),
        tblHorasNov[Horas Trabalhadas Além Jornada])+O18</f>
        <v>0</v>
      </c>
      <c r="P19" s="14" t="str">
        <f>IF(tblHorasNov[Horas Trabalhadas Além Jornada]&lt;0,IF(OR(tblHorasNov[Evento 
(1º Período)]="",tblHorasNov[Evento 
(2º Período)]=""),tblHorasNov[Horas Trabalhadas Além Jornada],""),"")</f>
        <v/>
      </c>
      <c r="Q19" s="14" t="str">
        <f>IF(tblHorasNov[Jornada Diária]&lt;&gt;"",IF((N(tblHorasNov[Jornada Diária])-ABS(N(tblHorasNov[Horas Trabalhadas Além Jornada])))=0,1,""),"")</f>
        <v/>
      </c>
      <c r="R19" s="14" t="str">
        <f>IF(tblHorasNov[Horas Trabalhadas Além Jornada]&gt;0,
IF(AND(VLOOKUP(TEXT(tblHorasNov[Data],"dddd"),tblDiaUtil[],3,FALSE)="Sim",IF(tblHorasNov[Evento 
(1º Período)]&lt;&gt;"",IF(VLOOKUP(tblHorasNov[Evento 
(1º Período)],tblEvento[],Tabelas!$E$1,FALSE)="Sim",FALSE,TRUE),TRUE),IF(tblHorasNov[Evento 
(2º Período)]&lt;&gt;"",IF(VLOOKUP(tblHorasNov[Evento 
(2º Período)],tblEvento[],Tabelas!$E$1,FALSE)="Sim",FALSE,TRUE),TRUE)),
tblHorasNov[Horas Trabalhadas Além Jornada],""),"")</f>
        <v/>
      </c>
      <c r="S19" s="14" t="str">
        <f>IF(tblHorasNov[Horas Trabalhadas Além Jornada]&gt;0,
IF(OR(VLOOKUP(TEXT(tblHorasNov[Data],"dddd"),tblDiaUtil[],3,FALSE)="Não",IF(tblHorasNov[Evento 
(1º Período)]&lt;&gt;"",IF(VLOOKUP(tblHorasNov[Evento 
(1º Período)],tblEvento[],Tabelas!$E$1,FALSE)="Sim",TRUE,FALSE),FALSE),IF(tblHorasNov[Evento 
(2º Período)]&lt;&gt;"",IF(VLOOKUP(tblHorasNov[Evento 
(2º Período)],tblEvento[],Tabelas!$E$1,FALSE)="Sim",TRUE,FALSE),FALSE)),
tblHorasNov[Horas Trabalhadas Além Jornada],""),"")</f>
        <v/>
      </c>
      <c r="T19" s="15" t="str">
        <f>IF(tblHorasNov[Evento 
(1º Período)]&lt;&gt;""," - " &amp;VLOOKUP(tblHorasNov[Evento 
(1º Período)],tblEvento[],Tabelas!$F$1,FALSE),"")&amp;IF(AND(tblHorasNov[Evento 
(2º Período)]&lt;&gt;"",tblHorasNov[Evento 
(2º Período)]&lt;&gt;tblHorasNov[Evento 
(1º Período)])," - " &amp; VLOOKUP(tblHorasNov[Evento 
(2º Período)],tblEvento[],Tabelas!$F$1,FALSE),"")</f>
        <v/>
      </c>
    </row>
    <row r="20" spans="2:20" x14ac:dyDescent="0.25">
      <c r="B20" s="11" t="str">
        <f t="shared" si="0"/>
        <v/>
      </c>
      <c r="C20" s="12" t="str">
        <f>TEXT(tblHorasNov[Data],"ddd")</f>
        <v/>
      </c>
      <c r="D20" s="25"/>
      <c r="E20" s="1"/>
      <c r="F20" s="1"/>
      <c r="G20" s="1"/>
      <c r="H20" s="1"/>
      <c r="I20" s="53"/>
      <c r="J20" s="4">
        <f>IF($B$6&lt;&gt;"",
IF(AND(tblHorasNov[Evento 
(1º Período)]&lt;&gt;"",IF(ISERROR(VLOOKUP(tblHorasNov[Evento 
(1º Período)],tblEvento[],Tabelas!$D$1,FALSE)),FALSE,VLOOKUP(tblHorasNov[Evento 
(1º Período)],tblEvento[],Tabelas!$D$1,FALSE)="Sim")),
        IF(JORNADA_PERIODO_1&lt;&gt;"",
IF(VLOOKUP(tblHorasNov[Dia],tblDiaUtil[[Abreviatura]:[1º Período]],3,FALSE)&gt;0,VLOOKUP(tblHorasNov[Dia],tblDiaUtil[[Abreviatura]:[1º Período]],3,FALSE),JORNADA_PERIODO_1),
IF(VLOOKUP(tblHorasNov[Dia],tblDiaUtil[[Abreviatura]:[1º Período]],3,FALSE)&gt;0,VLOOKUP(tblHorasNov[Dia],tblDiaUtil[[Abreviatura]:[1º Período]],3,FALSE),JORNADA/2)),
        IF(AND(ISNUMBER(tblHorasNov[Saída - 1 (Almoço)]),ISNUMBER(tblHorasNov[Entrada - 1])),
              IF(OR(AND(tblHorasNov[Evento 
(1º Período)]&lt;&gt;"",IF(ISERROR(VLOOKUP(tblHorasNov[Evento 
(1º Período)],tblEvento[],Tabelas!$E$1,FALSE)),FALSE,VLOOKUP(tblHorasNov[Evento 
(1º Período)],tblEvento[],Tabelas!$E$1,FALSE)="Sim")),IF(VLOOKUP(TEXT(tblHorasNov[Data],"dddd"),tblDiaUtil[],2,FALSE)="Não",TRUE,FALSE)),
                   tblHorasNov[Saída - 1 (Almoço)]-tblHorasNov[Entrada - 1],
                   IF(OR(HOUR(tblHorasNov[Saída - 1 (Almoço)]-tblHorasNov[Entrada - 1])&gt;0,ROUND(tblHorasNov[Saída - 1 (Almoço)]-tblHorasNov[Entrada - 1],6)&gt;ROUND(CARENCIA,6)),
                          tblHorasNov[Saída - 1 (Almoço)]-tblHorasNov[Entrada - 1],
                          0)),
                    0)),0)</f>
        <v>0</v>
      </c>
      <c r="K20" s="4">
        <f>IF($B$6&lt;&gt;"",
IF(AND(tblHorasNov[Evento 
(2º Período)]&lt;&gt;"",IF(ISERROR(VLOOKUP(tblHorasNov[Evento 
(2º Período)],tblEvento[],Tabelas!$D$1,FALSE)),FALSE,VLOOKUP(tblHorasNov[Evento 
(2º Período)],tblEvento[],Tabelas!$D$1,FALSE)="Sim")),
        IF(JORNADA_PERIODO_2&lt;&gt;"",
IF(VLOOKUP(tblHorasNov[Dia],tblDiaUtil[[Abreviatura]:[2º Período]],4,FALSE)&gt;0,VLOOKUP(tblHorasNov[Dia],tblDiaUtil[[Abreviatura]:[2º Período]],4,FALSE),JORNADA_PERIODO_2),
IF(VLOOKUP(tblHorasNov[Dia],tblDiaUtil[[Abreviatura]:[2º Período]],4,FALSE)&gt;0,VLOOKUP(tblHorasNov[Dia],tblDiaUtil[[Abreviatura]:[2º Período]],4,FALSE),JORNADA/2)),
        IF(AND(ISNUMBER(tblHorasNov[Saída - 2]),ISNUMBER(tblHorasNov[Entrada - 2 (Almoço)])),
              IF(OR(AND(tblHorasNov[Evento 
(2º Período)]&lt;&gt;"",IF(ISERROR(VLOOKUP(tblHorasNov[Evento 
(2º Período)],tblEvento[],Tabelas!$E$1,FALSE)),FALSE,VLOOKUP(tblHorasNov[Evento 
(2º Período)],tblEvento[],Tabelas!$E$1,FALSE)="Sim")),IF(VLOOKUP(TEXT(tblHorasNov[Data],"dddd"),tblDiaUtil[],2,FALSE)="Não",TRUE,FALSE)),
                   tblHorasNov[Saída - 2]-tblHorasNov[Entrada - 2 (Almoço)],
                   IF(OR(HOUR(tblHorasNov[Saída - 2]-tblHorasNov[Entrada - 2 (Almoço)])&gt;0,MINUTE(tblHorasNov[Saída - 2]-tblHorasNov[Entrada - 2 (Almoço)])&gt;CARENCIA),
                         tblHorasNov[Saída - 2]-tblHorasNov[Entrada - 2 (Almoço)],
                         0)),
       0)),0)</f>
        <v>0</v>
      </c>
      <c r="L20" s="4">
        <f>tblHorasNov[Horas Trabalhadas (1º Período)]+tblHorasNov[Horas Trabalhadas (2º Período)]</f>
        <v>0</v>
      </c>
      <c r="M20" s="4" t="str">
        <f>IF(tblHorasNov[Data]&lt;&gt;"",
        IF(
AND(VLOOKUP(TEXT(tblHorasNov[Data],"dddd"),tblDiaUtil[],3,FALSE)="Sim",IF(tblHorasNov[Evento 
(1º Período)]&lt;&gt;"",IF(VLOOKUP(tblHorasNov[Evento 
(1º Período)],tblEvento[],Tabelas!$E$1,FALSE)="Sim",FALSE,TRUE),TRUE),IF(tblHorasNov[Evento 
(2º Período)]&lt;&gt;"",IF(VLOOKUP(tblHorasNov[Evento 
(2º Período)],tblEvento[],Tabelas!$E$1,FALSE)="Sim",FALSE,TRUE),TRUE)),
              IF(VLOOKUP(tblHorasNov[Dia],tblDiaUtil[[Abreviatura]:[1º Período]],3,FALSE)&gt;0,VLOOKUP(tblHorasNov[Dia],tblDiaUtil[[Abreviatura]:[1º Período]],3,FALSE),JORNADA),
              ""),
         "")</f>
        <v/>
      </c>
      <c r="N20" s="14">
        <f>IF(OR(tblHorasNov[Horas Trabalhadas (1º Período)]&lt;&gt;0,tblHorasNov[Horas Trabalhadas (2º Período)]&lt;&gt;0),
        IF(ISNUMBER(tblHorasNov[Jornada Diária]),
              IF(tblHorasNov[Jornada Diária]&gt;(tblHorasNov[Horas Trabalhadas (2º Período)]+tblHorasNov[Horas Trabalhadas (1º Período)]),
                     IF(ROUND((tblHorasNov[Jornada Diária]-(tblHorasNov[Horas Trabalhadas (2º Período)]+tblHorasNov[Horas Trabalhadas (1º Período)])),6)&gt;ROUND(CARENCIA,6),
                           -tblHorasNov[Jornada Diária]+(tblHorasNov[Horas Trabalhadas (2º Período)]+tblHorasNov[Horas Trabalhadas (1º Período)]),
                           0),
                      IF(ROUND((tblHorasNov[Jornada Diária]-(tblHorasNov[Horas Trabalhadas (2º Período)]+tblHorasNov[Horas Trabalhadas (1º Período)])),6)&lt;ROUND(-CARENCIA,6),
                           -tblHorasNov[Jornada Diária]+(tblHorasNov[Horas Trabalhadas (2º Período)]+tblHorasNov[Horas Trabalhadas (1º Período)]),
                           0)),
              tblHorasNov[Horas Trabalhadas (2º Período)]+tblHorasNov[Horas Trabalhadas (1º Período)]),
         IF(AND(IF(ISERROR(VLOOKUP(tblHorasNov[Evento 
(1º Período)],tblEvento[[Evento]:[Libera o Período]],4,FALSE)),FALSE,IF(VLOOKUP(tblHorasNov[Evento 
(1º Período)],tblEvento[[Evento]:[Libera o Período]],4,FALSE)="Não",TRUE,FALSE)),IF(ISERROR(VLOOKUP(tblHorasNov[Evento 
(2º Período)],tblEvento[[Evento]:[Libera o Período]],4,FALSE)),FALSE,IF(VLOOKUP(tblHorasNov[Evento 
(2º Período)],tblEvento[[Evento]:[Libera o Período]],4,FALSE)="Não",TRUE,FALSE))),
-IF(VLOOKUP(tblHorasNov[Dia],tblDiaUtil[[Abreviatura]:[Total Jornada]],5,FALSE)&lt;&gt;"",VLOOKUP(tblHorasNov[Dia],tblDiaUtil[[Abreviatura]:[Total Jornada]],5,FALSE),JORNADA),
IF(IF(ISERROR(VLOOKUP(tblHorasNov[Evento 
(1º Período)],tblEvento[[Evento]:[Libera o Período]],4,FALSE)),FALSE,
IF(VLOOKUP(tblHorasNov[Evento 
(1º Período)],tblEvento[[Evento]:[Libera o Período]],4,FALSE)="Não",TRUE,FALSE)
),
-IF(VLOOKUP(tblHorasNov[Dia],tblDiaUtil[[Abreviatura]:[1º Período]],3,FALSE)&lt;&gt;"",VLOOKUP(tblHorasNov[Dia],tblDiaUtil[[Abreviatura]:[1º Período]],3,FALSE),JORNADA_PERIODO_1),
IF(IF(ISERROR(VLOOKUP(tblHorasNov[Evento 
(2º Período)],tblEvento[[Evento]:[Libera o Período]],4,FALSE)),FALSE,IF(VLOOKUP(tblHorasNov[Evento 
(2º Período)],tblEvento[[Evento]:[Libera o Período]],4,FALSE)="Não",TRUE,FALSE)),
-IF(VLOOKUP(tblHorasNov[Dia],tblDiaUtil[[Abreviatura]:[2º Período]],4,FALSE)&lt;&gt;"",VLOOKUP(tblHorasNov[Dia],tblDiaUtil[[Abreviatura]:[2º Período]],4,FALSE),JORNADA_PERIODO_2),0))))</f>
        <v>0</v>
      </c>
      <c r="O20" s="14">
        <f>IF(tblHorasNov[Horas Trabalhadas Além Jornada]&gt;0,
        IF(ISNUMBER(tblHorasNov[Jornada Diária]),
              IF(HOUR(tblHorasNov[Horas Trabalhadas Além Jornada])&gt;=VLOOKUP(LIMITE,tblLimiteHora[],Tabelas!$I$1,FALSE),
                    VLOOKUP(LIMITE,tblLimiteHora[],Tabelas!$J$1,FALSE),
                    tblHorasNov[Horas Trabalhadas Além Jornada]),
              tblHorasNov[Horas Trabalhadas Além Jornada]),
        tblHorasNov[Horas Trabalhadas Além Jornada])+O19</f>
        <v>0</v>
      </c>
      <c r="P20" s="14" t="str">
        <f>IF(tblHorasNov[Horas Trabalhadas Além Jornada]&lt;0,IF(OR(tblHorasNov[Evento 
(1º Período)]="",tblHorasNov[Evento 
(2º Período)]=""),tblHorasNov[Horas Trabalhadas Além Jornada],""),"")</f>
        <v/>
      </c>
      <c r="Q20" s="14" t="str">
        <f>IF(tblHorasNov[Jornada Diária]&lt;&gt;"",IF((N(tblHorasNov[Jornada Diária])-ABS(N(tblHorasNov[Horas Trabalhadas Além Jornada])))=0,1,""),"")</f>
        <v/>
      </c>
      <c r="R20" s="14" t="str">
        <f>IF(tblHorasNov[Horas Trabalhadas Além Jornada]&gt;0,
IF(AND(VLOOKUP(TEXT(tblHorasNov[Data],"dddd"),tblDiaUtil[],3,FALSE)="Sim",IF(tblHorasNov[Evento 
(1º Período)]&lt;&gt;"",IF(VLOOKUP(tblHorasNov[Evento 
(1º Período)],tblEvento[],Tabelas!$E$1,FALSE)="Sim",FALSE,TRUE),TRUE),IF(tblHorasNov[Evento 
(2º Período)]&lt;&gt;"",IF(VLOOKUP(tblHorasNov[Evento 
(2º Período)],tblEvento[],Tabelas!$E$1,FALSE)="Sim",FALSE,TRUE),TRUE)),
tblHorasNov[Horas Trabalhadas Além Jornada],""),"")</f>
        <v/>
      </c>
      <c r="S20" s="14" t="str">
        <f>IF(tblHorasNov[Horas Trabalhadas Além Jornada]&gt;0,
IF(OR(VLOOKUP(TEXT(tblHorasNov[Data],"dddd"),tblDiaUtil[],3,FALSE)="Não",IF(tblHorasNov[Evento 
(1º Período)]&lt;&gt;"",IF(VLOOKUP(tblHorasNov[Evento 
(1º Período)],tblEvento[],Tabelas!$E$1,FALSE)="Sim",TRUE,FALSE),FALSE),IF(tblHorasNov[Evento 
(2º Período)]&lt;&gt;"",IF(VLOOKUP(tblHorasNov[Evento 
(2º Período)],tblEvento[],Tabelas!$E$1,FALSE)="Sim",TRUE,FALSE),FALSE)),
tblHorasNov[Horas Trabalhadas Além Jornada],""),"")</f>
        <v/>
      </c>
      <c r="T20" s="15" t="str">
        <f>IF(tblHorasNov[Evento 
(1º Período)]&lt;&gt;""," - " &amp;VLOOKUP(tblHorasNov[Evento 
(1º Período)],tblEvento[],Tabelas!$F$1,FALSE),"")&amp;IF(AND(tblHorasNov[Evento 
(2º Período)]&lt;&gt;"",tblHorasNov[Evento 
(2º Período)]&lt;&gt;tblHorasNov[Evento 
(1º Período)])," - " &amp; VLOOKUP(tblHorasNov[Evento 
(2º Período)],tblEvento[],Tabelas!$F$1,FALSE),"")</f>
        <v/>
      </c>
    </row>
    <row r="21" spans="2:20" x14ac:dyDescent="0.25">
      <c r="B21" s="11" t="str">
        <f t="shared" si="0"/>
        <v/>
      </c>
      <c r="C21" s="12" t="str">
        <f>TEXT(tblHorasNov[Data],"ddd")</f>
        <v/>
      </c>
      <c r="D21" s="25"/>
      <c r="E21" s="1"/>
      <c r="F21" s="1"/>
      <c r="G21" s="1"/>
      <c r="H21" s="1"/>
      <c r="I21" s="53"/>
      <c r="J21" s="4">
        <f>IF($B$6&lt;&gt;"",
IF(AND(tblHorasNov[Evento 
(1º Período)]&lt;&gt;"",IF(ISERROR(VLOOKUP(tblHorasNov[Evento 
(1º Período)],tblEvento[],Tabelas!$D$1,FALSE)),FALSE,VLOOKUP(tblHorasNov[Evento 
(1º Período)],tblEvento[],Tabelas!$D$1,FALSE)="Sim")),
        IF(JORNADA_PERIODO_1&lt;&gt;"",
IF(VLOOKUP(tblHorasNov[Dia],tblDiaUtil[[Abreviatura]:[1º Período]],3,FALSE)&gt;0,VLOOKUP(tblHorasNov[Dia],tblDiaUtil[[Abreviatura]:[1º Período]],3,FALSE),JORNADA_PERIODO_1),
IF(VLOOKUP(tblHorasNov[Dia],tblDiaUtil[[Abreviatura]:[1º Período]],3,FALSE)&gt;0,VLOOKUP(tblHorasNov[Dia],tblDiaUtil[[Abreviatura]:[1º Período]],3,FALSE),JORNADA/2)),
        IF(AND(ISNUMBER(tblHorasNov[Saída - 1 (Almoço)]),ISNUMBER(tblHorasNov[Entrada - 1])),
              IF(OR(AND(tblHorasNov[Evento 
(1º Período)]&lt;&gt;"",IF(ISERROR(VLOOKUP(tblHorasNov[Evento 
(1º Período)],tblEvento[],Tabelas!$E$1,FALSE)),FALSE,VLOOKUP(tblHorasNov[Evento 
(1º Período)],tblEvento[],Tabelas!$E$1,FALSE)="Sim")),IF(VLOOKUP(TEXT(tblHorasNov[Data],"dddd"),tblDiaUtil[],2,FALSE)="Não",TRUE,FALSE)),
                   tblHorasNov[Saída - 1 (Almoço)]-tblHorasNov[Entrada - 1],
                   IF(OR(HOUR(tblHorasNov[Saída - 1 (Almoço)]-tblHorasNov[Entrada - 1])&gt;0,ROUND(tblHorasNov[Saída - 1 (Almoço)]-tblHorasNov[Entrada - 1],6)&gt;ROUND(CARENCIA,6)),
                          tblHorasNov[Saída - 1 (Almoço)]-tblHorasNov[Entrada - 1],
                          0)),
                    0)),0)</f>
        <v>0</v>
      </c>
      <c r="K21" s="4">
        <f>IF($B$6&lt;&gt;"",
IF(AND(tblHorasNov[Evento 
(2º Período)]&lt;&gt;"",IF(ISERROR(VLOOKUP(tblHorasNov[Evento 
(2º Período)],tblEvento[],Tabelas!$D$1,FALSE)),FALSE,VLOOKUP(tblHorasNov[Evento 
(2º Período)],tblEvento[],Tabelas!$D$1,FALSE)="Sim")),
        IF(JORNADA_PERIODO_2&lt;&gt;"",
IF(VLOOKUP(tblHorasNov[Dia],tblDiaUtil[[Abreviatura]:[2º Período]],4,FALSE)&gt;0,VLOOKUP(tblHorasNov[Dia],tblDiaUtil[[Abreviatura]:[2º Período]],4,FALSE),JORNADA_PERIODO_2),
IF(VLOOKUP(tblHorasNov[Dia],tblDiaUtil[[Abreviatura]:[2º Período]],4,FALSE)&gt;0,VLOOKUP(tblHorasNov[Dia],tblDiaUtil[[Abreviatura]:[2º Período]],4,FALSE),JORNADA/2)),
        IF(AND(ISNUMBER(tblHorasNov[Saída - 2]),ISNUMBER(tblHorasNov[Entrada - 2 (Almoço)])),
              IF(OR(AND(tblHorasNov[Evento 
(2º Período)]&lt;&gt;"",IF(ISERROR(VLOOKUP(tblHorasNov[Evento 
(2º Período)],tblEvento[],Tabelas!$E$1,FALSE)),FALSE,VLOOKUP(tblHorasNov[Evento 
(2º Período)],tblEvento[],Tabelas!$E$1,FALSE)="Sim")),IF(VLOOKUP(TEXT(tblHorasNov[Data],"dddd"),tblDiaUtil[],2,FALSE)="Não",TRUE,FALSE)),
                   tblHorasNov[Saída - 2]-tblHorasNov[Entrada - 2 (Almoço)],
                   IF(OR(HOUR(tblHorasNov[Saída - 2]-tblHorasNov[Entrada - 2 (Almoço)])&gt;0,MINUTE(tblHorasNov[Saída - 2]-tblHorasNov[Entrada - 2 (Almoço)])&gt;CARENCIA),
                         tblHorasNov[Saída - 2]-tblHorasNov[Entrada - 2 (Almoço)],
                         0)),
       0)),0)</f>
        <v>0</v>
      </c>
      <c r="L21" s="4">
        <f>tblHorasNov[Horas Trabalhadas (1º Período)]+tblHorasNov[Horas Trabalhadas (2º Período)]</f>
        <v>0</v>
      </c>
      <c r="M21" s="4" t="str">
        <f>IF(tblHorasNov[Data]&lt;&gt;"",
        IF(
AND(VLOOKUP(TEXT(tblHorasNov[Data],"dddd"),tblDiaUtil[],3,FALSE)="Sim",IF(tblHorasNov[Evento 
(1º Período)]&lt;&gt;"",IF(VLOOKUP(tblHorasNov[Evento 
(1º Período)],tblEvento[],Tabelas!$E$1,FALSE)="Sim",FALSE,TRUE),TRUE),IF(tblHorasNov[Evento 
(2º Período)]&lt;&gt;"",IF(VLOOKUP(tblHorasNov[Evento 
(2º Período)],tblEvento[],Tabelas!$E$1,FALSE)="Sim",FALSE,TRUE),TRUE)),
              IF(VLOOKUP(tblHorasNov[Dia],tblDiaUtil[[Abreviatura]:[1º Período]],3,FALSE)&gt;0,VLOOKUP(tblHorasNov[Dia],tblDiaUtil[[Abreviatura]:[1º Período]],3,FALSE),JORNADA),
              ""),
         "")</f>
        <v/>
      </c>
      <c r="N21" s="14">
        <f>IF(OR(tblHorasNov[Horas Trabalhadas (1º Período)]&lt;&gt;0,tblHorasNov[Horas Trabalhadas (2º Período)]&lt;&gt;0),
        IF(ISNUMBER(tblHorasNov[Jornada Diária]),
              IF(tblHorasNov[Jornada Diária]&gt;(tblHorasNov[Horas Trabalhadas (2º Período)]+tblHorasNov[Horas Trabalhadas (1º Período)]),
                     IF(ROUND((tblHorasNov[Jornada Diária]-(tblHorasNov[Horas Trabalhadas (2º Período)]+tblHorasNov[Horas Trabalhadas (1º Período)])),6)&gt;ROUND(CARENCIA,6),
                           -tblHorasNov[Jornada Diária]+(tblHorasNov[Horas Trabalhadas (2º Período)]+tblHorasNov[Horas Trabalhadas (1º Período)]),
                           0),
                      IF(ROUND((tblHorasNov[Jornada Diária]-(tblHorasNov[Horas Trabalhadas (2º Período)]+tblHorasNov[Horas Trabalhadas (1º Período)])),6)&lt;ROUND(-CARENCIA,6),
                           -tblHorasNov[Jornada Diária]+(tblHorasNov[Horas Trabalhadas (2º Período)]+tblHorasNov[Horas Trabalhadas (1º Período)]),
                           0)),
              tblHorasNov[Horas Trabalhadas (2º Período)]+tblHorasNov[Horas Trabalhadas (1º Período)]),
         IF(AND(IF(ISERROR(VLOOKUP(tblHorasNov[Evento 
(1º Período)],tblEvento[[Evento]:[Libera o Período]],4,FALSE)),FALSE,IF(VLOOKUP(tblHorasNov[Evento 
(1º Período)],tblEvento[[Evento]:[Libera o Período]],4,FALSE)="Não",TRUE,FALSE)),IF(ISERROR(VLOOKUP(tblHorasNov[Evento 
(2º Período)],tblEvento[[Evento]:[Libera o Período]],4,FALSE)),FALSE,IF(VLOOKUP(tblHorasNov[Evento 
(2º Período)],tblEvento[[Evento]:[Libera o Período]],4,FALSE)="Não",TRUE,FALSE))),
-IF(VLOOKUP(tblHorasNov[Dia],tblDiaUtil[[Abreviatura]:[Total Jornada]],5,FALSE)&lt;&gt;"",VLOOKUP(tblHorasNov[Dia],tblDiaUtil[[Abreviatura]:[Total Jornada]],5,FALSE),JORNADA),
IF(IF(ISERROR(VLOOKUP(tblHorasNov[Evento 
(1º Período)],tblEvento[[Evento]:[Libera o Período]],4,FALSE)),FALSE,
IF(VLOOKUP(tblHorasNov[Evento 
(1º Período)],tblEvento[[Evento]:[Libera o Período]],4,FALSE)="Não",TRUE,FALSE)
),
-IF(VLOOKUP(tblHorasNov[Dia],tblDiaUtil[[Abreviatura]:[1º Período]],3,FALSE)&lt;&gt;"",VLOOKUP(tblHorasNov[Dia],tblDiaUtil[[Abreviatura]:[1º Período]],3,FALSE),JORNADA_PERIODO_1),
IF(IF(ISERROR(VLOOKUP(tblHorasNov[Evento 
(2º Período)],tblEvento[[Evento]:[Libera o Período]],4,FALSE)),FALSE,IF(VLOOKUP(tblHorasNov[Evento 
(2º Período)],tblEvento[[Evento]:[Libera o Período]],4,FALSE)="Não",TRUE,FALSE)),
-IF(VLOOKUP(tblHorasNov[Dia],tblDiaUtil[[Abreviatura]:[2º Período]],4,FALSE)&lt;&gt;"",VLOOKUP(tblHorasNov[Dia],tblDiaUtil[[Abreviatura]:[2º Período]],4,FALSE),JORNADA_PERIODO_2),0))))</f>
        <v>0</v>
      </c>
      <c r="O21" s="14">
        <f>IF(tblHorasNov[Horas Trabalhadas Além Jornada]&gt;0,
        IF(ISNUMBER(tblHorasNov[Jornada Diária]),
              IF(HOUR(tblHorasNov[Horas Trabalhadas Além Jornada])&gt;=VLOOKUP(LIMITE,tblLimiteHora[],Tabelas!$I$1,FALSE),
                    VLOOKUP(LIMITE,tblLimiteHora[],Tabelas!$J$1,FALSE),
                    tblHorasNov[Horas Trabalhadas Além Jornada]),
              tblHorasNov[Horas Trabalhadas Além Jornada]),
        tblHorasNov[Horas Trabalhadas Além Jornada])+O20</f>
        <v>0</v>
      </c>
      <c r="P21" s="14" t="str">
        <f>IF(tblHorasNov[Horas Trabalhadas Além Jornada]&lt;0,IF(OR(tblHorasNov[Evento 
(1º Período)]="",tblHorasNov[Evento 
(2º Período)]=""),tblHorasNov[Horas Trabalhadas Além Jornada],""),"")</f>
        <v/>
      </c>
      <c r="Q21" s="14" t="str">
        <f>IF(tblHorasNov[Jornada Diária]&lt;&gt;"",IF((N(tblHorasNov[Jornada Diária])-ABS(N(tblHorasNov[Horas Trabalhadas Além Jornada])))=0,1,""),"")</f>
        <v/>
      </c>
      <c r="R21" s="14" t="str">
        <f>IF(tblHorasNov[Horas Trabalhadas Além Jornada]&gt;0,
IF(AND(VLOOKUP(TEXT(tblHorasNov[Data],"dddd"),tblDiaUtil[],3,FALSE)="Sim",IF(tblHorasNov[Evento 
(1º Período)]&lt;&gt;"",IF(VLOOKUP(tblHorasNov[Evento 
(1º Período)],tblEvento[],Tabelas!$E$1,FALSE)="Sim",FALSE,TRUE),TRUE),IF(tblHorasNov[Evento 
(2º Período)]&lt;&gt;"",IF(VLOOKUP(tblHorasNov[Evento 
(2º Período)],tblEvento[],Tabelas!$E$1,FALSE)="Sim",FALSE,TRUE),TRUE)),
tblHorasNov[Horas Trabalhadas Além Jornada],""),"")</f>
        <v/>
      </c>
      <c r="S21" s="14" t="str">
        <f>IF(tblHorasNov[Horas Trabalhadas Além Jornada]&gt;0,
IF(OR(VLOOKUP(TEXT(tblHorasNov[Data],"dddd"),tblDiaUtil[],3,FALSE)="Não",IF(tblHorasNov[Evento 
(1º Período)]&lt;&gt;"",IF(VLOOKUP(tblHorasNov[Evento 
(1º Período)],tblEvento[],Tabelas!$E$1,FALSE)="Sim",TRUE,FALSE),FALSE),IF(tblHorasNov[Evento 
(2º Período)]&lt;&gt;"",IF(VLOOKUP(tblHorasNov[Evento 
(2º Período)],tblEvento[],Tabelas!$E$1,FALSE)="Sim",TRUE,FALSE),FALSE)),
tblHorasNov[Horas Trabalhadas Além Jornada],""),"")</f>
        <v/>
      </c>
      <c r="T21" s="15" t="str">
        <f>IF(tblHorasNov[Evento 
(1º Período)]&lt;&gt;""," - " &amp;VLOOKUP(tblHorasNov[Evento 
(1º Período)],tblEvento[],Tabelas!$F$1,FALSE),"")&amp;IF(AND(tblHorasNov[Evento 
(2º Período)]&lt;&gt;"",tblHorasNov[Evento 
(2º Período)]&lt;&gt;tblHorasNov[Evento 
(1º Período)])," - " &amp; VLOOKUP(tblHorasNov[Evento 
(2º Período)],tblEvento[],Tabelas!$F$1,FALSE),"")</f>
        <v/>
      </c>
    </row>
    <row r="22" spans="2:20" x14ac:dyDescent="0.25">
      <c r="B22" s="11" t="str">
        <f t="shared" si="0"/>
        <v/>
      </c>
      <c r="C22" s="12" t="str">
        <f>TEXT(tblHorasNov[Data],"ddd")</f>
        <v/>
      </c>
      <c r="D22" s="25"/>
      <c r="E22" s="1"/>
      <c r="F22" s="1"/>
      <c r="G22" s="1"/>
      <c r="H22" s="1"/>
      <c r="I22" s="53"/>
      <c r="J22" s="4">
        <f>IF($B$6&lt;&gt;"",
IF(AND(tblHorasNov[Evento 
(1º Período)]&lt;&gt;"",IF(ISERROR(VLOOKUP(tblHorasNov[Evento 
(1º Período)],tblEvento[],Tabelas!$D$1,FALSE)),FALSE,VLOOKUP(tblHorasNov[Evento 
(1º Período)],tblEvento[],Tabelas!$D$1,FALSE)="Sim")),
        IF(JORNADA_PERIODO_1&lt;&gt;"",
IF(VLOOKUP(tblHorasNov[Dia],tblDiaUtil[[Abreviatura]:[1º Período]],3,FALSE)&gt;0,VLOOKUP(tblHorasNov[Dia],tblDiaUtil[[Abreviatura]:[1º Período]],3,FALSE),JORNADA_PERIODO_1),
IF(VLOOKUP(tblHorasNov[Dia],tblDiaUtil[[Abreviatura]:[1º Período]],3,FALSE)&gt;0,VLOOKUP(tblHorasNov[Dia],tblDiaUtil[[Abreviatura]:[1º Período]],3,FALSE),JORNADA/2)),
        IF(AND(ISNUMBER(tblHorasNov[Saída - 1 (Almoço)]),ISNUMBER(tblHorasNov[Entrada - 1])),
              IF(OR(AND(tblHorasNov[Evento 
(1º Período)]&lt;&gt;"",IF(ISERROR(VLOOKUP(tblHorasNov[Evento 
(1º Período)],tblEvento[],Tabelas!$E$1,FALSE)),FALSE,VLOOKUP(tblHorasNov[Evento 
(1º Período)],tblEvento[],Tabelas!$E$1,FALSE)="Sim")),IF(VLOOKUP(TEXT(tblHorasNov[Data],"dddd"),tblDiaUtil[],2,FALSE)="Não",TRUE,FALSE)),
                   tblHorasNov[Saída - 1 (Almoço)]-tblHorasNov[Entrada - 1],
                   IF(OR(HOUR(tblHorasNov[Saída - 1 (Almoço)]-tblHorasNov[Entrada - 1])&gt;0,ROUND(tblHorasNov[Saída - 1 (Almoço)]-tblHorasNov[Entrada - 1],6)&gt;ROUND(CARENCIA,6)),
                          tblHorasNov[Saída - 1 (Almoço)]-tblHorasNov[Entrada - 1],
                          0)),
                    0)),0)</f>
        <v>0</v>
      </c>
      <c r="K22" s="4">
        <f>IF($B$6&lt;&gt;"",
IF(AND(tblHorasNov[Evento 
(2º Período)]&lt;&gt;"",IF(ISERROR(VLOOKUP(tblHorasNov[Evento 
(2º Período)],tblEvento[],Tabelas!$D$1,FALSE)),FALSE,VLOOKUP(tblHorasNov[Evento 
(2º Período)],tblEvento[],Tabelas!$D$1,FALSE)="Sim")),
        IF(JORNADA_PERIODO_2&lt;&gt;"",
IF(VLOOKUP(tblHorasNov[Dia],tblDiaUtil[[Abreviatura]:[2º Período]],4,FALSE)&gt;0,VLOOKUP(tblHorasNov[Dia],tblDiaUtil[[Abreviatura]:[2º Período]],4,FALSE),JORNADA_PERIODO_2),
IF(VLOOKUP(tblHorasNov[Dia],tblDiaUtil[[Abreviatura]:[2º Período]],4,FALSE)&gt;0,VLOOKUP(tblHorasNov[Dia],tblDiaUtil[[Abreviatura]:[2º Período]],4,FALSE),JORNADA/2)),
        IF(AND(ISNUMBER(tblHorasNov[Saída - 2]),ISNUMBER(tblHorasNov[Entrada - 2 (Almoço)])),
              IF(OR(AND(tblHorasNov[Evento 
(2º Período)]&lt;&gt;"",IF(ISERROR(VLOOKUP(tblHorasNov[Evento 
(2º Período)],tblEvento[],Tabelas!$E$1,FALSE)),FALSE,VLOOKUP(tblHorasNov[Evento 
(2º Período)],tblEvento[],Tabelas!$E$1,FALSE)="Sim")),IF(VLOOKUP(TEXT(tblHorasNov[Data],"dddd"),tblDiaUtil[],2,FALSE)="Não",TRUE,FALSE)),
                   tblHorasNov[Saída - 2]-tblHorasNov[Entrada - 2 (Almoço)],
                   IF(OR(HOUR(tblHorasNov[Saída - 2]-tblHorasNov[Entrada - 2 (Almoço)])&gt;0,MINUTE(tblHorasNov[Saída - 2]-tblHorasNov[Entrada - 2 (Almoço)])&gt;CARENCIA),
                         tblHorasNov[Saída - 2]-tblHorasNov[Entrada - 2 (Almoço)],
                         0)),
       0)),0)</f>
        <v>0</v>
      </c>
      <c r="L22" s="4">
        <f>tblHorasNov[Horas Trabalhadas (1º Período)]+tblHorasNov[Horas Trabalhadas (2º Período)]</f>
        <v>0</v>
      </c>
      <c r="M22" s="4" t="str">
        <f>IF(tblHorasNov[Data]&lt;&gt;"",
        IF(
AND(VLOOKUP(TEXT(tblHorasNov[Data],"dddd"),tblDiaUtil[],3,FALSE)="Sim",IF(tblHorasNov[Evento 
(1º Período)]&lt;&gt;"",IF(VLOOKUP(tblHorasNov[Evento 
(1º Período)],tblEvento[],Tabelas!$E$1,FALSE)="Sim",FALSE,TRUE),TRUE),IF(tblHorasNov[Evento 
(2º Período)]&lt;&gt;"",IF(VLOOKUP(tblHorasNov[Evento 
(2º Período)],tblEvento[],Tabelas!$E$1,FALSE)="Sim",FALSE,TRUE),TRUE)),
              IF(VLOOKUP(tblHorasNov[Dia],tblDiaUtil[[Abreviatura]:[1º Período]],3,FALSE)&gt;0,VLOOKUP(tblHorasNov[Dia],tblDiaUtil[[Abreviatura]:[1º Período]],3,FALSE),JORNADA),
              ""),
         "")</f>
        <v/>
      </c>
      <c r="N22" s="14">
        <f>IF(OR(tblHorasNov[Horas Trabalhadas (1º Período)]&lt;&gt;0,tblHorasNov[Horas Trabalhadas (2º Período)]&lt;&gt;0),
        IF(ISNUMBER(tblHorasNov[Jornada Diária]),
              IF(tblHorasNov[Jornada Diária]&gt;(tblHorasNov[Horas Trabalhadas (2º Período)]+tblHorasNov[Horas Trabalhadas (1º Período)]),
                     IF(ROUND((tblHorasNov[Jornada Diária]-(tblHorasNov[Horas Trabalhadas (2º Período)]+tblHorasNov[Horas Trabalhadas (1º Período)])),6)&gt;ROUND(CARENCIA,6),
                           -tblHorasNov[Jornada Diária]+(tblHorasNov[Horas Trabalhadas (2º Período)]+tblHorasNov[Horas Trabalhadas (1º Período)]),
                           0),
                      IF(ROUND((tblHorasNov[Jornada Diária]-(tblHorasNov[Horas Trabalhadas (2º Período)]+tblHorasNov[Horas Trabalhadas (1º Período)])),6)&lt;ROUND(-CARENCIA,6),
                           -tblHorasNov[Jornada Diária]+(tblHorasNov[Horas Trabalhadas (2º Período)]+tblHorasNov[Horas Trabalhadas (1º Período)]),
                           0)),
              tblHorasNov[Horas Trabalhadas (2º Período)]+tblHorasNov[Horas Trabalhadas (1º Período)]),
         IF(AND(IF(ISERROR(VLOOKUP(tblHorasNov[Evento 
(1º Período)],tblEvento[[Evento]:[Libera o Período]],4,FALSE)),FALSE,IF(VLOOKUP(tblHorasNov[Evento 
(1º Período)],tblEvento[[Evento]:[Libera o Período]],4,FALSE)="Não",TRUE,FALSE)),IF(ISERROR(VLOOKUP(tblHorasNov[Evento 
(2º Período)],tblEvento[[Evento]:[Libera o Período]],4,FALSE)),FALSE,IF(VLOOKUP(tblHorasNov[Evento 
(2º Período)],tblEvento[[Evento]:[Libera o Período]],4,FALSE)="Não",TRUE,FALSE))),
-IF(VLOOKUP(tblHorasNov[Dia],tblDiaUtil[[Abreviatura]:[Total Jornada]],5,FALSE)&lt;&gt;"",VLOOKUP(tblHorasNov[Dia],tblDiaUtil[[Abreviatura]:[Total Jornada]],5,FALSE),JORNADA),
IF(IF(ISERROR(VLOOKUP(tblHorasNov[Evento 
(1º Período)],tblEvento[[Evento]:[Libera o Período]],4,FALSE)),FALSE,
IF(VLOOKUP(tblHorasNov[Evento 
(1º Período)],tblEvento[[Evento]:[Libera o Período]],4,FALSE)="Não",TRUE,FALSE)
),
-IF(VLOOKUP(tblHorasNov[Dia],tblDiaUtil[[Abreviatura]:[1º Período]],3,FALSE)&lt;&gt;"",VLOOKUP(tblHorasNov[Dia],tblDiaUtil[[Abreviatura]:[1º Período]],3,FALSE),JORNADA_PERIODO_1),
IF(IF(ISERROR(VLOOKUP(tblHorasNov[Evento 
(2º Período)],tblEvento[[Evento]:[Libera o Período]],4,FALSE)),FALSE,IF(VLOOKUP(tblHorasNov[Evento 
(2º Período)],tblEvento[[Evento]:[Libera o Período]],4,FALSE)="Não",TRUE,FALSE)),
-IF(VLOOKUP(tblHorasNov[Dia],tblDiaUtil[[Abreviatura]:[2º Período]],4,FALSE)&lt;&gt;"",VLOOKUP(tblHorasNov[Dia],tblDiaUtil[[Abreviatura]:[2º Período]],4,FALSE),JORNADA_PERIODO_2),0))))</f>
        <v>0</v>
      </c>
      <c r="O22" s="14">
        <f>IF(tblHorasNov[Horas Trabalhadas Além Jornada]&gt;0,
        IF(ISNUMBER(tblHorasNov[Jornada Diária]),
              IF(HOUR(tblHorasNov[Horas Trabalhadas Além Jornada])&gt;=VLOOKUP(LIMITE,tblLimiteHora[],Tabelas!$I$1,FALSE),
                    VLOOKUP(LIMITE,tblLimiteHora[],Tabelas!$J$1,FALSE),
                    tblHorasNov[Horas Trabalhadas Além Jornada]),
              tblHorasNov[Horas Trabalhadas Além Jornada]),
        tblHorasNov[Horas Trabalhadas Além Jornada])+O21</f>
        <v>0</v>
      </c>
      <c r="P22" s="14" t="str">
        <f>IF(tblHorasNov[Horas Trabalhadas Além Jornada]&lt;0,IF(OR(tblHorasNov[Evento 
(1º Período)]="",tblHorasNov[Evento 
(2º Período)]=""),tblHorasNov[Horas Trabalhadas Além Jornada],""),"")</f>
        <v/>
      </c>
      <c r="Q22" s="14" t="str">
        <f>IF(tblHorasNov[Jornada Diária]&lt;&gt;"",IF((N(tblHorasNov[Jornada Diária])-ABS(N(tblHorasNov[Horas Trabalhadas Além Jornada])))=0,1,""),"")</f>
        <v/>
      </c>
      <c r="R22" s="14" t="str">
        <f>IF(tblHorasNov[Horas Trabalhadas Além Jornada]&gt;0,
IF(AND(VLOOKUP(TEXT(tblHorasNov[Data],"dddd"),tblDiaUtil[],3,FALSE)="Sim",IF(tblHorasNov[Evento 
(1º Período)]&lt;&gt;"",IF(VLOOKUP(tblHorasNov[Evento 
(1º Período)],tblEvento[],Tabelas!$E$1,FALSE)="Sim",FALSE,TRUE),TRUE),IF(tblHorasNov[Evento 
(2º Período)]&lt;&gt;"",IF(VLOOKUP(tblHorasNov[Evento 
(2º Período)],tblEvento[],Tabelas!$E$1,FALSE)="Sim",FALSE,TRUE),TRUE)),
tblHorasNov[Horas Trabalhadas Além Jornada],""),"")</f>
        <v/>
      </c>
      <c r="S22" s="14" t="str">
        <f>IF(tblHorasNov[Horas Trabalhadas Além Jornada]&gt;0,
IF(OR(VLOOKUP(TEXT(tblHorasNov[Data],"dddd"),tblDiaUtil[],3,FALSE)="Não",IF(tblHorasNov[Evento 
(1º Período)]&lt;&gt;"",IF(VLOOKUP(tblHorasNov[Evento 
(1º Período)],tblEvento[],Tabelas!$E$1,FALSE)="Sim",TRUE,FALSE),FALSE),IF(tblHorasNov[Evento 
(2º Período)]&lt;&gt;"",IF(VLOOKUP(tblHorasNov[Evento 
(2º Período)],tblEvento[],Tabelas!$E$1,FALSE)="Sim",TRUE,FALSE),FALSE)),
tblHorasNov[Horas Trabalhadas Além Jornada],""),"")</f>
        <v/>
      </c>
      <c r="T22" s="15" t="str">
        <f>IF(tblHorasNov[Evento 
(1º Período)]&lt;&gt;""," - " &amp;VLOOKUP(tblHorasNov[Evento 
(1º Período)],tblEvento[],Tabelas!$F$1,FALSE),"")&amp;IF(AND(tblHorasNov[Evento 
(2º Período)]&lt;&gt;"",tblHorasNov[Evento 
(2º Período)]&lt;&gt;tblHorasNov[Evento 
(1º Período)])," - " &amp; VLOOKUP(tblHorasNov[Evento 
(2º Período)],tblEvento[],Tabelas!$F$1,FALSE),"")</f>
        <v/>
      </c>
    </row>
    <row r="23" spans="2:20" x14ac:dyDescent="0.25">
      <c r="B23" s="11" t="str">
        <f t="shared" si="0"/>
        <v/>
      </c>
      <c r="C23" s="12" t="str">
        <f>TEXT(tblHorasNov[Data],"ddd")</f>
        <v/>
      </c>
      <c r="D23" s="25"/>
      <c r="E23" s="1"/>
      <c r="F23" s="1"/>
      <c r="G23" s="1"/>
      <c r="H23" s="1"/>
      <c r="I23" s="53"/>
      <c r="J23" s="4">
        <f>IF($B$6&lt;&gt;"",
IF(AND(tblHorasNov[Evento 
(1º Período)]&lt;&gt;"",IF(ISERROR(VLOOKUP(tblHorasNov[Evento 
(1º Período)],tblEvento[],Tabelas!$D$1,FALSE)),FALSE,VLOOKUP(tblHorasNov[Evento 
(1º Período)],tblEvento[],Tabelas!$D$1,FALSE)="Sim")),
        IF(JORNADA_PERIODO_1&lt;&gt;"",
IF(VLOOKUP(tblHorasNov[Dia],tblDiaUtil[[Abreviatura]:[1º Período]],3,FALSE)&gt;0,VLOOKUP(tblHorasNov[Dia],tblDiaUtil[[Abreviatura]:[1º Período]],3,FALSE),JORNADA_PERIODO_1),
IF(VLOOKUP(tblHorasNov[Dia],tblDiaUtil[[Abreviatura]:[1º Período]],3,FALSE)&gt;0,VLOOKUP(tblHorasNov[Dia],tblDiaUtil[[Abreviatura]:[1º Período]],3,FALSE),JORNADA/2)),
        IF(AND(ISNUMBER(tblHorasNov[Saída - 1 (Almoço)]),ISNUMBER(tblHorasNov[Entrada - 1])),
              IF(OR(AND(tblHorasNov[Evento 
(1º Período)]&lt;&gt;"",IF(ISERROR(VLOOKUP(tblHorasNov[Evento 
(1º Período)],tblEvento[],Tabelas!$E$1,FALSE)),FALSE,VLOOKUP(tblHorasNov[Evento 
(1º Período)],tblEvento[],Tabelas!$E$1,FALSE)="Sim")),IF(VLOOKUP(TEXT(tblHorasNov[Data],"dddd"),tblDiaUtil[],2,FALSE)="Não",TRUE,FALSE)),
                   tblHorasNov[Saída - 1 (Almoço)]-tblHorasNov[Entrada - 1],
                   IF(OR(HOUR(tblHorasNov[Saída - 1 (Almoço)]-tblHorasNov[Entrada - 1])&gt;0,ROUND(tblHorasNov[Saída - 1 (Almoço)]-tblHorasNov[Entrada - 1],6)&gt;ROUND(CARENCIA,6)),
                          tblHorasNov[Saída - 1 (Almoço)]-tblHorasNov[Entrada - 1],
                          0)),
                    0)),0)</f>
        <v>0</v>
      </c>
      <c r="K23" s="4">
        <f>IF($B$6&lt;&gt;"",
IF(AND(tblHorasNov[Evento 
(2º Período)]&lt;&gt;"",IF(ISERROR(VLOOKUP(tblHorasNov[Evento 
(2º Período)],tblEvento[],Tabelas!$D$1,FALSE)),FALSE,VLOOKUP(tblHorasNov[Evento 
(2º Período)],tblEvento[],Tabelas!$D$1,FALSE)="Sim")),
        IF(JORNADA_PERIODO_2&lt;&gt;"",
IF(VLOOKUP(tblHorasNov[Dia],tblDiaUtil[[Abreviatura]:[2º Período]],4,FALSE)&gt;0,VLOOKUP(tblHorasNov[Dia],tblDiaUtil[[Abreviatura]:[2º Período]],4,FALSE),JORNADA_PERIODO_2),
IF(VLOOKUP(tblHorasNov[Dia],tblDiaUtil[[Abreviatura]:[2º Período]],4,FALSE)&gt;0,VLOOKUP(tblHorasNov[Dia],tblDiaUtil[[Abreviatura]:[2º Período]],4,FALSE),JORNADA/2)),
        IF(AND(ISNUMBER(tblHorasNov[Saída - 2]),ISNUMBER(tblHorasNov[Entrada - 2 (Almoço)])),
              IF(OR(AND(tblHorasNov[Evento 
(2º Período)]&lt;&gt;"",IF(ISERROR(VLOOKUP(tblHorasNov[Evento 
(2º Período)],tblEvento[],Tabelas!$E$1,FALSE)),FALSE,VLOOKUP(tblHorasNov[Evento 
(2º Período)],tblEvento[],Tabelas!$E$1,FALSE)="Sim")),IF(VLOOKUP(TEXT(tblHorasNov[Data],"dddd"),tblDiaUtil[],2,FALSE)="Não",TRUE,FALSE)),
                   tblHorasNov[Saída - 2]-tblHorasNov[Entrada - 2 (Almoço)],
                   IF(OR(HOUR(tblHorasNov[Saída - 2]-tblHorasNov[Entrada - 2 (Almoço)])&gt;0,MINUTE(tblHorasNov[Saída - 2]-tblHorasNov[Entrada - 2 (Almoço)])&gt;CARENCIA),
                         tblHorasNov[Saída - 2]-tblHorasNov[Entrada - 2 (Almoço)],
                         0)),
       0)),0)</f>
        <v>0</v>
      </c>
      <c r="L23" s="4">
        <f>tblHorasNov[Horas Trabalhadas (1º Período)]+tblHorasNov[Horas Trabalhadas (2º Período)]</f>
        <v>0</v>
      </c>
      <c r="M23" s="4" t="str">
        <f>IF(tblHorasNov[Data]&lt;&gt;"",
        IF(
AND(VLOOKUP(TEXT(tblHorasNov[Data],"dddd"),tblDiaUtil[],3,FALSE)="Sim",IF(tblHorasNov[Evento 
(1º Período)]&lt;&gt;"",IF(VLOOKUP(tblHorasNov[Evento 
(1º Período)],tblEvento[],Tabelas!$E$1,FALSE)="Sim",FALSE,TRUE),TRUE),IF(tblHorasNov[Evento 
(2º Período)]&lt;&gt;"",IF(VLOOKUP(tblHorasNov[Evento 
(2º Período)],tblEvento[],Tabelas!$E$1,FALSE)="Sim",FALSE,TRUE),TRUE)),
              IF(VLOOKUP(tblHorasNov[Dia],tblDiaUtil[[Abreviatura]:[1º Período]],3,FALSE)&gt;0,VLOOKUP(tblHorasNov[Dia],tblDiaUtil[[Abreviatura]:[1º Período]],3,FALSE),JORNADA),
              ""),
         "")</f>
        <v/>
      </c>
      <c r="N23" s="14">
        <f>IF(OR(tblHorasNov[Horas Trabalhadas (1º Período)]&lt;&gt;0,tblHorasNov[Horas Trabalhadas (2º Período)]&lt;&gt;0),
        IF(ISNUMBER(tblHorasNov[Jornada Diária]),
              IF(tblHorasNov[Jornada Diária]&gt;(tblHorasNov[Horas Trabalhadas (2º Período)]+tblHorasNov[Horas Trabalhadas (1º Período)]),
                     IF(ROUND((tblHorasNov[Jornada Diária]-(tblHorasNov[Horas Trabalhadas (2º Período)]+tblHorasNov[Horas Trabalhadas (1º Período)])),6)&gt;ROUND(CARENCIA,6),
                           -tblHorasNov[Jornada Diária]+(tblHorasNov[Horas Trabalhadas (2º Período)]+tblHorasNov[Horas Trabalhadas (1º Período)]),
                           0),
                      IF(ROUND((tblHorasNov[Jornada Diária]-(tblHorasNov[Horas Trabalhadas (2º Período)]+tblHorasNov[Horas Trabalhadas (1º Período)])),6)&lt;ROUND(-CARENCIA,6),
                           -tblHorasNov[Jornada Diária]+(tblHorasNov[Horas Trabalhadas (2º Período)]+tblHorasNov[Horas Trabalhadas (1º Período)]),
                           0)),
              tblHorasNov[Horas Trabalhadas (2º Período)]+tblHorasNov[Horas Trabalhadas (1º Período)]),
         IF(AND(IF(ISERROR(VLOOKUP(tblHorasNov[Evento 
(1º Período)],tblEvento[[Evento]:[Libera o Período]],4,FALSE)),FALSE,IF(VLOOKUP(tblHorasNov[Evento 
(1º Período)],tblEvento[[Evento]:[Libera o Período]],4,FALSE)="Não",TRUE,FALSE)),IF(ISERROR(VLOOKUP(tblHorasNov[Evento 
(2º Período)],tblEvento[[Evento]:[Libera o Período]],4,FALSE)),FALSE,IF(VLOOKUP(tblHorasNov[Evento 
(2º Período)],tblEvento[[Evento]:[Libera o Período]],4,FALSE)="Não",TRUE,FALSE))),
-IF(VLOOKUP(tblHorasNov[Dia],tblDiaUtil[[Abreviatura]:[Total Jornada]],5,FALSE)&lt;&gt;"",VLOOKUP(tblHorasNov[Dia],tblDiaUtil[[Abreviatura]:[Total Jornada]],5,FALSE),JORNADA),
IF(IF(ISERROR(VLOOKUP(tblHorasNov[Evento 
(1º Período)],tblEvento[[Evento]:[Libera o Período]],4,FALSE)),FALSE,
IF(VLOOKUP(tblHorasNov[Evento 
(1º Período)],tblEvento[[Evento]:[Libera o Período]],4,FALSE)="Não",TRUE,FALSE)
),
-IF(VLOOKUP(tblHorasNov[Dia],tblDiaUtil[[Abreviatura]:[1º Período]],3,FALSE)&lt;&gt;"",VLOOKUP(tblHorasNov[Dia],tblDiaUtil[[Abreviatura]:[1º Período]],3,FALSE),JORNADA_PERIODO_1),
IF(IF(ISERROR(VLOOKUP(tblHorasNov[Evento 
(2º Período)],tblEvento[[Evento]:[Libera o Período]],4,FALSE)),FALSE,IF(VLOOKUP(tblHorasNov[Evento 
(2º Período)],tblEvento[[Evento]:[Libera o Período]],4,FALSE)="Não",TRUE,FALSE)),
-IF(VLOOKUP(tblHorasNov[Dia],tblDiaUtil[[Abreviatura]:[2º Período]],4,FALSE)&lt;&gt;"",VLOOKUP(tblHorasNov[Dia],tblDiaUtil[[Abreviatura]:[2º Período]],4,FALSE),JORNADA_PERIODO_2),0))))</f>
        <v>0</v>
      </c>
      <c r="O23" s="14">
        <f>IF(tblHorasNov[Horas Trabalhadas Além Jornada]&gt;0,
        IF(ISNUMBER(tblHorasNov[Jornada Diária]),
              IF(HOUR(tblHorasNov[Horas Trabalhadas Além Jornada])&gt;=VLOOKUP(LIMITE,tblLimiteHora[],Tabelas!$I$1,FALSE),
                    VLOOKUP(LIMITE,tblLimiteHora[],Tabelas!$J$1,FALSE),
                    tblHorasNov[Horas Trabalhadas Além Jornada]),
              tblHorasNov[Horas Trabalhadas Além Jornada]),
        tblHorasNov[Horas Trabalhadas Além Jornada])+O22</f>
        <v>0</v>
      </c>
      <c r="P23" s="14" t="str">
        <f>IF(tblHorasNov[Horas Trabalhadas Além Jornada]&lt;0,IF(OR(tblHorasNov[Evento 
(1º Período)]="",tblHorasNov[Evento 
(2º Período)]=""),tblHorasNov[Horas Trabalhadas Além Jornada],""),"")</f>
        <v/>
      </c>
      <c r="Q23" s="14" t="str">
        <f>IF(tblHorasNov[Jornada Diária]&lt;&gt;"",IF((N(tblHorasNov[Jornada Diária])-ABS(N(tblHorasNov[Horas Trabalhadas Além Jornada])))=0,1,""),"")</f>
        <v/>
      </c>
      <c r="R23" s="14" t="str">
        <f>IF(tblHorasNov[Horas Trabalhadas Além Jornada]&gt;0,
IF(AND(VLOOKUP(TEXT(tblHorasNov[Data],"dddd"),tblDiaUtil[],3,FALSE)="Sim",IF(tblHorasNov[Evento 
(1º Período)]&lt;&gt;"",IF(VLOOKUP(tblHorasNov[Evento 
(1º Período)],tblEvento[],Tabelas!$E$1,FALSE)="Sim",FALSE,TRUE),TRUE),IF(tblHorasNov[Evento 
(2º Período)]&lt;&gt;"",IF(VLOOKUP(tblHorasNov[Evento 
(2º Período)],tblEvento[],Tabelas!$E$1,FALSE)="Sim",FALSE,TRUE),TRUE)),
tblHorasNov[Horas Trabalhadas Além Jornada],""),"")</f>
        <v/>
      </c>
      <c r="S23" s="14" t="str">
        <f>IF(tblHorasNov[Horas Trabalhadas Além Jornada]&gt;0,
IF(OR(VLOOKUP(TEXT(tblHorasNov[Data],"dddd"),tblDiaUtil[],3,FALSE)="Não",IF(tblHorasNov[Evento 
(1º Período)]&lt;&gt;"",IF(VLOOKUP(tblHorasNov[Evento 
(1º Período)],tblEvento[],Tabelas!$E$1,FALSE)="Sim",TRUE,FALSE),FALSE),IF(tblHorasNov[Evento 
(2º Período)]&lt;&gt;"",IF(VLOOKUP(tblHorasNov[Evento 
(2º Período)],tblEvento[],Tabelas!$E$1,FALSE)="Sim",TRUE,FALSE),FALSE)),
tblHorasNov[Horas Trabalhadas Além Jornada],""),"")</f>
        <v/>
      </c>
      <c r="T23" s="15" t="str">
        <f>IF(tblHorasNov[Evento 
(1º Período)]&lt;&gt;""," - " &amp;VLOOKUP(tblHorasNov[Evento 
(1º Período)],tblEvento[],Tabelas!$F$1,FALSE),"")&amp;IF(AND(tblHorasNov[Evento 
(2º Período)]&lt;&gt;"",tblHorasNov[Evento 
(2º Período)]&lt;&gt;tblHorasNov[Evento 
(1º Período)])," - " &amp; VLOOKUP(tblHorasNov[Evento 
(2º Período)],tblEvento[],Tabelas!$F$1,FALSE),"")</f>
        <v/>
      </c>
    </row>
    <row r="24" spans="2:20" x14ac:dyDescent="0.25">
      <c r="B24" s="11" t="str">
        <f t="shared" si="0"/>
        <v/>
      </c>
      <c r="C24" s="12" t="str">
        <f>TEXT(tblHorasNov[Data],"ddd")</f>
        <v/>
      </c>
      <c r="D24" s="25"/>
      <c r="E24" s="1"/>
      <c r="F24" s="1"/>
      <c r="G24" s="1"/>
      <c r="H24" s="1"/>
      <c r="I24" s="53"/>
      <c r="J24" s="4">
        <f>IF($B$6&lt;&gt;"",
IF(AND(tblHorasNov[Evento 
(1º Período)]&lt;&gt;"",IF(ISERROR(VLOOKUP(tblHorasNov[Evento 
(1º Período)],tblEvento[],Tabelas!$D$1,FALSE)),FALSE,VLOOKUP(tblHorasNov[Evento 
(1º Período)],tblEvento[],Tabelas!$D$1,FALSE)="Sim")),
        IF(JORNADA_PERIODO_1&lt;&gt;"",
IF(VLOOKUP(tblHorasNov[Dia],tblDiaUtil[[Abreviatura]:[1º Período]],3,FALSE)&gt;0,VLOOKUP(tblHorasNov[Dia],tblDiaUtil[[Abreviatura]:[1º Período]],3,FALSE),JORNADA_PERIODO_1),
IF(VLOOKUP(tblHorasNov[Dia],tblDiaUtil[[Abreviatura]:[1º Período]],3,FALSE)&gt;0,VLOOKUP(tblHorasNov[Dia],tblDiaUtil[[Abreviatura]:[1º Período]],3,FALSE),JORNADA/2)),
        IF(AND(ISNUMBER(tblHorasNov[Saída - 1 (Almoço)]),ISNUMBER(tblHorasNov[Entrada - 1])),
              IF(OR(AND(tblHorasNov[Evento 
(1º Período)]&lt;&gt;"",IF(ISERROR(VLOOKUP(tblHorasNov[Evento 
(1º Período)],tblEvento[],Tabelas!$E$1,FALSE)),FALSE,VLOOKUP(tblHorasNov[Evento 
(1º Período)],tblEvento[],Tabelas!$E$1,FALSE)="Sim")),IF(VLOOKUP(TEXT(tblHorasNov[Data],"dddd"),tblDiaUtil[],2,FALSE)="Não",TRUE,FALSE)),
                   tblHorasNov[Saída - 1 (Almoço)]-tblHorasNov[Entrada - 1],
                   IF(OR(HOUR(tblHorasNov[Saída - 1 (Almoço)]-tblHorasNov[Entrada - 1])&gt;0,ROUND(tblHorasNov[Saída - 1 (Almoço)]-tblHorasNov[Entrada - 1],6)&gt;ROUND(CARENCIA,6)),
                          tblHorasNov[Saída - 1 (Almoço)]-tblHorasNov[Entrada - 1],
                          0)),
                    0)),0)</f>
        <v>0</v>
      </c>
      <c r="K24" s="4">
        <f>IF($B$6&lt;&gt;"",
IF(AND(tblHorasNov[Evento 
(2º Período)]&lt;&gt;"",IF(ISERROR(VLOOKUP(tblHorasNov[Evento 
(2º Período)],tblEvento[],Tabelas!$D$1,FALSE)),FALSE,VLOOKUP(tblHorasNov[Evento 
(2º Período)],tblEvento[],Tabelas!$D$1,FALSE)="Sim")),
        IF(JORNADA_PERIODO_2&lt;&gt;"",
IF(VLOOKUP(tblHorasNov[Dia],tblDiaUtil[[Abreviatura]:[2º Período]],4,FALSE)&gt;0,VLOOKUP(tblHorasNov[Dia],tblDiaUtil[[Abreviatura]:[2º Período]],4,FALSE),JORNADA_PERIODO_2),
IF(VLOOKUP(tblHorasNov[Dia],tblDiaUtil[[Abreviatura]:[2º Período]],4,FALSE)&gt;0,VLOOKUP(tblHorasNov[Dia],tblDiaUtil[[Abreviatura]:[2º Período]],4,FALSE),JORNADA/2)),
        IF(AND(ISNUMBER(tblHorasNov[Saída - 2]),ISNUMBER(tblHorasNov[Entrada - 2 (Almoço)])),
              IF(OR(AND(tblHorasNov[Evento 
(2º Período)]&lt;&gt;"",IF(ISERROR(VLOOKUP(tblHorasNov[Evento 
(2º Período)],tblEvento[],Tabelas!$E$1,FALSE)),FALSE,VLOOKUP(tblHorasNov[Evento 
(2º Período)],tblEvento[],Tabelas!$E$1,FALSE)="Sim")),IF(VLOOKUP(TEXT(tblHorasNov[Data],"dddd"),tblDiaUtil[],2,FALSE)="Não",TRUE,FALSE)),
                   tblHorasNov[Saída - 2]-tblHorasNov[Entrada - 2 (Almoço)],
                   IF(OR(HOUR(tblHorasNov[Saída - 2]-tblHorasNov[Entrada - 2 (Almoço)])&gt;0,MINUTE(tblHorasNov[Saída - 2]-tblHorasNov[Entrada - 2 (Almoço)])&gt;CARENCIA),
                         tblHorasNov[Saída - 2]-tblHorasNov[Entrada - 2 (Almoço)],
                         0)),
       0)),0)</f>
        <v>0</v>
      </c>
      <c r="L24" s="4">
        <f>tblHorasNov[Horas Trabalhadas (1º Período)]+tblHorasNov[Horas Trabalhadas (2º Período)]</f>
        <v>0</v>
      </c>
      <c r="M24" s="4" t="str">
        <f>IF(tblHorasNov[Data]&lt;&gt;"",
        IF(
AND(VLOOKUP(TEXT(tblHorasNov[Data],"dddd"),tblDiaUtil[],3,FALSE)="Sim",IF(tblHorasNov[Evento 
(1º Período)]&lt;&gt;"",IF(VLOOKUP(tblHorasNov[Evento 
(1º Período)],tblEvento[],Tabelas!$E$1,FALSE)="Sim",FALSE,TRUE),TRUE),IF(tblHorasNov[Evento 
(2º Período)]&lt;&gt;"",IF(VLOOKUP(tblHorasNov[Evento 
(2º Período)],tblEvento[],Tabelas!$E$1,FALSE)="Sim",FALSE,TRUE),TRUE)),
              IF(VLOOKUP(tblHorasNov[Dia],tblDiaUtil[[Abreviatura]:[1º Período]],3,FALSE)&gt;0,VLOOKUP(tblHorasNov[Dia],tblDiaUtil[[Abreviatura]:[1º Período]],3,FALSE),JORNADA),
              ""),
         "")</f>
        <v/>
      </c>
      <c r="N24" s="14">
        <f>IF(OR(tblHorasNov[Horas Trabalhadas (1º Período)]&lt;&gt;0,tblHorasNov[Horas Trabalhadas (2º Período)]&lt;&gt;0),
        IF(ISNUMBER(tblHorasNov[Jornada Diária]),
              IF(tblHorasNov[Jornada Diária]&gt;(tblHorasNov[Horas Trabalhadas (2º Período)]+tblHorasNov[Horas Trabalhadas (1º Período)]),
                     IF(ROUND((tblHorasNov[Jornada Diária]-(tblHorasNov[Horas Trabalhadas (2º Período)]+tblHorasNov[Horas Trabalhadas (1º Período)])),6)&gt;ROUND(CARENCIA,6),
                           -tblHorasNov[Jornada Diária]+(tblHorasNov[Horas Trabalhadas (2º Período)]+tblHorasNov[Horas Trabalhadas (1º Período)]),
                           0),
                      IF(ROUND((tblHorasNov[Jornada Diária]-(tblHorasNov[Horas Trabalhadas (2º Período)]+tblHorasNov[Horas Trabalhadas (1º Período)])),6)&lt;ROUND(-CARENCIA,6),
                           -tblHorasNov[Jornada Diária]+(tblHorasNov[Horas Trabalhadas (2º Período)]+tblHorasNov[Horas Trabalhadas (1º Período)]),
                           0)),
              tblHorasNov[Horas Trabalhadas (2º Período)]+tblHorasNov[Horas Trabalhadas (1º Período)]),
         IF(AND(IF(ISERROR(VLOOKUP(tblHorasNov[Evento 
(1º Período)],tblEvento[[Evento]:[Libera o Período]],4,FALSE)),FALSE,IF(VLOOKUP(tblHorasNov[Evento 
(1º Período)],tblEvento[[Evento]:[Libera o Período]],4,FALSE)="Não",TRUE,FALSE)),IF(ISERROR(VLOOKUP(tblHorasNov[Evento 
(2º Período)],tblEvento[[Evento]:[Libera o Período]],4,FALSE)),FALSE,IF(VLOOKUP(tblHorasNov[Evento 
(2º Período)],tblEvento[[Evento]:[Libera o Período]],4,FALSE)="Não",TRUE,FALSE))),
-IF(VLOOKUP(tblHorasNov[Dia],tblDiaUtil[[Abreviatura]:[Total Jornada]],5,FALSE)&lt;&gt;"",VLOOKUP(tblHorasNov[Dia],tblDiaUtil[[Abreviatura]:[Total Jornada]],5,FALSE),JORNADA),
IF(IF(ISERROR(VLOOKUP(tblHorasNov[Evento 
(1º Período)],tblEvento[[Evento]:[Libera o Período]],4,FALSE)),FALSE,
IF(VLOOKUP(tblHorasNov[Evento 
(1º Período)],tblEvento[[Evento]:[Libera o Período]],4,FALSE)="Não",TRUE,FALSE)
),
-IF(VLOOKUP(tblHorasNov[Dia],tblDiaUtil[[Abreviatura]:[1º Período]],3,FALSE)&lt;&gt;"",VLOOKUP(tblHorasNov[Dia],tblDiaUtil[[Abreviatura]:[1º Período]],3,FALSE),JORNADA_PERIODO_1),
IF(IF(ISERROR(VLOOKUP(tblHorasNov[Evento 
(2º Período)],tblEvento[[Evento]:[Libera o Período]],4,FALSE)),FALSE,IF(VLOOKUP(tblHorasNov[Evento 
(2º Período)],tblEvento[[Evento]:[Libera o Período]],4,FALSE)="Não",TRUE,FALSE)),
-IF(VLOOKUP(tblHorasNov[Dia],tblDiaUtil[[Abreviatura]:[2º Período]],4,FALSE)&lt;&gt;"",VLOOKUP(tblHorasNov[Dia],tblDiaUtil[[Abreviatura]:[2º Período]],4,FALSE),JORNADA_PERIODO_2),0))))</f>
        <v>0</v>
      </c>
      <c r="O24" s="14">
        <f>IF(tblHorasNov[Horas Trabalhadas Além Jornada]&gt;0,
        IF(ISNUMBER(tblHorasNov[Jornada Diária]),
              IF(HOUR(tblHorasNov[Horas Trabalhadas Além Jornada])&gt;=VLOOKUP(LIMITE,tblLimiteHora[],Tabelas!$I$1,FALSE),
                    VLOOKUP(LIMITE,tblLimiteHora[],Tabelas!$J$1,FALSE),
                    tblHorasNov[Horas Trabalhadas Além Jornada]),
              tblHorasNov[Horas Trabalhadas Além Jornada]),
        tblHorasNov[Horas Trabalhadas Além Jornada])+O23</f>
        <v>0</v>
      </c>
      <c r="P24" s="14" t="str">
        <f>IF(tblHorasNov[Horas Trabalhadas Além Jornada]&lt;0,IF(OR(tblHorasNov[Evento 
(1º Período)]="",tblHorasNov[Evento 
(2º Período)]=""),tblHorasNov[Horas Trabalhadas Além Jornada],""),"")</f>
        <v/>
      </c>
      <c r="Q24" s="14" t="str">
        <f>IF(tblHorasNov[Jornada Diária]&lt;&gt;"",IF((N(tblHorasNov[Jornada Diária])-ABS(N(tblHorasNov[Horas Trabalhadas Além Jornada])))=0,1,""),"")</f>
        <v/>
      </c>
      <c r="R24" s="14" t="str">
        <f>IF(tblHorasNov[Horas Trabalhadas Além Jornada]&gt;0,
IF(AND(VLOOKUP(TEXT(tblHorasNov[Data],"dddd"),tblDiaUtil[],3,FALSE)="Sim",IF(tblHorasNov[Evento 
(1º Período)]&lt;&gt;"",IF(VLOOKUP(tblHorasNov[Evento 
(1º Período)],tblEvento[],Tabelas!$E$1,FALSE)="Sim",FALSE,TRUE),TRUE),IF(tblHorasNov[Evento 
(2º Período)]&lt;&gt;"",IF(VLOOKUP(tblHorasNov[Evento 
(2º Período)],tblEvento[],Tabelas!$E$1,FALSE)="Sim",FALSE,TRUE),TRUE)),
tblHorasNov[Horas Trabalhadas Além Jornada],""),"")</f>
        <v/>
      </c>
      <c r="S24" s="14" t="str">
        <f>IF(tblHorasNov[Horas Trabalhadas Além Jornada]&gt;0,
IF(OR(VLOOKUP(TEXT(tblHorasNov[Data],"dddd"),tblDiaUtil[],3,FALSE)="Não",IF(tblHorasNov[Evento 
(1º Período)]&lt;&gt;"",IF(VLOOKUP(tblHorasNov[Evento 
(1º Período)],tblEvento[],Tabelas!$E$1,FALSE)="Sim",TRUE,FALSE),FALSE),IF(tblHorasNov[Evento 
(2º Período)]&lt;&gt;"",IF(VLOOKUP(tblHorasNov[Evento 
(2º Período)],tblEvento[],Tabelas!$E$1,FALSE)="Sim",TRUE,FALSE),FALSE)),
tblHorasNov[Horas Trabalhadas Além Jornada],""),"")</f>
        <v/>
      </c>
      <c r="T24" s="15" t="str">
        <f>IF(tblHorasNov[Evento 
(1º Período)]&lt;&gt;""," - " &amp;VLOOKUP(tblHorasNov[Evento 
(1º Período)],tblEvento[],Tabelas!$F$1,FALSE),"")&amp;IF(AND(tblHorasNov[Evento 
(2º Período)]&lt;&gt;"",tblHorasNov[Evento 
(2º Período)]&lt;&gt;tblHorasNov[Evento 
(1º Período)])," - " &amp; VLOOKUP(tblHorasNov[Evento 
(2º Período)],tblEvento[],Tabelas!$F$1,FALSE),"")</f>
        <v/>
      </c>
    </row>
    <row r="25" spans="2:20" x14ac:dyDescent="0.25">
      <c r="B25" s="11" t="str">
        <f t="shared" si="0"/>
        <v/>
      </c>
      <c r="C25" s="12" t="str">
        <f>TEXT(tblHorasNov[Data],"ddd")</f>
        <v/>
      </c>
      <c r="D25" s="25"/>
      <c r="E25" s="1"/>
      <c r="F25" s="1"/>
      <c r="G25" s="1"/>
      <c r="H25" s="1"/>
      <c r="I25" s="53"/>
      <c r="J25" s="4">
        <f>IF($B$6&lt;&gt;"",
IF(AND(tblHorasNov[Evento 
(1º Período)]&lt;&gt;"",IF(ISERROR(VLOOKUP(tblHorasNov[Evento 
(1º Período)],tblEvento[],Tabelas!$D$1,FALSE)),FALSE,VLOOKUP(tblHorasNov[Evento 
(1º Período)],tblEvento[],Tabelas!$D$1,FALSE)="Sim")),
        IF(JORNADA_PERIODO_1&lt;&gt;"",
IF(VLOOKUP(tblHorasNov[Dia],tblDiaUtil[[Abreviatura]:[1º Período]],3,FALSE)&gt;0,VLOOKUP(tblHorasNov[Dia],tblDiaUtil[[Abreviatura]:[1º Período]],3,FALSE),JORNADA_PERIODO_1),
IF(VLOOKUP(tblHorasNov[Dia],tblDiaUtil[[Abreviatura]:[1º Período]],3,FALSE)&gt;0,VLOOKUP(tblHorasNov[Dia],tblDiaUtil[[Abreviatura]:[1º Período]],3,FALSE),JORNADA/2)),
        IF(AND(ISNUMBER(tblHorasNov[Saída - 1 (Almoço)]),ISNUMBER(tblHorasNov[Entrada - 1])),
              IF(OR(AND(tblHorasNov[Evento 
(1º Período)]&lt;&gt;"",IF(ISERROR(VLOOKUP(tblHorasNov[Evento 
(1º Período)],tblEvento[],Tabelas!$E$1,FALSE)),FALSE,VLOOKUP(tblHorasNov[Evento 
(1º Período)],tblEvento[],Tabelas!$E$1,FALSE)="Sim")),IF(VLOOKUP(TEXT(tblHorasNov[Data],"dddd"),tblDiaUtil[],2,FALSE)="Não",TRUE,FALSE)),
                   tblHorasNov[Saída - 1 (Almoço)]-tblHorasNov[Entrada - 1],
                   IF(OR(HOUR(tblHorasNov[Saída - 1 (Almoço)]-tblHorasNov[Entrada - 1])&gt;0,ROUND(tblHorasNov[Saída - 1 (Almoço)]-tblHorasNov[Entrada - 1],6)&gt;ROUND(CARENCIA,6)),
                          tblHorasNov[Saída - 1 (Almoço)]-tblHorasNov[Entrada - 1],
                          0)),
                    0)),0)</f>
        <v>0</v>
      </c>
      <c r="K25" s="4">
        <f>IF($B$6&lt;&gt;"",
IF(AND(tblHorasNov[Evento 
(2º Período)]&lt;&gt;"",IF(ISERROR(VLOOKUP(tblHorasNov[Evento 
(2º Período)],tblEvento[],Tabelas!$D$1,FALSE)),FALSE,VLOOKUP(tblHorasNov[Evento 
(2º Período)],tblEvento[],Tabelas!$D$1,FALSE)="Sim")),
        IF(JORNADA_PERIODO_2&lt;&gt;"",
IF(VLOOKUP(tblHorasNov[Dia],tblDiaUtil[[Abreviatura]:[2º Período]],4,FALSE)&gt;0,VLOOKUP(tblHorasNov[Dia],tblDiaUtil[[Abreviatura]:[2º Período]],4,FALSE),JORNADA_PERIODO_2),
IF(VLOOKUP(tblHorasNov[Dia],tblDiaUtil[[Abreviatura]:[2º Período]],4,FALSE)&gt;0,VLOOKUP(tblHorasNov[Dia],tblDiaUtil[[Abreviatura]:[2º Período]],4,FALSE),JORNADA/2)),
        IF(AND(ISNUMBER(tblHorasNov[Saída - 2]),ISNUMBER(tblHorasNov[Entrada - 2 (Almoço)])),
              IF(OR(AND(tblHorasNov[Evento 
(2º Período)]&lt;&gt;"",IF(ISERROR(VLOOKUP(tblHorasNov[Evento 
(2º Período)],tblEvento[],Tabelas!$E$1,FALSE)),FALSE,VLOOKUP(tblHorasNov[Evento 
(2º Período)],tblEvento[],Tabelas!$E$1,FALSE)="Sim")),IF(VLOOKUP(TEXT(tblHorasNov[Data],"dddd"),tblDiaUtil[],2,FALSE)="Não",TRUE,FALSE)),
                   tblHorasNov[Saída - 2]-tblHorasNov[Entrada - 2 (Almoço)],
                   IF(OR(HOUR(tblHorasNov[Saída - 2]-tblHorasNov[Entrada - 2 (Almoço)])&gt;0,MINUTE(tblHorasNov[Saída - 2]-tblHorasNov[Entrada - 2 (Almoço)])&gt;CARENCIA),
                         tblHorasNov[Saída - 2]-tblHorasNov[Entrada - 2 (Almoço)],
                         0)),
       0)),0)</f>
        <v>0</v>
      </c>
      <c r="L25" s="4">
        <f>tblHorasNov[Horas Trabalhadas (1º Período)]+tblHorasNov[Horas Trabalhadas (2º Período)]</f>
        <v>0</v>
      </c>
      <c r="M25" s="4" t="str">
        <f>IF(tblHorasNov[Data]&lt;&gt;"",
        IF(
AND(VLOOKUP(TEXT(tblHorasNov[Data],"dddd"),tblDiaUtil[],3,FALSE)="Sim",IF(tblHorasNov[Evento 
(1º Período)]&lt;&gt;"",IF(VLOOKUP(tblHorasNov[Evento 
(1º Período)],tblEvento[],Tabelas!$E$1,FALSE)="Sim",FALSE,TRUE),TRUE),IF(tblHorasNov[Evento 
(2º Período)]&lt;&gt;"",IF(VLOOKUP(tblHorasNov[Evento 
(2º Período)],tblEvento[],Tabelas!$E$1,FALSE)="Sim",FALSE,TRUE),TRUE)),
              IF(VLOOKUP(tblHorasNov[Dia],tblDiaUtil[[Abreviatura]:[1º Período]],3,FALSE)&gt;0,VLOOKUP(tblHorasNov[Dia],tblDiaUtil[[Abreviatura]:[1º Período]],3,FALSE),JORNADA),
              ""),
         "")</f>
        <v/>
      </c>
      <c r="N25" s="14">
        <f>IF(OR(tblHorasNov[Horas Trabalhadas (1º Período)]&lt;&gt;0,tblHorasNov[Horas Trabalhadas (2º Período)]&lt;&gt;0),
        IF(ISNUMBER(tblHorasNov[Jornada Diária]),
              IF(tblHorasNov[Jornada Diária]&gt;(tblHorasNov[Horas Trabalhadas (2º Período)]+tblHorasNov[Horas Trabalhadas (1º Período)]),
                     IF(ROUND((tblHorasNov[Jornada Diária]-(tblHorasNov[Horas Trabalhadas (2º Período)]+tblHorasNov[Horas Trabalhadas (1º Período)])),6)&gt;ROUND(CARENCIA,6),
                           -tblHorasNov[Jornada Diária]+(tblHorasNov[Horas Trabalhadas (2º Período)]+tblHorasNov[Horas Trabalhadas (1º Período)]),
                           0),
                      IF(ROUND((tblHorasNov[Jornada Diária]-(tblHorasNov[Horas Trabalhadas (2º Período)]+tblHorasNov[Horas Trabalhadas (1º Período)])),6)&lt;ROUND(-CARENCIA,6),
                           -tblHorasNov[Jornada Diária]+(tblHorasNov[Horas Trabalhadas (2º Período)]+tblHorasNov[Horas Trabalhadas (1º Período)]),
                           0)),
              tblHorasNov[Horas Trabalhadas (2º Período)]+tblHorasNov[Horas Trabalhadas (1º Período)]),
         IF(AND(IF(ISERROR(VLOOKUP(tblHorasNov[Evento 
(1º Período)],tblEvento[[Evento]:[Libera o Período]],4,FALSE)),FALSE,IF(VLOOKUP(tblHorasNov[Evento 
(1º Período)],tblEvento[[Evento]:[Libera o Período]],4,FALSE)="Não",TRUE,FALSE)),IF(ISERROR(VLOOKUP(tblHorasNov[Evento 
(2º Período)],tblEvento[[Evento]:[Libera o Período]],4,FALSE)),FALSE,IF(VLOOKUP(tblHorasNov[Evento 
(2º Período)],tblEvento[[Evento]:[Libera o Período]],4,FALSE)="Não",TRUE,FALSE))),
-IF(VLOOKUP(tblHorasNov[Dia],tblDiaUtil[[Abreviatura]:[Total Jornada]],5,FALSE)&lt;&gt;"",VLOOKUP(tblHorasNov[Dia],tblDiaUtil[[Abreviatura]:[Total Jornada]],5,FALSE),JORNADA),
IF(IF(ISERROR(VLOOKUP(tblHorasNov[Evento 
(1º Período)],tblEvento[[Evento]:[Libera o Período]],4,FALSE)),FALSE,
IF(VLOOKUP(tblHorasNov[Evento 
(1º Período)],tblEvento[[Evento]:[Libera o Período]],4,FALSE)="Não",TRUE,FALSE)
),
-IF(VLOOKUP(tblHorasNov[Dia],tblDiaUtil[[Abreviatura]:[1º Período]],3,FALSE)&lt;&gt;"",VLOOKUP(tblHorasNov[Dia],tblDiaUtil[[Abreviatura]:[1º Período]],3,FALSE),JORNADA_PERIODO_1),
IF(IF(ISERROR(VLOOKUP(tblHorasNov[Evento 
(2º Período)],tblEvento[[Evento]:[Libera o Período]],4,FALSE)),FALSE,IF(VLOOKUP(tblHorasNov[Evento 
(2º Período)],tblEvento[[Evento]:[Libera o Período]],4,FALSE)="Não",TRUE,FALSE)),
-IF(VLOOKUP(tblHorasNov[Dia],tblDiaUtil[[Abreviatura]:[2º Período]],4,FALSE)&lt;&gt;"",VLOOKUP(tblHorasNov[Dia],tblDiaUtil[[Abreviatura]:[2º Período]],4,FALSE),JORNADA_PERIODO_2),0))))</f>
        <v>0</v>
      </c>
      <c r="O25" s="14">
        <f>IF(tblHorasNov[Horas Trabalhadas Além Jornada]&gt;0,
        IF(ISNUMBER(tblHorasNov[Jornada Diária]),
              IF(HOUR(tblHorasNov[Horas Trabalhadas Além Jornada])&gt;=VLOOKUP(LIMITE,tblLimiteHora[],Tabelas!$I$1,FALSE),
                    VLOOKUP(LIMITE,tblLimiteHora[],Tabelas!$J$1,FALSE),
                    tblHorasNov[Horas Trabalhadas Além Jornada]),
              tblHorasNov[Horas Trabalhadas Além Jornada]),
        tblHorasNov[Horas Trabalhadas Além Jornada])+O24</f>
        <v>0</v>
      </c>
      <c r="P25" s="14" t="str">
        <f>IF(tblHorasNov[Horas Trabalhadas Além Jornada]&lt;0,IF(OR(tblHorasNov[Evento 
(1º Período)]="",tblHorasNov[Evento 
(2º Período)]=""),tblHorasNov[Horas Trabalhadas Além Jornada],""),"")</f>
        <v/>
      </c>
      <c r="Q25" s="14" t="str">
        <f>IF(tblHorasNov[Jornada Diária]&lt;&gt;"",IF((N(tblHorasNov[Jornada Diária])-ABS(N(tblHorasNov[Horas Trabalhadas Além Jornada])))=0,1,""),"")</f>
        <v/>
      </c>
      <c r="R25" s="14" t="str">
        <f>IF(tblHorasNov[Horas Trabalhadas Além Jornada]&gt;0,
IF(AND(VLOOKUP(TEXT(tblHorasNov[Data],"dddd"),tblDiaUtil[],3,FALSE)="Sim",IF(tblHorasNov[Evento 
(1º Período)]&lt;&gt;"",IF(VLOOKUP(tblHorasNov[Evento 
(1º Período)],tblEvento[],Tabelas!$E$1,FALSE)="Sim",FALSE,TRUE),TRUE),IF(tblHorasNov[Evento 
(2º Período)]&lt;&gt;"",IF(VLOOKUP(tblHorasNov[Evento 
(2º Período)],tblEvento[],Tabelas!$E$1,FALSE)="Sim",FALSE,TRUE),TRUE)),
tblHorasNov[Horas Trabalhadas Além Jornada],""),"")</f>
        <v/>
      </c>
      <c r="S25" s="14" t="str">
        <f>IF(tblHorasNov[Horas Trabalhadas Além Jornada]&gt;0,
IF(OR(VLOOKUP(TEXT(tblHorasNov[Data],"dddd"),tblDiaUtil[],3,FALSE)="Não",IF(tblHorasNov[Evento 
(1º Período)]&lt;&gt;"",IF(VLOOKUP(tblHorasNov[Evento 
(1º Período)],tblEvento[],Tabelas!$E$1,FALSE)="Sim",TRUE,FALSE),FALSE),IF(tblHorasNov[Evento 
(2º Período)]&lt;&gt;"",IF(VLOOKUP(tblHorasNov[Evento 
(2º Período)],tblEvento[],Tabelas!$E$1,FALSE)="Sim",TRUE,FALSE),FALSE)),
tblHorasNov[Horas Trabalhadas Além Jornada],""),"")</f>
        <v/>
      </c>
      <c r="T25" s="15" t="str">
        <f>IF(tblHorasNov[Evento 
(1º Período)]&lt;&gt;""," - " &amp;VLOOKUP(tblHorasNov[Evento 
(1º Período)],tblEvento[],Tabelas!$F$1,FALSE),"")&amp;IF(AND(tblHorasNov[Evento 
(2º Período)]&lt;&gt;"",tblHorasNov[Evento 
(2º Período)]&lt;&gt;tblHorasNov[Evento 
(1º Período)])," - " &amp; VLOOKUP(tblHorasNov[Evento 
(2º Período)],tblEvento[],Tabelas!$F$1,FALSE),"")</f>
        <v/>
      </c>
    </row>
    <row r="26" spans="2:20" x14ac:dyDescent="0.25">
      <c r="B26" s="11" t="str">
        <f t="shared" si="0"/>
        <v/>
      </c>
      <c r="C26" s="12" t="str">
        <f>TEXT(tblHorasNov[Data],"ddd")</f>
        <v/>
      </c>
      <c r="D26" s="25"/>
      <c r="E26" s="1"/>
      <c r="F26" s="1"/>
      <c r="G26" s="1"/>
      <c r="H26" s="1"/>
      <c r="I26" s="53"/>
      <c r="J26" s="4">
        <f>IF($B$6&lt;&gt;"",
IF(AND(tblHorasNov[Evento 
(1º Período)]&lt;&gt;"",IF(ISERROR(VLOOKUP(tblHorasNov[Evento 
(1º Período)],tblEvento[],Tabelas!$D$1,FALSE)),FALSE,VLOOKUP(tblHorasNov[Evento 
(1º Período)],tblEvento[],Tabelas!$D$1,FALSE)="Sim")),
        IF(JORNADA_PERIODO_1&lt;&gt;"",
IF(VLOOKUP(tblHorasNov[Dia],tblDiaUtil[[Abreviatura]:[1º Período]],3,FALSE)&gt;0,VLOOKUP(tblHorasNov[Dia],tblDiaUtil[[Abreviatura]:[1º Período]],3,FALSE),JORNADA_PERIODO_1),
IF(VLOOKUP(tblHorasNov[Dia],tblDiaUtil[[Abreviatura]:[1º Período]],3,FALSE)&gt;0,VLOOKUP(tblHorasNov[Dia],tblDiaUtil[[Abreviatura]:[1º Período]],3,FALSE),JORNADA/2)),
        IF(AND(ISNUMBER(tblHorasNov[Saída - 1 (Almoço)]),ISNUMBER(tblHorasNov[Entrada - 1])),
              IF(OR(AND(tblHorasNov[Evento 
(1º Período)]&lt;&gt;"",IF(ISERROR(VLOOKUP(tblHorasNov[Evento 
(1º Período)],tblEvento[],Tabelas!$E$1,FALSE)),FALSE,VLOOKUP(tblHorasNov[Evento 
(1º Período)],tblEvento[],Tabelas!$E$1,FALSE)="Sim")),IF(VLOOKUP(TEXT(tblHorasNov[Data],"dddd"),tblDiaUtil[],2,FALSE)="Não",TRUE,FALSE)),
                   tblHorasNov[Saída - 1 (Almoço)]-tblHorasNov[Entrada - 1],
                   IF(OR(HOUR(tblHorasNov[Saída - 1 (Almoço)]-tblHorasNov[Entrada - 1])&gt;0,ROUND(tblHorasNov[Saída - 1 (Almoço)]-tblHorasNov[Entrada - 1],6)&gt;ROUND(CARENCIA,6)),
                          tblHorasNov[Saída - 1 (Almoço)]-tblHorasNov[Entrada - 1],
                          0)),
                    0)),0)</f>
        <v>0</v>
      </c>
      <c r="K26" s="4">
        <f>IF($B$6&lt;&gt;"",
IF(AND(tblHorasNov[Evento 
(2º Período)]&lt;&gt;"",IF(ISERROR(VLOOKUP(tblHorasNov[Evento 
(2º Período)],tblEvento[],Tabelas!$D$1,FALSE)),FALSE,VLOOKUP(tblHorasNov[Evento 
(2º Período)],tblEvento[],Tabelas!$D$1,FALSE)="Sim")),
        IF(JORNADA_PERIODO_2&lt;&gt;"",
IF(VLOOKUP(tblHorasNov[Dia],tblDiaUtil[[Abreviatura]:[2º Período]],4,FALSE)&gt;0,VLOOKUP(tblHorasNov[Dia],tblDiaUtil[[Abreviatura]:[2º Período]],4,FALSE),JORNADA_PERIODO_2),
IF(VLOOKUP(tblHorasNov[Dia],tblDiaUtil[[Abreviatura]:[2º Período]],4,FALSE)&gt;0,VLOOKUP(tblHorasNov[Dia],tblDiaUtil[[Abreviatura]:[2º Período]],4,FALSE),JORNADA/2)),
        IF(AND(ISNUMBER(tblHorasNov[Saída - 2]),ISNUMBER(tblHorasNov[Entrada - 2 (Almoço)])),
              IF(OR(AND(tblHorasNov[Evento 
(2º Período)]&lt;&gt;"",IF(ISERROR(VLOOKUP(tblHorasNov[Evento 
(2º Período)],tblEvento[],Tabelas!$E$1,FALSE)),FALSE,VLOOKUP(tblHorasNov[Evento 
(2º Período)],tblEvento[],Tabelas!$E$1,FALSE)="Sim")),IF(VLOOKUP(TEXT(tblHorasNov[Data],"dddd"),tblDiaUtil[],2,FALSE)="Não",TRUE,FALSE)),
                   tblHorasNov[Saída - 2]-tblHorasNov[Entrada - 2 (Almoço)],
                   IF(OR(HOUR(tblHorasNov[Saída - 2]-tblHorasNov[Entrada - 2 (Almoço)])&gt;0,MINUTE(tblHorasNov[Saída - 2]-tblHorasNov[Entrada - 2 (Almoço)])&gt;CARENCIA),
                         tblHorasNov[Saída - 2]-tblHorasNov[Entrada - 2 (Almoço)],
                         0)),
       0)),0)</f>
        <v>0</v>
      </c>
      <c r="L26" s="4">
        <f>tblHorasNov[Horas Trabalhadas (1º Período)]+tblHorasNov[Horas Trabalhadas (2º Período)]</f>
        <v>0</v>
      </c>
      <c r="M26" s="4" t="str">
        <f>IF(tblHorasNov[Data]&lt;&gt;"",
        IF(
AND(VLOOKUP(TEXT(tblHorasNov[Data],"dddd"),tblDiaUtil[],3,FALSE)="Sim",IF(tblHorasNov[Evento 
(1º Período)]&lt;&gt;"",IF(VLOOKUP(tblHorasNov[Evento 
(1º Período)],tblEvento[],Tabelas!$E$1,FALSE)="Sim",FALSE,TRUE),TRUE),IF(tblHorasNov[Evento 
(2º Período)]&lt;&gt;"",IF(VLOOKUP(tblHorasNov[Evento 
(2º Período)],tblEvento[],Tabelas!$E$1,FALSE)="Sim",FALSE,TRUE),TRUE)),
              IF(VLOOKUP(tblHorasNov[Dia],tblDiaUtil[[Abreviatura]:[1º Período]],3,FALSE)&gt;0,VLOOKUP(tblHorasNov[Dia],tblDiaUtil[[Abreviatura]:[1º Período]],3,FALSE),JORNADA),
              ""),
         "")</f>
        <v/>
      </c>
      <c r="N26" s="14">
        <f>IF(OR(tblHorasNov[Horas Trabalhadas (1º Período)]&lt;&gt;0,tblHorasNov[Horas Trabalhadas (2º Período)]&lt;&gt;0),
        IF(ISNUMBER(tblHorasNov[Jornada Diária]),
              IF(tblHorasNov[Jornada Diária]&gt;(tblHorasNov[Horas Trabalhadas (2º Período)]+tblHorasNov[Horas Trabalhadas (1º Período)]),
                     IF(ROUND((tblHorasNov[Jornada Diária]-(tblHorasNov[Horas Trabalhadas (2º Período)]+tblHorasNov[Horas Trabalhadas (1º Período)])),6)&gt;ROUND(CARENCIA,6),
                           -tblHorasNov[Jornada Diária]+(tblHorasNov[Horas Trabalhadas (2º Período)]+tblHorasNov[Horas Trabalhadas (1º Período)]),
                           0),
                      IF(ROUND((tblHorasNov[Jornada Diária]-(tblHorasNov[Horas Trabalhadas (2º Período)]+tblHorasNov[Horas Trabalhadas (1º Período)])),6)&lt;ROUND(-CARENCIA,6),
                           -tblHorasNov[Jornada Diária]+(tblHorasNov[Horas Trabalhadas (2º Período)]+tblHorasNov[Horas Trabalhadas (1º Período)]),
                           0)),
              tblHorasNov[Horas Trabalhadas (2º Período)]+tblHorasNov[Horas Trabalhadas (1º Período)]),
         IF(AND(IF(ISERROR(VLOOKUP(tblHorasNov[Evento 
(1º Período)],tblEvento[[Evento]:[Libera o Período]],4,FALSE)),FALSE,IF(VLOOKUP(tblHorasNov[Evento 
(1º Período)],tblEvento[[Evento]:[Libera o Período]],4,FALSE)="Não",TRUE,FALSE)),IF(ISERROR(VLOOKUP(tblHorasNov[Evento 
(2º Período)],tblEvento[[Evento]:[Libera o Período]],4,FALSE)),FALSE,IF(VLOOKUP(tblHorasNov[Evento 
(2º Período)],tblEvento[[Evento]:[Libera o Período]],4,FALSE)="Não",TRUE,FALSE))),
-IF(VLOOKUP(tblHorasNov[Dia],tblDiaUtil[[Abreviatura]:[Total Jornada]],5,FALSE)&lt;&gt;"",VLOOKUP(tblHorasNov[Dia],tblDiaUtil[[Abreviatura]:[Total Jornada]],5,FALSE),JORNADA),
IF(IF(ISERROR(VLOOKUP(tblHorasNov[Evento 
(1º Período)],tblEvento[[Evento]:[Libera o Período]],4,FALSE)),FALSE,
IF(VLOOKUP(tblHorasNov[Evento 
(1º Período)],tblEvento[[Evento]:[Libera o Período]],4,FALSE)="Não",TRUE,FALSE)
),
-IF(VLOOKUP(tblHorasNov[Dia],tblDiaUtil[[Abreviatura]:[1º Período]],3,FALSE)&lt;&gt;"",VLOOKUP(tblHorasNov[Dia],tblDiaUtil[[Abreviatura]:[1º Período]],3,FALSE),JORNADA_PERIODO_1),
IF(IF(ISERROR(VLOOKUP(tblHorasNov[Evento 
(2º Período)],tblEvento[[Evento]:[Libera o Período]],4,FALSE)),FALSE,IF(VLOOKUP(tblHorasNov[Evento 
(2º Período)],tblEvento[[Evento]:[Libera o Período]],4,FALSE)="Não",TRUE,FALSE)),
-IF(VLOOKUP(tblHorasNov[Dia],tblDiaUtil[[Abreviatura]:[2º Período]],4,FALSE)&lt;&gt;"",VLOOKUP(tblHorasNov[Dia],tblDiaUtil[[Abreviatura]:[2º Período]],4,FALSE),JORNADA_PERIODO_2),0))))</f>
        <v>0</v>
      </c>
      <c r="O26" s="14">
        <f>IF(tblHorasNov[Horas Trabalhadas Além Jornada]&gt;0,
        IF(ISNUMBER(tblHorasNov[Jornada Diária]),
              IF(HOUR(tblHorasNov[Horas Trabalhadas Além Jornada])&gt;=VLOOKUP(LIMITE,tblLimiteHora[],Tabelas!$I$1,FALSE),
                    VLOOKUP(LIMITE,tblLimiteHora[],Tabelas!$J$1,FALSE),
                    tblHorasNov[Horas Trabalhadas Além Jornada]),
              tblHorasNov[Horas Trabalhadas Além Jornada]),
        tblHorasNov[Horas Trabalhadas Além Jornada])+O25</f>
        <v>0</v>
      </c>
      <c r="P26" s="14" t="str">
        <f>IF(tblHorasNov[Horas Trabalhadas Além Jornada]&lt;0,IF(OR(tblHorasNov[Evento 
(1º Período)]="",tblHorasNov[Evento 
(2º Período)]=""),tblHorasNov[Horas Trabalhadas Além Jornada],""),"")</f>
        <v/>
      </c>
      <c r="Q26" s="14" t="str">
        <f>IF(tblHorasNov[Jornada Diária]&lt;&gt;"",IF((N(tblHorasNov[Jornada Diária])-ABS(N(tblHorasNov[Horas Trabalhadas Além Jornada])))=0,1,""),"")</f>
        <v/>
      </c>
      <c r="R26" s="14" t="str">
        <f>IF(tblHorasNov[Horas Trabalhadas Além Jornada]&gt;0,
IF(AND(VLOOKUP(TEXT(tblHorasNov[Data],"dddd"),tblDiaUtil[],3,FALSE)="Sim",IF(tblHorasNov[Evento 
(1º Período)]&lt;&gt;"",IF(VLOOKUP(tblHorasNov[Evento 
(1º Período)],tblEvento[],Tabelas!$E$1,FALSE)="Sim",FALSE,TRUE),TRUE),IF(tblHorasNov[Evento 
(2º Período)]&lt;&gt;"",IF(VLOOKUP(tblHorasNov[Evento 
(2º Período)],tblEvento[],Tabelas!$E$1,FALSE)="Sim",FALSE,TRUE),TRUE)),
tblHorasNov[Horas Trabalhadas Além Jornada],""),"")</f>
        <v/>
      </c>
      <c r="S26" s="14" t="str">
        <f>IF(tblHorasNov[Horas Trabalhadas Além Jornada]&gt;0,
IF(OR(VLOOKUP(TEXT(tblHorasNov[Data],"dddd"),tblDiaUtil[],3,FALSE)="Não",IF(tblHorasNov[Evento 
(1º Período)]&lt;&gt;"",IF(VLOOKUP(tblHorasNov[Evento 
(1º Período)],tblEvento[],Tabelas!$E$1,FALSE)="Sim",TRUE,FALSE),FALSE),IF(tblHorasNov[Evento 
(2º Período)]&lt;&gt;"",IF(VLOOKUP(tblHorasNov[Evento 
(2º Período)],tblEvento[],Tabelas!$E$1,FALSE)="Sim",TRUE,FALSE),FALSE)),
tblHorasNov[Horas Trabalhadas Além Jornada],""),"")</f>
        <v/>
      </c>
      <c r="T26" s="15" t="str">
        <f>IF(tblHorasNov[Evento 
(1º Período)]&lt;&gt;""," - " &amp;VLOOKUP(tblHorasNov[Evento 
(1º Período)],tblEvento[],Tabelas!$F$1,FALSE),"")&amp;IF(AND(tblHorasNov[Evento 
(2º Período)]&lt;&gt;"",tblHorasNov[Evento 
(2º Período)]&lt;&gt;tblHorasNov[Evento 
(1º Período)])," - " &amp; VLOOKUP(tblHorasNov[Evento 
(2º Período)],tblEvento[],Tabelas!$F$1,FALSE),"")</f>
        <v/>
      </c>
    </row>
    <row r="27" spans="2:20" x14ac:dyDescent="0.25">
      <c r="B27" s="11" t="str">
        <f t="shared" si="0"/>
        <v/>
      </c>
      <c r="C27" s="12" t="str">
        <f>TEXT(tblHorasNov[Data],"ddd")</f>
        <v/>
      </c>
      <c r="D27" s="25"/>
      <c r="E27" s="1"/>
      <c r="F27" s="1"/>
      <c r="G27" s="1"/>
      <c r="H27" s="1"/>
      <c r="I27" s="53"/>
      <c r="J27" s="4">
        <f>IF($B$6&lt;&gt;"",
IF(AND(tblHorasNov[Evento 
(1º Período)]&lt;&gt;"",IF(ISERROR(VLOOKUP(tblHorasNov[Evento 
(1º Período)],tblEvento[],Tabelas!$D$1,FALSE)),FALSE,VLOOKUP(tblHorasNov[Evento 
(1º Período)],tblEvento[],Tabelas!$D$1,FALSE)="Sim")),
        IF(JORNADA_PERIODO_1&lt;&gt;"",
IF(VLOOKUP(tblHorasNov[Dia],tblDiaUtil[[Abreviatura]:[1º Período]],3,FALSE)&gt;0,VLOOKUP(tblHorasNov[Dia],tblDiaUtil[[Abreviatura]:[1º Período]],3,FALSE),JORNADA_PERIODO_1),
IF(VLOOKUP(tblHorasNov[Dia],tblDiaUtil[[Abreviatura]:[1º Período]],3,FALSE)&gt;0,VLOOKUP(tblHorasNov[Dia],tblDiaUtil[[Abreviatura]:[1º Período]],3,FALSE),JORNADA/2)),
        IF(AND(ISNUMBER(tblHorasNov[Saída - 1 (Almoço)]),ISNUMBER(tblHorasNov[Entrada - 1])),
              IF(OR(AND(tblHorasNov[Evento 
(1º Período)]&lt;&gt;"",IF(ISERROR(VLOOKUP(tblHorasNov[Evento 
(1º Período)],tblEvento[],Tabelas!$E$1,FALSE)),FALSE,VLOOKUP(tblHorasNov[Evento 
(1º Período)],tblEvento[],Tabelas!$E$1,FALSE)="Sim")),IF(VLOOKUP(TEXT(tblHorasNov[Data],"dddd"),tblDiaUtil[],2,FALSE)="Não",TRUE,FALSE)),
                   tblHorasNov[Saída - 1 (Almoço)]-tblHorasNov[Entrada - 1],
                   IF(OR(HOUR(tblHorasNov[Saída - 1 (Almoço)]-tblHorasNov[Entrada - 1])&gt;0,ROUND(tblHorasNov[Saída - 1 (Almoço)]-tblHorasNov[Entrada - 1],6)&gt;ROUND(CARENCIA,6)),
                          tblHorasNov[Saída - 1 (Almoço)]-tblHorasNov[Entrada - 1],
                          0)),
                    0)),0)</f>
        <v>0</v>
      </c>
      <c r="K27" s="4">
        <f>IF($B$6&lt;&gt;"",
IF(AND(tblHorasNov[Evento 
(2º Período)]&lt;&gt;"",IF(ISERROR(VLOOKUP(tblHorasNov[Evento 
(2º Período)],tblEvento[],Tabelas!$D$1,FALSE)),FALSE,VLOOKUP(tblHorasNov[Evento 
(2º Período)],tblEvento[],Tabelas!$D$1,FALSE)="Sim")),
        IF(JORNADA_PERIODO_2&lt;&gt;"",
IF(VLOOKUP(tblHorasNov[Dia],tblDiaUtil[[Abreviatura]:[2º Período]],4,FALSE)&gt;0,VLOOKUP(tblHorasNov[Dia],tblDiaUtil[[Abreviatura]:[2º Período]],4,FALSE),JORNADA_PERIODO_2),
IF(VLOOKUP(tblHorasNov[Dia],tblDiaUtil[[Abreviatura]:[2º Período]],4,FALSE)&gt;0,VLOOKUP(tblHorasNov[Dia],tblDiaUtil[[Abreviatura]:[2º Período]],4,FALSE),JORNADA/2)),
        IF(AND(ISNUMBER(tblHorasNov[Saída - 2]),ISNUMBER(tblHorasNov[Entrada - 2 (Almoço)])),
              IF(OR(AND(tblHorasNov[Evento 
(2º Período)]&lt;&gt;"",IF(ISERROR(VLOOKUP(tblHorasNov[Evento 
(2º Período)],tblEvento[],Tabelas!$E$1,FALSE)),FALSE,VLOOKUP(tblHorasNov[Evento 
(2º Período)],tblEvento[],Tabelas!$E$1,FALSE)="Sim")),IF(VLOOKUP(TEXT(tblHorasNov[Data],"dddd"),tblDiaUtil[],2,FALSE)="Não",TRUE,FALSE)),
                   tblHorasNov[Saída - 2]-tblHorasNov[Entrada - 2 (Almoço)],
                   IF(OR(HOUR(tblHorasNov[Saída - 2]-tblHorasNov[Entrada - 2 (Almoço)])&gt;0,MINUTE(tblHorasNov[Saída - 2]-tblHorasNov[Entrada - 2 (Almoço)])&gt;CARENCIA),
                         tblHorasNov[Saída - 2]-tblHorasNov[Entrada - 2 (Almoço)],
                         0)),
       0)),0)</f>
        <v>0</v>
      </c>
      <c r="L27" s="4">
        <f>tblHorasNov[Horas Trabalhadas (1º Período)]+tblHorasNov[Horas Trabalhadas (2º Período)]</f>
        <v>0</v>
      </c>
      <c r="M27" s="4" t="str">
        <f>IF(tblHorasNov[Data]&lt;&gt;"",
        IF(
AND(VLOOKUP(TEXT(tblHorasNov[Data],"dddd"),tblDiaUtil[],3,FALSE)="Sim",IF(tblHorasNov[Evento 
(1º Período)]&lt;&gt;"",IF(VLOOKUP(tblHorasNov[Evento 
(1º Período)],tblEvento[],Tabelas!$E$1,FALSE)="Sim",FALSE,TRUE),TRUE),IF(tblHorasNov[Evento 
(2º Período)]&lt;&gt;"",IF(VLOOKUP(tblHorasNov[Evento 
(2º Período)],tblEvento[],Tabelas!$E$1,FALSE)="Sim",FALSE,TRUE),TRUE)),
              IF(VLOOKUP(tblHorasNov[Dia],tblDiaUtil[[Abreviatura]:[1º Período]],3,FALSE)&gt;0,VLOOKUP(tblHorasNov[Dia],tblDiaUtil[[Abreviatura]:[1º Período]],3,FALSE),JORNADA),
              ""),
         "")</f>
        <v/>
      </c>
      <c r="N27" s="14">
        <f>IF(OR(tblHorasNov[Horas Trabalhadas (1º Período)]&lt;&gt;0,tblHorasNov[Horas Trabalhadas (2º Período)]&lt;&gt;0),
        IF(ISNUMBER(tblHorasNov[Jornada Diária]),
              IF(tblHorasNov[Jornada Diária]&gt;(tblHorasNov[Horas Trabalhadas (2º Período)]+tblHorasNov[Horas Trabalhadas (1º Período)]),
                     IF(ROUND((tblHorasNov[Jornada Diária]-(tblHorasNov[Horas Trabalhadas (2º Período)]+tblHorasNov[Horas Trabalhadas (1º Período)])),6)&gt;ROUND(CARENCIA,6),
                           -tblHorasNov[Jornada Diária]+(tblHorasNov[Horas Trabalhadas (2º Período)]+tblHorasNov[Horas Trabalhadas (1º Período)]),
                           0),
                      IF(ROUND((tblHorasNov[Jornada Diária]-(tblHorasNov[Horas Trabalhadas (2º Período)]+tblHorasNov[Horas Trabalhadas (1º Período)])),6)&lt;ROUND(-CARENCIA,6),
                           -tblHorasNov[Jornada Diária]+(tblHorasNov[Horas Trabalhadas (2º Período)]+tblHorasNov[Horas Trabalhadas (1º Período)]),
                           0)),
              tblHorasNov[Horas Trabalhadas (2º Período)]+tblHorasNov[Horas Trabalhadas (1º Período)]),
         IF(AND(IF(ISERROR(VLOOKUP(tblHorasNov[Evento 
(1º Período)],tblEvento[[Evento]:[Libera o Período]],4,FALSE)),FALSE,IF(VLOOKUP(tblHorasNov[Evento 
(1º Período)],tblEvento[[Evento]:[Libera o Período]],4,FALSE)="Não",TRUE,FALSE)),IF(ISERROR(VLOOKUP(tblHorasNov[Evento 
(2º Período)],tblEvento[[Evento]:[Libera o Período]],4,FALSE)),FALSE,IF(VLOOKUP(tblHorasNov[Evento 
(2º Período)],tblEvento[[Evento]:[Libera o Período]],4,FALSE)="Não",TRUE,FALSE))),
-IF(VLOOKUP(tblHorasNov[Dia],tblDiaUtil[[Abreviatura]:[Total Jornada]],5,FALSE)&lt;&gt;"",VLOOKUP(tblHorasNov[Dia],tblDiaUtil[[Abreviatura]:[Total Jornada]],5,FALSE),JORNADA),
IF(IF(ISERROR(VLOOKUP(tblHorasNov[Evento 
(1º Período)],tblEvento[[Evento]:[Libera o Período]],4,FALSE)),FALSE,
IF(VLOOKUP(tblHorasNov[Evento 
(1º Período)],tblEvento[[Evento]:[Libera o Período]],4,FALSE)="Não",TRUE,FALSE)
),
-IF(VLOOKUP(tblHorasNov[Dia],tblDiaUtil[[Abreviatura]:[1º Período]],3,FALSE)&lt;&gt;"",VLOOKUP(tblHorasNov[Dia],tblDiaUtil[[Abreviatura]:[1º Período]],3,FALSE),JORNADA_PERIODO_1),
IF(IF(ISERROR(VLOOKUP(tblHorasNov[Evento 
(2º Período)],tblEvento[[Evento]:[Libera o Período]],4,FALSE)),FALSE,IF(VLOOKUP(tblHorasNov[Evento 
(2º Período)],tblEvento[[Evento]:[Libera o Período]],4,FALSE)="Não",TRUE,FALSE)),
-IF(VLOOKUP(tblHorasNov[Dia],tblDiaUtil[[Abreviatura]:[2º Período]],4,FALSE)&lt;&gt;"",VLOOKUP(tblHorasNov[Dia],tblDiaUtil[[Abreviatura]:[2º Período]],4,FALSE),JORNADA_PERIODO_2),0))))</f>
        <v>0</v>
      </c>
      <c r="O27" s="14">
        <f>IF(tblHorasNov[Horas Trabalhadas Além Jornada]&gt;0,
        IF(ISNUMBER(tblHorasNov[Jornada Diária]),
              IF(HOUR(tblHorasNov[Horas Trabalhadas Além Jornada])&gt;=VLOOKUP(LIMITE,tblLimiteHora[],Tabelas!$I$1,FALSE),
                    VLOOKUP(LIMITE,tblLimiteHora[],Tabelas!$J$1,FALSE),
                    tblHorasNov[Horas Trabalhadas Além Jornada]),
              tblHorasNov[Horas Trabalhadas Além Jornada]),
        tblHorasNov[Horas Trabalhadas Além Jornada])+O26</f>
        <v>0</v>
      </c>
      <c r="P27" s="14" t="str">
        <f>IF(tblHorasNov[Horas Trabalhadas Além Jornada]&lt;0,IF(OR(tblHorasNov[Evento 
(1º Período)]="",tblHorasNov[Evento 
(2º Período)]=""),tblHorasNov[Horas Trabalhadas Além Jornada],""),"")</f>
        <v/>
      </c>
      <c r="Q27" s="14" t="str">
        <f>IF(tblHorasNov[Jornada Diária]&lt;&gt;"",IF((N(tblHorasNov[Jornada Diária])-ABS(N(tblHorasNov[Horas Trabalhadas Além Jornada])))=0,1,""),"")</f>
        <v/>
      </c>
      <c r="R27" s="14" t="str">
        <f>IF(tblHorasNov[Horas Trabalhadas Além Jornada]&gt;0,
IF(AND(VLOOKUP(TEXT(tblHorasNov[Data],"dddd"),tblDiaUtil[],3,FALSE)="Sim",IF(tblHorasNov[Evento 
(1º Período)]&lt;&gt;"",IF(VLOOKUP(tblHorasNov[Evento 
(1º Período)],tblEvento[],Tabelas!$E$1,FALSE)="Sim",FALSE,TRUE),TRUE),IF(tblHorasNov[Evento 
(2º Período)]&lt;&gt;"",IF(VLOOKUP(tblHorasNov[Evento 
(2º Período)],tblEvento[],Tabelas!$E$1,FALSE)="Sim",FALSE,TRUE),TRUE)),
tblHorasNov[Horas Trabalhadas Além Jornada],""),"")</f>
        <v/>
      </c>
      <c r="S27" s="14" t="str">
        <f>IF(tblHorasNov[Horas Trabalhadas Além Jornada]&gt;0,
IF(OR(VLOOKUP(TEXT(tblHorasNov[Data],"dddd"),tblDiaUtil[],3,FALSE)="Não",IF(tblHorasNov[Evento 
(1º Período)]&lt;&gt;"",IF(VLOOKUP(tblHorasNov[Evento 
(1º Período)],tblEvento[],Tabelas!$E$1,FALSE)="Sim",TRUE,FALSE),FALSE),IF(tblHorasNov[Evento 
(2º Período)]&lt;&gt;"",IF(VLOOKUP(tblHorasNov[Evento 
(2º Período)],tblEvento[],Tabelas!$E$1,FALSE)="Sim",TRUE,FALSE),FALSE)),
tblHorasNov[Horas Trabalhadas Além Jornada],""),"")</f>
        <v/>
      </c>
      <c r="T27" s="15" t="str">
        <f>IF(tblHorasNov[Evento 
(1º Período)]&lt;&gt;""," - " &amp;VLOOKUP(tblHorasNov[Evento 
(1º Período)],tblEvento[],Tabelas!$F$1,FALSE),"")&amp;IF(AND(tblHorasNov[Evento 
(2º Período)]&lt;&gt;"",tblHorasNov[Evento 
(2º Período)]&lt;&gt;tblHorasNov[Evento 
(1º Período)])," - " &amp; VLOOKUP(tblHorasNov[Evento 
(2º Período)],tblEvento[],Tabelas!$F$1,FALSE),"")</f>
        <v/>
      </c>
    </row>
    <row r="28" spans="2:20" x14ac:dyDescent="0.25">
      <c r="B28" s="11" t="str">
        <f t="shared" si="0"/>
        <v/>
      </c>
      <c r="C28" s="12" t="str">
        <f>TEXT(tblHorasNov[Data],"ddd")</f>
        <v/>
      </c>
      <c r="D28" s="25"/>
      <c r="E28" s="1"/>
      <c r="F28" s="1"/>
      <c r="G28" s="1"/>
      <c r="H28" s="1"/>
      <c r="I28" s="53"/>
      <c r="J28" s="4">
        <f>IF($B$6&lt;&gt;"",
IF(AND(tblHorasNov[Evento 
(1º Período)]&lt;&gt;"",IF(ISERROR(VLOOKUP(tblHorasNov[Evento 
(1º Período)],tblEvento[],Tabelas!$D$1,FALSE)),FALSE,VLOOKUP(tblHorasNov[Evento 
(1º Período)],tblEvento[],Tabelas!$D$1,FALSE)="Sim")),
        IF(JORNADA_PERIODO_1&lt;&gt;"",
IF(VLOOKUP(tblHorasNov[Dia],tblDiaUtil[[Abreviatura]:[1º Período]],3,FALSE)&gt;0,VLOOKUP(tblHorasNov[Dia],tblDiaUtil[[Abreviatura]:[1º Período]],3,FALSE),JORNADA_PERIODO_1),
IF(VLOOKUP(tblHorasNov[Dia],tblDiaUtil[[Abreviatura]:[1º Período]],3,FALSE)&gt;0,VLOOKUP(tblHorasNov[Dia],tblDiaUtil[[Abreviatura]:[1º Período]],3,FALSE),JORNADA/2)),
        IF(AND(ISNUMBER(tblHorasNov[Saída - 1 (Almoço)]),ISNUMBER(tblHorasNov[Entrada - 1])),
              IF(OR(AND(tblHorasNov[Evento 
(1º Período)]&lt;&gt;"",IF(ISERROR(VLOOKUP(tblHorasNov[Evento 
(1º Período)],tblEvento[],Tabelas!$E$1,FALSE)),FALSE,VLOOKUP(tblHorasNov[Evento 
(1º Período)],tblEvento[],Tabelas!$E$1,FALSE)="Sim")),IF(VLOOKUP(TEXT(tblHorasNov[Data],"dddd"),tblDiaUtil[],2,FALSE)="Não",TRUE,FALSE)),
                   tblHorasNov[Saída - 1 (Almoço)]-tblHorasNov[Entrada - 1],
                   IF(OR(HOUR(tblHorasNov[Saída - 1 (Almoço)]-tblHorasNov[Entrada - 1])&gt;0,ROUND(tblHorasNov[Saída - 1 (Almoço)]-tblHorasNov[Entrada - 1],6)&gt;ROUND(CARENCIA,6)),
                          tblHorasNov[Saída - 1 (Almoço)]-tblHorasNov[Entrada - 1],
                          0)),
                    0)),0)</f>
        <v>0</v>
      </c>
      <c r="K28" s="4">
        <f>IF($B$6&lt;&gt;"",
IF(AND(tblHorasNov[Evento 
(2º Período)]&lt;&gt;"",IF(ISERROR(VLOOKUP(tblHorasNov[Evento 
(2º Período)],tblEvento[],Tabelas!$D$1,FALSE)),FALSE,VLOOKUP(tblHorasNov[Evento 
(2º Período)],tblEvento[],Tabelas!$D$1,FALSE)="Sim")),
        IF(JORNADA_PERIODO_2&lt;&gt;"",
IF(VLOOKUP(tblHorasNov[Dia],tblDiaUtil[[Abreviatura]:[2º Período]],4,FALSE)&gt;0,VLOOKUP(tblHorasNov[Dia],tblDiaUtil[[Abreviatura]:[2º Período]],4,FALSE),JORNADA_PERIODO_2),
IF(VLOOKUP(tblHorasNov[Dia],tblDiaUtil[[Abreviatura]:[2º Período]],4,FALSE)&gt;0,VLOOKUP(tblHorasNov[Dia],tblDiaUtil[[Abreviatura]:[2º Período]],4,FALSE),JORNADA/2)),
        IF(AND(ISNUMBER(tblHorasNov[Saída - 2]),ISNUMBER(tblHorasNov[Entrada - 2 (Almoço)])),
              IF(OR(AND(tblHorasNov[Evento 
(2º Período)]&lt;&gt;"",IF(ISERROR(VLOOKUP(tblHorasNov[Evento 
(2º Período)],tblEvento[],Tabelas!$E$1,FALSE)),FALSE,VLOOKUP(tblHorasNov[Evento 
(2º Período)],tblEvento[],Tabelas!$E$1,FALSE)="Sim")),IF(VLOOKUP(TEXT(tblHorasNov[Data],"dddd"),tblDiaUtil[],2,FALSE)="Não",TRUE,FALSE)),
                   tblHorasNov[Saída - 2]-tblHorasNov[Entrada - 2 (Almoço)],
                   IF(OR(HOUR(tblHorasNov[Saída - 2]-tblHorasNov[Entrada - 2 (Almoço)])&gt;0,MINUTE(tblHorasNov[Saída - 2]-tblHorasNov[Entrada - 2 (Almoço)])&gt;CARENCIA),
                         tblHorasNov[Saída - 2]-tblHorasNov[Entrada - 2 (Almoço)],
                         0)),
       0)),0)</f>
        <v>0</v>
      </c>
      <c r="L28" s="4">
        <f>tblHorasNov[Horas Trabalhadas (1º Período)]+tblHorasNov[Horas Trabalhadas (2º Período)]</f>
        <v>0</v>
      </c>
      <c r="M28" s="4" t="str">
        <f>IF(tblHorasNov[Data]&lt;&gt;"",
        IF(
AND(VLOOKUP(TEXT(tblHorasNov[Data],"dddd"),tblDiaUtil[],3,FALSE)="Sim",IF(tblHorasNov[Evento 
(1º Período)]&lt;&gt;"",IF(VLOOKUP(tblHorasNov[Evento 
(1º Período)],tblEvento[],Tabelas!$E$1,FALSE)="Sim",FALSE,TRUE),TRUE),IF(tblHorasNov[Evento 
(2º Período)]&lt;&gt;"",IF(VLOOKUP(tblHorasNov[Evento 
(2º Período)],tblEvento[],Tabelas!$E$1,FALSE)="Sim",FALSE,TRUE),TRUE)),
              IF(VLOOKUP(tblHorasNov[Dia],tblDiaUtil[[Abreviatura]:[1º Período]],3,FALSE)&gt;0,VLOOKUP(tblHorasNov[Dia],tblDiaUtil[[Abreviatura]:[1º Período]],3,FALSE),JORNADA),
              ""),
         "")</f>
        <v/>
      </c>
      <c r="N28" s="14">
        <f>IF(OR(tblHorasNov[Horas Trabalhadas (1º Período)]&lt;&gt;0,tblHorasNov[Horas Trabalhadas (2º Período)]&lt;&gt;0),
        IF(ISNUMBER(tblHorasNov[Jornada Diária]),
              IF(tblHorasNov[Jornada Diária]&gt;(tblHorasNov[Horas Trabalhadas (2º Período)]+tblHorasNov[Horas Trabalhadas (1º Período)]),
                     IF(ROUND((tblHorasNov[Jornada Diária]-(tblHorasNov[Horas Trabalhadas (2º Período)]+tblHorasNov[Horas Trabalhadas (1º Período)])),6)&gt;ROUND(CARENCIA,6),
                           -tblHorasNov[Jornada Diária]+(tblHorasNov[Horas Trabalhadas (2º Período)]+tblHorasNov[Horas Trabalhadas (1º Período)]),
                           0),
                      IF(ROUND((tblHorasNov[Jornada Diária]-(tblHorasNov[Horas Trabalhadas (2º Período)]+tblHorasNov[Horas Trabalhadas (1º Período)])),6)&lt;ROUND(-CARENCIA,6),
                           -tblHorasNov[Jornada Diária]+(tblHorasNov[Horas Trabalhadas (2º Período)]+tblHorasNov[Horas Trabalhadas (1º Período)]),
                           0)),
              tblHorasNov[Horas Trabalhadas (2º Período)]+tblHorasNov[Horas Trabalhadas (1º Período)]),
         IF(AND(IF(ISERROR(VLOOKUP(tblHorasNov[Evento 
(1º Período)],tblEvento[[Evento]:[Libera o Período]],4,FALSE)),FALSE,IF(VLOOKUP(tblHorasNov[Evento 
(1º Período)],tblEvento[[Evento]:[Libera o Período]],4,FALSE)="Não",TRUE,FALSE)),IF(ISERROR(VLOOKUP(tblHorasNov[Evento 
(2º Período)],tblEvento[[Evento]:[Libera o Período]],4,FALSE)),FALSE,IF(VLOOKUP(tblHorasNov[Evento 
(2º Período)],tblEvento[[Evento]:[Libera o Período]],4,FALSE)="Não",TRUE,FALSE))),
-IF(VLOOKUP(tblHorasNov[Dia],tblDiaUtil[[Abreviatura]:[Total Jornada]],5,FALSE)&lt;&gt;"",VLOOKUP(tblHorasNov[Dia],tblDiaUtil[[Abreviatura]:[Total Jornada]],5,FALSE),JORNADA),
IF(IF(ISERROR(VLOOKUP(tblHorasNov[Evento 
(1º Período)],tblEvento[[Evento]:[Libera o Período]],4,FALSE)),FALSE,
IF(VLOOKUP(tblHorasNov[Evento 
(1º Período)],tblEvento[[Evento]:[Libera o Período]],4,FALSE)="Não",TRUE,FALSE)
),
-IF(VLOOKUP(tblHorasNov[Dia],tblDiaUtil[[Abreviatura]:[1º Período]],3,FALSE)&lt;&gt;"",VLOOKUP(tblHorasNov[Dia],tblDiaUtil[[Abreviatura]:[1º Período]],3,FALSE),JORNADA_PERIODO_1),
IF(IF(ISERROR(VLOOKUP(tblHorasNov[Evento 
(2º Período)],tblEvento[[Evento]:[Libera o Período]],4,FALSE)),FALSE,IF(VLOOKUP(tblHorasNov[Evento 
(2º Período)],tblEvento[[Evento]:[Libera o Período]],4,FALSE)="Não",TRUE,FALSE)),
-IF(VLOOKUP(tblHorasNov[Dia],tblDiaUtil[[Abreviatura]:[2º Período]],4,FALSE)&lt;&gt;"",VLOOKUP(tblHorasNov[Dia],tblDiaUtil[[Abreviatura]:[2º Período]],4,FALSE),JORNADA_PERIODO_2),0))))</f>
        <v>0</v>
      </c>
      <c r="O28" s="14">
        <f>IF(tblHorasNov[Horas Trabalhadas Além Jornada]&gt;0,
        IF(ISNUMBER(tblHorasNov[Jornada Diária]),
              IF(HOUR(tblHorasNov[Horas Trabalhadas Além Jornada])&gt;=VLOOKUP(LIMITE,tblLimiteHora[],Tabelas!$I$1,FALSE),
                    VLOOKUP(LIMITE,tblLimiteHora[],Tabelas!$J$1,FALSE),
                    tblHorasNov[Horas Trabalhadas Além Jornada]),
              tblHorasNov[Horas Trabalhadas Além Jornada]),
        tblHorasNov[Horas Trabalhadas Além Jornada])+O27</f>
        <v>0</v>
      </c>
      <c r="P28" s="14" t="str">
        <f>IF(tblHorasNov[Horas Trabalhadas Além Jornada]&lt;0,IF(OR(tblHorasNov[Evento 
(1º Período)]="",tblHorasNov[Evento 
(2º Período)]=""),tblHorasNov[Horas Trabalhadas Além Jornada],""),"")</f>
        <v/>
      </c>
      <c r="Q28" s="14" t="str">
        <f>IF(tblHorasNov[Jornada Diária]&lt;&gt;"",IF((N(tblHorasNov[Jornada Diária])-ABS(N(tblHorasNov[Horas Trabalhadas Além Jornada])))=0,1,""),"")</f>
        <v/>
      </c>
      <c r="R28" s="14" t="str">
        <f>IF(tblHorasNov[Horas Trabalhadas Além Jornada]&gt;0,
IF(AND(VLOOKUP(TEXT(tblHorasNov[Data],"dddd"),tblDiaUtil[],3,FALSE)="Sim",IF(tblHorasNov[Evento 
(1º Período)]&lt;&gt;"",IF(VLOOKUP(tblHorasNov[Evento 
(1º Período)],tblEvento[],Tabelas!$E$1,FALSE)="Sim",FALSE,TRUE),TRUE),IF(tblHorasNov[Evento 
(2º Período)]&lt;&gt;"",IF(VLOOKUP(tblHorasNov[Evento 
(2º Período)],tblEvento[],Tabelas!$E$1,FALSE)="Sim",FALSE,TRUE),TRUE)),
tblHorasNov[Horas Trabalhadas Além Jornada],""),"")</f>
        <v/>
      </c>
      <c r="S28" s="14" t="str">
        <f>IF(tblHorasNov[Horas Trabalhadas Além Jornada]&gt;0,
IF(OR(VLOOKUP(TEXT(tblHorasNov[Data],"dddd"),tblDiaUtil[],3,FALSE)="Não",IF(tblHorasNov[Evento 
(1º Período)]&lt;&gt;"",IF(VLOOKUP(tblHorasNov[Evento 
(1º Período)],tblEvento[],Tabelas!$E$1,FALSE)="Sim",TRUE,FALSE),FALSE),IF(tblHorasNov[Evento 
(2º Período)]&lt;&gt;"",IF(VLOOKUP(tblHorasNov[Evento 
(2º Período)],tblEvento[],Tabelas!$E$1,FALSE)="Sim",TRUE,FALSE),FALSE)),
tblHorasNov[Horas Trabalhadas Além Jornada],""),"")</f>
        <v/>
      </c>
      <c r="T28" s="15" t="str">
        <f>IF(tblHorasNov[Evento 
(1º Período)]&lt;&gt;""," - " &amp;VLOOKUP(tblHorasNov[Evento 
(1º Período)],tblEvento[],Tabelas!$F$1,FALSE),"")&amp;IF(AND(tblHorasNov[Evento 
(2º Período)]&lt;&gt;"",tblHorasNov[Evento 
(2º Período)]&lt;&gt;tblHorasNov[Evento 
(1º Período)])," - " &amp; VLOOKUP(tblHorasNov[Evento 
(2º Período)],tblEvento[],Tabelas!$F$1,FALSE),"")</f>
        <v/>
      </c>
    </row>
    <row r="29" spans="2:20" x14ac:dyDescent="0.25">
      <c r="B29" s="11" t="str">
        <f t="shared" si="0"/>
        <v/>
      </c>
      <c r="C29" s="12" t="str">
        <f>TEXT(tblHorasNov[Data],"ddd")</f>
        <v/>
      </c>
      <c r="D29" s="25"/>
      <c r="E29" s="1"/>
      <c r="F29" s="1"/>
      <c r="G29" s="1"/>
      <c r="H29" s="1"/>
      <c r="I29" s="53"/>
      <c r="J29" s="4">
        <f>IF($B$6&lt;&gt;"",
IF(AND(tblHorasNov[Evento 
(1º Período)]&lt;&gt;"",IF(ISERROR(VLOOKUP(tblHorasNov[Evento 
(1º Período)],tblEvento[],Tabelas!$D$1,FALSE)),FALSE,VLOOKUP(tblHorasNov[Evento 
(1º Período)],tblEvento[],Tabelas!$D$1,FALSE)="Sim")),
        IF(JORNADA_PERIODO_1&lt;&gt;"",
IF(VLOOKUP(tblHorasNov[Dia],tblDiaUtil[[Abreviatura]:[1º Período]],3,FALSE)&gt;0,VLOOKUP(tblHorasNov[Dia],tblDiaUtil[[Abreviatura]:[1º Período]],3,FALSE),JORNADA_PERIODO_1),
IF(VLOOKUP(tblHorasNov[Dia],tblDiaUtil[[Abreviatura]:[1º Período]],3,FALSE)&gt;0,VLOOKUP(tblHorasNov[Dia],tblDiaUtil[[Abreviatura]:[1º Período]],3,FALSE),JORNADA/2)),
        IF(AND(ISNUMBER(tblHorasNov[Saída - 1 (Almoço)]),ISNUMBER(tblHorasNov[Entrada - 1])),
              IF(OR(AND(tblHorasNov[Evento 
(1º Período)]&lt;&gt;"",IF(ISERROR(VLOOKUP(tblHorasNov[Evento 
(1º Período)],tblEvento[],Tabelas!$E$1,FALSE)),FALSE,VLOOKUP(tblHorasNov[Evento 
(1º Período)],tblEvento[],Tabelas!$E$1,FALSE)="Sim")),IF(VLOOKUP(TEXT(tblHorasNov[Data],"dddd"),tblDiaUtil[],2,FALSE)="Não",TRUE,FALSE)),
                   tblHorasNov[Saída - 1 (Almoço)]-tblHorasNov[Entrada - 1],
                   IF(OR(HOUR(tblHorasNov[Saída - 1 (Almoço)]-tblHorasNov[Entrada - 1])&gt;0,ROUND(tblHorasNov[Saída - 1 (Almoço)]-tblHorasNov[Entrada - 1],6)&gt;ROUND(CARENCIA,6)),
                          tblHorasNov[Saída - 1 (Almoço)]-tblHorasNov[Entrada - 1],
                          0)),
                    0)),0)</f>
        <v>0</v>
      </c>
      <c r="K29" s="4">
        <f>IF($B$6&lt;&gt;"",
IF(AND(tblHorasNov[Evento 
(2º Período)]&lt;&gt;"",IF(ISERROR(VLOOKUP(tblHorasNov[Evento 
(2º Período)],tblEvento[],Tabelas!$D$1,FALSE)),FALSE,VLOOKUP(tblHorasNov[Evento 
(2º Período)],tblEvento[],Tabelas!$D$1,FALSE)="Sim")),
        IF(JORNADA_PERIODO_2&lt;&gt;"",
IF(VLOOKUP(tblHorasNov[Dia],tblDiaUtil[[Abreviatura]:[2º Período]],4,FALSE)&gt;0,VLOOKUP(tblHorasNov[Dia],tblDiaUtil[[Abreviatura]:[2º Período]],4,FALSE),JORNADA_PERIODO_2),
IF(VLOOKUP(tblHorasNov[Dia],tblDiaUtil[[Abreviatura]:[2º Período]],4,FALSE)&gt;0,VLOOKUP(tblHorasNov[Dia],tblDiaUtil[[Abreviatura]:[2º Período]],4,FALSE),JORNADA/2)),
        IF(AND(ISNUMBER(tblHorasNov[Saída - 2]),ISNUMBER(tblHorasNov[Entrada - 2 (Almoço)])),
              IF(OR(AND(tblHorasNov[Evento 
(2º Período)]&lt;&gt;"",IF(ISERROR(VLOOKUP(tblHorasNov[Evento 
(2º Período)],tblEvento[],Tabelas!$E$1,FALSE)),FALSE,VLOOKUP(tblHorasNov[Evento 
(2º Período)],tblEvento[],Tabelas!$E$1,FALSE)="Sim")),IF(VLOOKUP(TEXT(tblHorasNov[Data],"dddd"),tblDiaUtil[],2,FALSE)="Não",TRUE,FALSE)),
                   tblHorasNov[Saída - 2]-tblHorasNov[Entrada - 2 (Almoço)],
                   IF(OR(HOUR(tblHorasNov[Saída - 2]-tblHorasNov[Entrada - 2 (Almoço)])&gt;0,MINUTE(tblHorasNov[Saída - 2]-tblHorasNov[Entrada - 2 (Almoço)])&gt;CARENCIA),
                         tblHorasNov[Saída - 2]-tblHorasNov[Entrada - 2 (Almoço)],
                         0)),
       0)),0)</f>
        <v>0</v>
      </c>
      <c r="L29" s="4">
        <f>tblHorasNov[Horas Trabalhadas (1º Período)]+tblHorasNov[Horas Trabalhadas (2º Período)]</f>
        <v>0</v>
      </c>
      <c r="M29" s="4" t="str">
        <f>IF(tblHorasNov[Data]&lt;&gt;"",
        IF(
AND(VLOOKUP(TEXT(tblHorasNov[Data],"dddd"),tblDiaUtil[],3,FALSE)="Sim",IF(tblHorasNov[Evento 
(1º Período)]&lt;&gt;"",IF(VLOOKUP(tblHorasNov[Evento 
(1º Período)],tblEvento[],Tabelas!$E$1,FALSE)="Sim",FALSE,TRUE),TRUE),IF(tblHorasNov[Evento 
(2º Período)]&lt;&gt;"",IF(VLOOKUP(tblHorasNov[Evento 
(2º Período)],tblEvento[],Tabelas!$E$1,FALSE)="Sim",FALSE,TRUE),TRUE)),
              IF(VLOOKUP(tblHorasNov[Dia],tblDiaUtil[[Abreviatura]:[1º Período]],3,FALSE)&gt;0,VLOOKUP(tblHorasNov[Dia],tblDiaUtil[[Abreviatura]:[1º Período]],3,FALSE),JORNADA),
              ""),
         "")</f>
        <v/>
      </c>
      <c r="N29" s="14">
        <f>IF(OR(tblHorasNov[Horas Trabalhadas (1º Período)]&lt;&gt;0,tblHorasNov[Horas Trabalhadas (2º Período)]&lt;&gt;0),
        IF(ISNUMBER(tblHorasNov[Jornada Diária]),
              IF(tblHorasNov[Jornada Diária]&gt;(tblHorasNov[Horas Trabalhadas (2º Período)]+tblHorasNov[Horas Trabalhadas (1º Período)]),
                     IF(ROUND((tblHorasNov[Jornada Diária]-(tblHorasNov[Horas Trabalhadas (2º Período)]+tblHorasNov[Horas Trabalhadas (1º Período)])),6)&gt;ROUND(CARENCIA,6),
                           -tblHorasNov[Jornada Diária]+(tblHorasNov[Horas Trabalhadas (2º Período)]+tblHorasNov[Horas Trabalhadas (1º Período)]),
                           0),
                      IF(ROUND((tblHorasNov[Jornada Diária]-(tblHorasNov[Horas Trabalhadas (2º Período)]+tblHorasNov[Horas Trabalhadas (1º Período)])),6)&lt;ROUND(-CARENCIA,6),
                           -tblHorasNov[Jornada Diária]+(tblHorasNov[Horas Trabalhadas (2º Período)]+tblHorasNov[Horas Trabalhadas (1º Período)]),
                           0)),
              tblHorasNov[Horas Trabalhadas (2º Período)]+tblHorasNov[Horas Trabalhadas (1º Período)]),
         IF(AND(IF(ISERROR(VLOOKUP(tblHorasNov[Evento 
(1º Período)],tblEvento[[Evento]:[Libera o Período]],4,FALSE)),FALSE,IF(VLOOKUP(tblHorasNov[Evento 
(1º Período)],tblEvento[[Evento]:[Libera o Período]],4,FALSE)="Não",TRUE,FALSE)),IF(ISERROR(VLOOKUP(tblHorasNov[Evento 
(2º Período)],tblEvento[[Evento]:[Libera o Período]],4,FALSE)),FALSE,IF(VLOOKUP(tblHorasNov[Evento 
(2º Período)],tblEvento[[Evento]:[Libera o Período]],4,FALSE)="Não",TRUE,FALSE))),
-IF(VLOOKUP(tblHorasNov[Dia],tblDiaUtil[[Abreviatura]:[Total Jornada]],5,FALSE)&lt;&gt;"",VLOOKUP(tblHorasNov[Dia],tblDiaUtil[[Abreviatura]:[Total Jornada]],5,FALSE),JORNADA),
IF(IF(ISERROR(VLOOKUP(tblHorasNov[Evento 
(1º Período)],tblEvento[[Evento]:[Libera o Período]],4,FALSE)),FALSE,
IF(VLOOKUP(tblHorasNov[Evento 
(1º Período)],tblEvento[[Evento]:[Libera o Período]],4,FALSE)="Não",TRUE,FALSE)
),
-IF(VLOOKUP(tblHorasNov[Dia],tblDiaUtil[[Abreviatura]:[1º Período]],3,FALSE)&lt;&gt;"",VLOOKUP(tblHorasNov[Dia],tblDiaUtil[[Abreviatura]:[1º Período]],3,FALSE),JORNADA_PERIODO_1),
IF(IF(ISERROR(VLOOKUP(tblHorasNov[Evento 
(2º Período)],tblEvento[[Evento]:[Libera o Período]],4,FALSE)),FALSE,IF(VLOOKUP(tblHorasNov[Evento 
(2º Período)],tblEvento[[Evento]:[Libera o Período]],4,FALSE)="Não",TRUE,FALSE)),
-IF(VLOOKUP(tblHorasNov[Dia],tblDiaUtil[[Abreviatura]:[2º Período]],4,FALSE)&lt;&gt;"",VLOOKUP(tblHorasNov[Dia],tblDiaUtil[[Abreviatura]:[2º Período]],4,FALSE),JORNADA_PERIODO_2),0))))</f>
        <v>0</v>
      </c>
      <c r="O29" s="14">
        <f>IF(tblHorasNov[Horas Trabalhadas Além Jornada]&gt;0,
        IF(ISNUMBER(tblHorasNov[Jornada Diária]),
              IF(HOUR(tblHorasNov[Horas Trabalhadas Além Jornada])&gt;=VLOOKUP(LIMITE,tblLimiteHora[],Tabelas!$I$1,FALSE),
                    VLOOKUP(LIMITE,tblLimiteHora[],Tabelas!$J$1,FALSE),
                    tblHorasNov[Horas Trabalhadas Além Jornada]),
              tblHorasNov[Horas Trabalhadas Além Jornada]),
        tblHorasNov[Horas Trabalhadas Além Jornada])+O28</f>
        <v>0</v>
      </c>
      <c r="P29" s="14" t="str">
        <f>IF(tblHorasNov[Horas Trabalhadas Além Jornada]&lt;0,IF(OR(tblHorasNov[Evento 
(1º Período)]="",tblHorasNov[Evento 
(2º Período)]=""),tblHorasNov[Horas Trabalhadas Além Jornada],""),"")</f>
        <v/>
      </c>
      <c r="Q29" s="14" t="str">
        <f>IF(tblHorasNov[Jornada Diária]&lt;&gt;"",IF((N(tblHorasNov[Jornada Diária])-ABS(N(tblHorasNov[Horas Trabalhadas Além Jornada])))=0,1,""),"")</f>
        <v/>
      </c>
      <c r="R29" s="14" t="str">
        <f>IF(tblHorasNov[Horas Trabalhadas Além Jornada]&gt;0,
IF(AND(VLOOKUP(TEXT(tblHorasNov[Data],"dddd"),tblDiaUtil[],3,FALSE)="Sim",IF(tblHorasNov[Evento 
(1º Período)]&lt;&gt;"",IF(VLOOKUP(tblHorasNov[Evento 
(1º Período)],tblEvento[],Tabelas!$E$1,FALSE)="Sim",FALSE,TRUE),TRUE),IF(tblHorasNov[Evento 
(2º Período)]&lt;&gt;"",IF(VLOOKUP(tblHorasNov[Evento 
(2º Período)],tblEvento[],Tabelas!$E$1,FALSE)="Sim",FALSE,TRUE),TRUE)),
tblHorasNov[Horas Trabalhadas Além Jornada],""),"")</f>
        <v/>
      </c>
      <c r="S29" s="14" t="str">
        <f>IF(tblHorasNov[Horas Trabalhadas Além Jornada]&gt;0,
IF(OR(VLOOKUP(TEXT(tblHorasNov[Data],"dddd"),tblDiaUtil[],3,FALSE)="Não",IF(tblHorasNov[Evento 
(1º Período)]&lt;&gt;"",IF(VLOOKUP(tblHorasNov[Evento 
(1º Período)],tblEvento[],Tabelas!$E$1,FALSE)="Sim",TRUE,FALSE),FALSE),IF(tblHorasNov[Evento 
(2º Período)]&lt;&gt;"",IF(VLOOKUP(tblHorasNov[Evento 
(2º Período)],tblEvento[],Tabelas!$E$1,FALSE)="Sim",TRUE,FALSE),FALSE)),
tblHorasNov[Horas Trabalhadas Além Jornada],""),"")</f>
        <v/>
      </c>
      <c r="T29" s="15" t="str">
        <f>IF(tblHorasNov[Evento 
(1º Período)]&lt;&gt;""," - " &amp;VLOOKUP(tblHorasNov[Evento 
(1º Período)],tblEvento[],Tabelas!$F$1,FALSE),"")&amp;IF(AND(tblHorasNov[Evento 
(2º Período)]&lt;&gt;"",tblHorasNov[Evento 
(2º Período)]&lt;&gt;tblHorasNov[Evento 
(1º Período)])," - " &amp; VLOOKUP(tblHorasNov[Evento 
(2º Período)],tblEvento[],Tabelas!$F$1,FALSE),"")</f>
        <v/>
      </c>
    </row>
    <row r="30" spans="2:20" x14ac:dyDescent="0.25">
      <c r="B30" s="11" t="str">
        <f t="shared" si="0"/>
        <v/>
      </c>
      <c r="C30" s="12" t="str">
        <f>TEXT(tblHorasNov[Data],"ddd")</f>
        <v/>
      </c>
      <c r="D30" s="25"/>
      <c r="E30" s="1"/>
      <c r="F30" s="1"/>
      <c r="G30" s="1"/>
      <c r="H30" s="1"/>
      <c r="I30" s="53"/>
      <c r="J30" s="4">
        <f>IF($B$6&lt;&gt;"",
IF(AND(tblHorasNov[Evento 
(1º Período)]&lt;&gt;"",IF(ISERROR(VLOOKUP(tblHorasNov[Evento 
(1º Período)],tblEvento[],Tabelas!$D$1,FALSE)),FALSE,VLOOKUP(tblHorasNov[Evento 
(1º Período)],tblEvento[],Tabelas!$D$1,FALSE)="Sim")),
        IF(JORNADA_PERIODO_1&lt;&gt;"",
IF(VLOOKUP(tblHorasNov[Dia],tblDiaUtil[[Abreviatura]:[1º Período]],3,FALSE)&gt;0,VLOOKUP(tblHorasNov[Dia],tblDiaUtil[[Abreviatura]:[1º Período]],3,FALSE),JORNADA_PERIODO_1),
IF(VLOOKUP(tblHorasNov[Dia],tblDiaUtil[[Abreviatura]:[1º Período]],3,FALSE)&gt;0,VLOOKUP(tblHorasNov[Dia],tblDiaUtil[[Abreviatura]:[1º Período]],3,FALSE),JORNADA/2)),
        IF(AND(ISNUMBER(tblHorasNov[Saída - 1 (Almoço)]),ISNUMBER(tblHorasNov[Entrada - 1])),
              IF(OR(AND(tblHorasNov[Evento 
(1º Período)]&lt;&gt;"",IF(ISERROR(VLOOKUP(tblHorasNov[Evento 
(1º Período)],tblEvento[],Tabelas!$E$1,FALSE)),FALSE,VLOOKUP(tblHorasNov[Evento 
(1º Período)],tblEvento[],Tabelas!$E$1,FALSE)="Sim")),IF(VLOOKUP(TEXT(tblHorasNov[Data],"dddd"),tblDiaUtil[],2,FALSE)="Não",TRUE,FALSE)),
                   tblHorasNov[Saída - 1 (Almoço)]-tblHorasNov[Entrada - 1],
                   IF(OR(HOUR(tblHorasNov[Saída - 1 (Almoço)]-tblHorasNov[Entrada - 1])&gt;0,ROUND(tblHorasNov[Saída - 1 (Almoço)]-tblHorasNov[Entrada - 1],6)&gt;ROUND(CARENCIA,6)),
                          tblHorasNov[Saída - 1 (Almoço)]-tblHorasNov[Entrada - 1],
                          0)),
                    0)),0)</f>
        <v>0</v>
      </c>
      <c r="K30" s="4">
        <f>IF($B$6&lt;&gt;"",
IF(AND(tblHorasNov[Evento 
(2º Período)]&lt;&gt;"",IF(ISERROR(VLOOKUP(tblHorasNov[Evento 
(2º Período)],tblEvento[],Tabelas!$D$1,FALSE)),FALSE,VLOOKUP(tblHorasNov[Evento 
(2º Período)],tblEvento[],Tabelas!$D$1,FALSE)="Sim")),
        IF(JORNADA_PERIODO_2&lt;&gt;"",
IF(VLOOKUP(tblHorasNov[Dia],tblDiaUtil[[Abreviatura]:[2º Período]],4,FALSE)&gt;0,VLOOKUP(tblHorasNov[Dia],tblDiaUtil[[Abreviatura]:[2º Período]],4,FALSE),JORNADA_PERIODO_2),
IF(VLOOKUP(tblHorasNov[Dia],tblDiaUtil[[Abreviatura]:[2º Período]],4,FALSE)&gt;0,VLOOKUP(tblHorasNov[Dia],tblDiaUtil[[Abreviatura]:[2º Período]],4,FALSE),JORNADA/2)),
        IF(AND(ISNUMBER(tblHorasNov[Saída - 2]),ISNUMBER(tblHorasNov[Entrada - 2 (Almoço)])),
              IF(OR(AND(tblHorasNov[Evento 
(2º Período)]&lt;&gt;"",IF(ISERROR(VLOOKUP(tblHorasNov[Evento 
(2º Período)],tblEvento[],Tabelas!$E$1,FALSE)),FALSE,VLOOKUP(tblHorasNov[Evento 
(2º Período)],tblEvento[],Tabelas!$E$1,FALSE)="Sim")),IF(VLOOKUP(TEXT(tblHorasNov[Data],"dddd"),tblDiaUtil[],2,FALSE)="Não",TRUE,FALSE)),
                   tblHorasNov[Saída - 2]-tblHorasNov[Entrada - 2 (Almoço)],
                   IF(OR(HOUR(tblHorasNov[Saída - 2]-tblHorasNov[Entrada - 2 (Almoço)])&gt;0,MINUTE(tblHorasNov[Saída - 2]-tblHorasNov[Entrada - 2 (Almoço)])&gt;CARENCIA),
                         tblHorasNov[Saída - 2]-tblHorasNov[Entrada - 2 (Almoço)],
                         0)),
       0)),0)</f>
        <v>0</v>
      </c>
      <c r="L30" s="4">
        <f>tblHorasNov[Horas Trabalhadas (1º Período)]+tblHorasNov[Horas Trabalhadas (2º Período)]</f>
        <v>0</v>
      </c>
      <c r="M30" s="4" t="str">
        <f>IF(tblHorasNov[Data]&lt;&gt;"",
        IF(
AND(VLOOKUP(TEXT(tblHorasNov[Data],"dddd"),tblDiaUtil[],3,FALSE)="Sim",IF(tblHorasNov[Evento 
(1º Período)]&lt;&gt;"",IF(VLOOKUP(tblHorasNov[Evento 
(1º Período)],tblEvento[],Tabelas!$E$1,FALSE)="Sim",FALSE,TRUE),TRUE),IF(tblHorasNov[Evento 
(2º Período)]&lt;&gt;"",IF(VLOOKUP(tblHorasNov[Evento 
(2º Período)],tblEvento[],Tabelas!$E$1,FALSE)="Sim",FALSE,TRUE),TRUE)),
              IF(VLOOKUP(tblHorasNov[Dia],tblDiaUtil[[Abreviatura]:[1º Período]],3,FALSE)&gt;0,VLOOKUP(tblHorasNov[Dia],tblDiaUtil[[Abreviatura]:[1º Período]],3,FALSE),JORNADA),
              ""),
         "")</f>
        <v/>
      </c>
      <c r="N30" s="14">
        <f>IF(OR(tblHorasNov[Horas Trabalhadas (1º Período)]&lt;&gt;0,tblHorasNov[Horas Trabalhadas (2º Período)]&lt;&gt;0),
        IF(ISNUMBER(tblHorasNov[Jornada Diária]),
              IF(tblHorasNov[Jornada Diária]&gt;(tblHorasNov[Horas Trabalhadas (2º Período)]+tblHorasNov[Horas Trabalhadas (1º Período)]),
                     IF(ROUND((tblHorasNov[Jornada Diária]-(tblHorasNov[Horas Trabalhadas (2º Período)]+tblHorasNov[Horas Trabalhadas (1º Período)])),6)&gt;ROUND(CARENCIA,6),
                           -tblHorasNov[Jornada Diária]+(tblHorasNov[Horas Trabalhadas (2º Período)]+tblHorasNov[Horas Trabalhadas (1º Período)]),
                           0),
                      IF(ROUND((tblHorasNov[Jornada Diária]-(tblHorasNov[Horas Trabalhadas (2º Período)]+tblHorasNov[Horas Trabalhadas (1º Período)])),6)&lt;ROUND(-CARENCIA,6),
                           -tblHorasNov[Jornada Diária]+(tblHorasNov[Horas Trabalhadas (2º Período)]+tblHorasNov[Horas Trabalhadas (1º Período)]),
                           0)),
              tblHorasNov[Horas Trabalhadas (2º Período)]+tblHorasNov[Horas Trabalhadas (1º Período)]),
         IF(AND(IF(ISERROR(VLOOKUP(tblHorasNov[Evento 
(1º Período)],tblEvento[[Evento]:[Libera o Período]],4,FALSE)),FALSE,IF(VLOOKUP(tblHorasNov[Evento 
(1º Período)],tblEvento[[Evento]:[Libera o Período]],4,FALSE)="Não",TRUE,FALSE)),IF(ISERROR(VLOOKUP(tblHorasNov[Evento 
(2º Período)],tblEvento[[Evento]:[Libera o Período]],4,FALSE)),FALSE,IF(VLOOKUP(tblHorasNov[Evento 
(2º Período)],tblEvento[[Evento]:[Libera o Período]],4,FALSE)="Não",TRUE,FALSE))),
-IF(VLOOKUP(tblHorasNov[Dia],tblDiaUtil[[Abreviatura]:[Total Jornada]],5,FALSE)&lt;&gt;"",VLOOKUP(tblHorasNov[Dia],tblDiaUtil[[Abreviatura]:[Total Jornada]],5,FALSE),JORNADA),
IF(IF(ISERROR(VLOOKUP(tblHorasNov[Evento 
(1º Período)],tblEvento[[Evento]:[Libera o Período]],4,FALSE)),FALSE,
IF(VLOOKUP(tblHorasNov[Evento 
(1º Período)],tblEvento[[Evento]:[Libera o Período]],4,FALSE)="Não",TRUE,FALSE)
),
-IF(VLOOKUP(tblHorasNov[Dia],tblDiaUtil[[Abreviatura]:[1º Período]],3,FALSE)&lt;&gt;"",VLOOKUP(tblHorasNov[Dia],tblDiaUtil[[Abreviatura]:[1º Período]],3,FALSE),JORNADA_PERIODO_1),
IF(IF(ISERROR(VLOOKUP(tblHorasNov[Evento 
(2º Período)],tblEvento[[Evento]:[Libera o Período]],4,FALSE)),FALSE,IF(VLOOKUP(tblHorasNov[Evento 
(2º Período)],tblEvento[[Evento]:[Libera o Período]],4,FALSE)="Não",TRUE,FALSE)),
-IF(VLOOKUP(tblHorasNov[Dia],tblDiaUtil[[Abreviatura]:[2º Período]],4,FALSE)&lt;&gt;"",VLOOKUP(tblHorasNov[Dia],tblDiaUtil[[Abreviatura]:[2º Período]],4,FALSE),JORNADA_PERIODO_2),0))))</f>
        <v>0</v>
      </c>
      <c r="O30" s="14">
        <f>IF(tblHorasNov[Horas Trabalhadas Além Jornada]&gt;0,
        IF(ISNUMBER(tblHorasNov[Jornada Diária]),
              IF(HOUR(tblHorasNov[Horas Trabalhadas Além Jornada])&gt;=VLOOKUP(LIMITE,tblLimiteHora[],Tabelas!$I$1,FALSE),
                    VLOOKUP(LIMITE,tblLimiteHora[],Tabelas!$J$1,FALSE),
                    tblHorasNov[Horas Trabalhadas Além Jornada]),
              tblHorasNov[Horas Trabalhadas Além Jornada]),
        tblHorasNov[Horas Trabalhadas Além Jornada])+O29</f>
        <v>0</v>
      </c>
      <c r="P30" s="14" t="str">
        <f>IF(tblHorasNov[Horas Trabalhadas Além Jornada]&lt;0,IF(OR(tblHorasNov[Evento 
(1º Período)]="",tblHorasNov[Evento 
(2º Período)]=""),tblHorasNov[Horas Trabalhadas Além Jornada],""),"")</f>
        <v/>
      </c>
      <c r="Q30" s="14" t="str">
        <f>IF(tblHorasNov[Jornada Diária]&lt;&gt;"",IF((N(tblHorasNov[Jornada Diária])-ABS(N(tblHorasNov[Horas Trabalhadas Além Jornada])))=0,1,""),"")</f>
        <v/>
      </c>
      <c r="R30" s="14" t="str">
        <f>IF(tblHorasNov[Horas Trabalhadas Além Jornada]&gt;0,
IF(AND(VLOOKUP(TEXT(tblHorasNov[Data],"dddd"),tblDiaUtil[],3,FALSE)="Sim",IF(tblHorasNov[Evento 
(1º Período)]&lt;&gt;"",IF(VLOOKUP(tblHorasNov[Evento 
(1º Período)],tblEvento[],Tabelas!$E$1,FALSE)="Sim",FALSE,TRUE),TRUE),IF(tblHorasNov[Evento 
(2º Período)]&lt;&gt;"",IF(VLOOKUP(tblHorasNov[Evento 
(2º Período)],tblEvento[],Tabelas!$E$1,FALSE)="Sim",FALSE,TRUE),TRUE)),
tblHorasNov[Horas Trabalhadas Além Jornada],""),"")</f>
        <v/>
      </c>
      <c r="S30" s="14" t="str">
        <f>IF(tblHorasNov[Horas Trabalhadas Além Jornada]&gt;0,
IF(OR(VLOOKUP(TEXT(tblHorasNov[Data],"dddd"),tblDiaUtil[],3,FALSE)="Não",IF(tblHorasNov[Evento 
(1º Período)]&lt;&gt;"",IF(VLOOKUP(tblHorasNov[Evento 
(1º Período)],tblEvento[],Tabelas!$E$1,FALSE)="Sim",TRUE,FALSE),FALSE),IF(tblHorasNov[Evento 
(2º Período)]&lt;&gt;"",IF(VLOOKUP(tblHorasNov[Evento 
(2º Período)],tblEvento[],Tabelas!$E$1,FALSE)="Sim",TRUE,FALSE),FALSE)),
tblHorasNov[Horas Trabalhadas Além Jornada],""),"")</f>
        <v/>
      </c>
      <c r="T30" s="15" t="str">
        <f>IF(tblHorasNov[Evento 
(1º Período)]&lt;&gt;""," - " &amp;VLOOKUP(tblHorasNov[Evento 
(1º Período)],tblEvento[],Tabelas!$F$1,FALSE),"")&amp;IF(AND(tblHorasNov[Evento 
(2º Período)]&lt;&gt;"",tblHorasNov[Evento 
(2º Período)]&lt;&gt;tblHorasNov[Evento 
(1º Período)])," - " &amp; VLOOKUP(tblHorasNov[Evento 
(2º Período)],tblEvento[],Tabelas!$F$1,FALSE),"")</f>
        <v/>
      </c>
    </row>
    <row r="31" spans="2:20" x14ac:dyDescent="0.25">
      <c r="B31" s="11" t="str">
        <f t="shared" si="0"/>
        <v/>
      </c>
      <c r="C31" s="12" t="str">
        <f>TEXT(tblHorasNov[Data],"ddd")</f>
        <v/>
      </c>
      <c r="D31" s="25"/>
      <c r="E31" s="1"/>
      <c r="F31" s="1"/>
      <c r="G31" s="1"/>
      <c r="H31" s="1"/>
      <c r="I31" s="53"/>
      <c r="J31" s="4">
        <f>IF($B$6&lt;&gt;"",
IF(AND(tblHorasNov[Evento 
(1º Período)]&lt;&gt;"",IF(ISERROR(VLOOKUP(tblHorasNov[Evento 
(1º Período)],tblEvento[],Tabelas!$D$1,FALSE)),FALSE,VLOOKUP(tblHorasNov[Evento 
(1º Período)],tblEvento[],Tabelas!$D$1,FALSE)="Sim")),
        IF(JORNADA_PERIODO_1&lt;&gt;"",
IF(VLOOKUP(tblHorasNov[Dia],tblDiaUtil[[Abreviatura]:[1º Período]],3,FALSE)&gt;0,VLOOKUP(tblHorasNov[Dia],tblDiaUtil[[Abreviatura]:[1º Período]],3,FALSE),JORNADA_PERIODO_1),
IF(VLOOKUP(tblHorasNov[Dia],tblDiaUtil[[Abreviatura]:[1º Período]],3,FALSE)&gt;0,VLOOKUP(tblHorasNov[Dia],tblDiaUtil[[Abreviatura]:[1º Período]],3,FALSE),JORNADA/2)),
        IF(AND(ISNUMBER(tblHorasNov[Saída - 1 (Almoço)]),ISNUMBER(tblHorasNov[Entrada - 1])),
              IF(OR(AND(tblHorasNov[Evento 
(1º Período)]&lt;&gt;"",IF(ISERROR(VLOOKUP(tblHorasNov[Evento 
(1º Período)],tblEvento[],Tabelas!$E$1,FALSE)),FALSE,VLOOKUP(tblHorasNov[Evento 
(1º Período)],tblEvento[],Tabelas!$E$1,FALSE)="Sim")),IF(VLOOKUP(TEXT(tblHorasNov[Data],"dddd"),tblDiaUtil[],2,FALSE)="Não",TRUE,FALSE)),
                   tblHorasNov[Saída - 1 (Almoço)]-tblHorasNov[Entrada - 1],
                   IF(OR(HOUR(tblHorasNov[Saída - 1 (Almoço)]-tblHorasNov[Entrada - 1])&gt;0,ROUND(tblHorasNov[Saída - 1 (Almoço)]-tblHorasNov[Entrada - 1],6)&gt;ROUND(CARENCIA,6)),
                          tblHorasNov[Saída - 1 (Almoço)]-tblHorasNov[Entrada - 1],
                          0)),
                    0)),0)</f>
        <v>0</v>
      </c>
      <c r="K31" s="4">
        <f>IF($B$6&lt;&gt;"",
IF(AND(tblHorasNov[Evento 
(2º Período)]&lt;&gt;"",IF(ISERROR(VLOOKUP(tblHorasNov[Evento 
(2º Período)],tblEvento[],Tabelas!$D$1,FALSE)),FALSE,VLOOKUP(tblHorasNov[Evento 
(2º Período)],tblEvento[],Tabelas!$D$1,FALSE)="Sim")),
        IF(JORNADA_PERIODO_2&lt;&gt;"",
IF(VLOOKUP(tblHorasNov[Dia],tblDiaUtil[[Abreviatura]:[2º Período]],4,FALSE)&gt;0,VLOOKUP(tblHorasNov[Dia],tblDiaUtil[[Abreviatura]:[2º Período]],4,FALSE),JORNADA_PERIODO_2),
IF(VLOOKUP(tblHorasNov[Dia],tblDiaUtil[[Abreviatura]:[2º Período]],4,FALSE)&gt;0,VLOOKUP(tblHorasNov[Dia],tblDiaUtil[[Abreviatura]:[2º Período]],4,FALSE),JORNADA/2)),
        IF(AND(ISNUMBER(tblHorasNov[Saída - 2]),ISNUMBER(tblHorasNov[Entrada - 2 (Almoço)])),
              IF(OR(AND(tblHorasNov[Evento 
(2º Período)]&lt;&gt;"",IF(ISERROR(VLOOKUP(tblHorasNov[Evento 
(2º Período)],tblEvento[],Tabelas!$E$1,FALSE)),FALSE,VLOOKUP(tblHorasNov[Evento 
(2º Período)],tblEvento[],Tabelas!$E$1,FALSE)="Sim")),IF(VLOOKUP(TEXT(tblHorasNov[Data],"dddd"),tblDiaUtil[],2,FALSE)="Não",TRUE,FALSE)),
                   tblHorasNov[Saída - 2]-tblHorasNov[Entrada - 2 (Almoço)],
                   IF(OR(HOUR(tblHorasNov[Saída - 2]-tblHorasNov[Entrada - 2 (Almoço)])&gt;0,MINUTE(tblHorasNov[Saída - 2]-tblHorasNov[Entrada - 2 (Almoço)])&gt;CARENCIA),
                         tblHorasNov[Saída - 2]-tblHorasNov[Entrada - 2 (Almoço)],
                         0)),
       0)),0)</f>
        <v>0</v>
      </c>
      <c r="L31" s="4">
        <f>tblHorasNov[Horas Trabalhadas (1º Período)]+tblHorasNov[Horas Trabalhadas (2º Período)]</f>
        <v>0</v>
      </c>
      <c r="M31" s="4" t="str">
        <f>IF(tblHorasNov[Data]&lt;&gt;"",
        IF(
AND(VLOOKUP(TEXT(tblHorasNov[Data],"dddd"),tblDiaUtil[],3,FALSE)="Sim",IF(tblHorasNov[Evento 
(1º Período)]&lt;&gt;"",IF(VLOOKUP(tblHorasNov[Evento 
(1º Período)],tblEvento[],Tabelas!$E$1,FALSE)="Sim",FALSE,TRUE),TRUE),IF(tblHorasNov[Evento 
(2º Período)]&lt;&gt;"",IF(VLOOKUP(tblHorasNov[Evento 
(2º Período)],tblEvento[],Tabelas!$E$1,FALSE)="Sim",FALSE,TRUE),TRUE)),
              IF(VLOOKUP(tblHorasNov[Dia],tblDiaUtil[[Abreviatura]:[1º Período]],3,FALSE)&gt;0,VLOOKUP(tblHorasNov[Dia],tblDiaUtil[[Abreviatura]:[1º Período]],3,FALSE),JORNADA),
              ""),
         "")</f>
        <v/>
      </c>
      <c r="N31" s="14">
        <f>IF(OR(tblHorasNov[Horas Trabalhadas (1º Período)]&lt;&gt;0,tblHorasNov[Horas Trabalhadas (2º Período)]&lt;&gt;0),
        IF(ISNUMBER(tblHorasNov[Jornada Diária]),
              IF(tblHorasNov[Jornada Diária]&gt;(tblHorasNov[Horas Trabalhadas (2º Período)]+tblHorasNov[Horas Trabalhadas (1º Período)]),
                     IF(ROUND((tblHorasNov[Jornada Diária]-(tblHorasNov[Horas Trabalhadas (2º Período)]+tblHorasNov[Horas Trabalhadas (1º Período)])),6)&gt;ROUND(CARENCIA,6),
                           -tblHorasNov[Jornada Diária]+(tblHorasNov[Horas Trabalhadas (2º Período)]+tblHorasNov[Horas Trabalhadas (1º Período)]),
                           0),
                      IF(ROUND((tblHorasNov[Jornada Diária]-(tblHorasNov[Horas Trabalhadas (2º Período)]+tblHorasNov[Horas Trabalhadas (1º Período)])),6)&lt;ROUND(-CARENCIA,6),
                           -tblHorasNov[Jornada Diária]+(tblHorasNov[Horas Trabalhadas (2º Período)]+tblHorasNov[Horas Trabalhadas (1º Período)]),
                           0)),
              tblHorasNov[Horas Trabalhadas (2º Período)]+tblHorasNov[Horas Trabalhadas (1º Período)]),
         IF(AND(IF(ISERROR(VLOOKUP(tblHorasNov[Evento 
(1º Período)],tblEvento[[Evento]:[Libera o Período]],4,FALSE)),FALSE,IF(VLOOKUP(tblHorasNov[Evento 
(1º Período)],tblEvento[[Evento]:[Libera o Período]],4,FALSE)="Não",TRUE,FALSE)),IF(ISERROR(VLOOKUP(tblHorasNov[Evento 
(2º Período)],tblEvento[[Evento]:[Libera o Período]],4,FALSE)),FALSE,IF(VLOOKUP(tblHorasNov[Evento 
(2º Período)],tblEvento[[Evento]:[Libera o Período]],4,FALSE)="Não",TRUE,FALSE))),
-IF(VLOOKUP(tblHorasNov[Dia],tblDiaUtil[[Abreviatura]:[Total Jornada]],5,FALSE)&lt;&gt;"",VLOOKUP(tblHorasNov[Dia],tblDiaUtil[[Abreviatura]:[Total Jornada]],5,FALSE),JORNADA),
IF(IF(ISERROR(VLOOKUP(tblHorasNov[Evento 
(1º Período)],tblEvento[[Evento]:[Libera o Período]],4,FALSE)),FALSE,
IF(VLOOKUP(tblHorasNov[Evento 
(1º Período)],tblEvento[[Evento]:[Libera o Período]],4,FALSE)="Não",TRUE,FALSE)
),
-IF(VLOOKUP(tblHorasNov[Dia],tblDiaUtil[[Abreviatura]:[1º Período]],3,FALSE)&lt;&gt;"",VLOOKUP(tblHorasNov[Dia],tblDiaUtil[[Abreviatura]:[1º Período]],3,FALSE),JORNADA_PERIODO_1),
IF(IF(ISERROR(VLOOKUP(tblHorasNov[Evento 
(2º Período)],tblEvento[[Evento]:[Libera o Período]],4,FALSE)),FALSE,IF(VLOOKUP(tblHorasNov[Evento 
(2º Período)],tblEvento[[Evento]:[Libera o Período]],4,FALSE)="Não",TRUE,FALSE)),
-IF(VLOOKUP(tblHorasNov[Dia],tblDiaUtil[[Abreviatura]:[2º Período]],4,FALSE)&lt;&gt;"",VLOOKUP(tblHorasNov[Dia],tblDiaUtil[[Abreviatura]:[2º Período]],4,FALSE),JORNADA_PERIODO_2),0))))</f>
        <v>0</v>
      </c>
      <c r="O31" s="14">
        <f>IF(tblHorasNov[Horas Trabalhadas Além Jornada]&gt;0,
        IF(ISNUMBER(tblHorasNov[Jornada Diária]),
              IF(HOUR(tblHorasNov[Horas Trabalhadas Além Jornada])&gt;=VLOOKUP(LIMITE,tblLimiteHora[],Tabelas!$I$1,FALSE),
                    VLOOKUP(LIMITE,tblLimiteHora[],Tabelas!$J$1,FALSE),
                    tblHorasNov[Horas Trabalhadas Além Jornada]),
              tblHorasNov[Horas Trabalhadas Além Jornada]),
        tblHorasNov[Horas Trabalhadas Além Jornada])+O30</f>
        <v>0</v>
      </c>
      <c r="P31" s="14" t="str">
        <f>IF(tblHorasNov[Horas Trabalhadas Além Jornada]&lt;0,IF(OR(tblHorasNov[Evento 
(1º Período)]="",tblHorasNov[Evento 
(2º Período)]=""),tblHorasNov[Horas Trabalhadas Além Jornada],""),"")</f>
        <v/>
      </c>
      <c r="Q31" s="14" t="str">
        <f>IF(tblHorasNov[Jornada Diária]&lt;&gt;"",IF((N(tblHorasNov[Jornada Diária])-ABS(N(tblHorasNov[Horas Trabalhadas Além Jornada])))=0,1,""),"")</f>
        <v/>
      </c>
      <c r="R31" s="14" t="str">
        <f>IF(tblHorasNov[Horas Trabalhadas Além Jornada]&gt;0,
IF(AND(VLOOKUP(TEXT(tblHorasNov[Data],"dddd"),tblDiaUtil[],3,FALSE)="Sim",IF(tblHorasNov[Evento 
(1º Período)]&lt;&gt;"",IF(VLOOKUP(tblHorasNov[Evento 
(1º Período)],tblEvento[],Tabelas!$E$1,FALSE)="Sim",FALSE,TRUE),TRUE),IF(tblHorasNov[Evento 
(2º Período)]&lt;&gt;"",IF(VLOOKUP(tblHorasNov[Evento 
(2º Período)],tblEvento[],Tabelas!$E$1,FALSE)="Sim",FALSE,TRUE),TRUE)),
tblHorasNov[Horas Trabalhadas Além Jornada],""),"")</f>
        <v/>
      </c>
      <c r="S31" s="14" t="str">
        <f>IF(tblHorasNov[Horas Trabalhadas Além Jornada]&gt;0,
IF(OR(VLOOKUP(TEXT(tblHorasNov[Data],"dddd"),tblDiaUtil[],3,FALSE)="Não",IF(tblHorasNov[Evento 
(1º Período)]&lt;&gt;"",IF(VLOOKUP(tblHorasNov[Evento 
(1º Período)],tblEvento[],Tabelas!$E$1,FALSE)="Sim",TRUE,FALSE),FALSE),IF(tblHorasNov[Evento 
(2º Período)]&lt;&gt;"",IF(VLOOKUP(tblHorasNov[Evento 
(2º Período)],tblEvento[],Tabelas!$E$1,FALSE)="Sim",TRUE,FALSE),FALSE)),
tblHorasNov[Horas Trabalhadas Além Jornada],""),"")</f>
        <v/>
      </c>
      <c r="T31" s="15" t="str">
        <f>IF(tblHorasNov[Evento 
(1º Período)]&lt;&gt;""," - " &amp;VLOOKUP(tblHorasNov[Evento 
(1º Período)],tblEvento[],Tabelas!$F$1,FALSE),"")&amp;IF(AND(tblHorasNov[Evento 
(2º Período)]&lt;&gt;"",tblHorasNov[Evento 
(2º Período)]&lt;&gt;tblHorasNov[Evento 
(1º Período)])," - " &amp; VLOOKUP(tblHorasNov[Evento 
(2º Período)],tblEvento[],Tabelas!$F$1,FALSE),"")</f>
        <v/>
      </c>
    </row>
    <row r="32" spans="2:20" x14ac:dyDescent="0.25">
      <c r="B32" s="11" t="str">
        <f t="shared" si="0"/>
        <v/>
      </c>
      <c r="C32" s="12" t="str">
        <f>TEXT(tblHorasNov[Data],"ddd")</f>
        <v/>
      </c>
      <c r="D32" s="25"/>
      <c r="E32" s="1"/>
      <c r="F32" s="1"/>
      <c r="G32" s="1"/>
      <c r="H32" s="1"/>
      <c r="I32" s="53"/>
      <c r="J32" s="4">
        <f>IF($B$6&lt;&gt;"",
IF(AND(tblHorasNov[Evento 
(1º Período)]&lt;&gt;"",IF(ISERROR(VLOOKUP(tblHorasNov[Evento 
(1º Período)],tblEvento[],Tabelas!$D$1,FALSE)),FALSE,VLOOKUP(tblHorasNov[Evento 
(1º Período)],tblEvento[],Tabelas!$D$1,FALSE)="Sim")),
        IF(JORNADA_PERIODO_1&lt;&gt;"",
IF(VLOOKUP(tblHorasNov[Dia],tblDiaUtil[[Abreviatura]:[1º Período]],3,FALSE)&gt;0,VLOOKUP(tblHorasNov[Dia],tblDiaUtil[[Abreviatura]:[1º Período]],3,FALSE),JORNADA_PERIODO_1),
IF(VLOOKUP(tblHorasNov[Dia],tblDiaUtil[[Abreviatura]:[1º Período]],3,FALSE)&gt;0,VLOOKUP(tblHorasNov[Dia],tblDiaUtil[[Abreviatura]:[1º Período]],3,FALSE),JORNADA/2)),
        IF(AND(ISNUMBER(tblHorasNov[Saída - 1 (Almoço)]),ISNUMBER(tblHorasNov[Entrada - 1])),
              IF(OR(AND(tblHorasNov[Evento 
(1º Período)]&lt;&gt;"",IF(ISERROR(VLOOKUP(tblHorasNov[Evento 
(1º Período)],tblEvento[],Tabelas!$E$1,FALSE)),FALSE,VLOOKUP(tblHorasNov[Evento 
(1º Período)],tblEvento[],Tabelas!$E$1,FALSE)="Sim")),IF(VLOOKUP(TEXT(tblHorasNov[Data],"dddd"),tblDiaUtil[],2,FALSE)="Não",TRUE,FALSE)),
                   tblHorasNov[Saída - 1 (Almoço)]-tblHorasNov[Entrada - 1],
                   IF(OR(HOUR(tblHorasNov[Saída - 1 (Almoço)]-tblHorasNov[Entrada - 1])&gt;0,ROUND(tblHorasNov[Saída - 1 (Almoço)]-tblHorasNov[Entrada - 1],6)&gt;ROUND(CARENCIA,6)),
                          tblHorasNov[Saída - 1 (Almoço)]-tblHorasNov[Entrada - 1],
                          0)),
                    0)),0)</f>
        <v>0</v>
      </c>
      <c r="K32" s="4">
        <f>IF($B$6&lt;&gt;"",
IF(AND(tblHorasNov[Evento 
(2º Período)]&lt;&gt;"",IF(ISERROR(VLOOKUP(tblHorasNov[Evento 
(2º Período)],tblEvento[],Tabelas!$D$1,FALSE)),FALSE,VLOOKUP(tblHorasNov[Evento 
(2º Período)],tblEvento[],Tabelas!$D$1,FALSE)="Sim")),
        IF(JORNADA_PERIODO_2&lt;&gt;"",
IF(VLOOKUP(tblHorasNov[Dia],tblDiaUtil[[Abreviatura]:[2º Período]],4,FALSE)&gt;0,VLOOKUP(tblHorasNov[Dia],tblDiaUtil[[Abreviatura]:[2º Período]],4,FALSE),JORNADA_PERIODO_2),
IF(VLOOKUP(tblHorasNov[Dia],tblDiaUtil[[Abreviatura]:[2º Período]],4,FALSE)&gt;0,VLOOKUP(tblHorasNov[Dia],tblDiaUtil[[Abreviatura]:[2º Período]],4,FALSE),JORNADA/2)),
        IF(AND(ISNUMBER(tblHorasNov[Saída - 2]),ISNUMBER(tblHorasNov[Entrada - 2 (Almoço)])),
              IF(OR(AND(tblHorasNov[Evento 
(2º Período)]&lt;&gt;"",IF(ISERROR(VLOOKUP(tblHorasNov[Evento 
(2º Período)],tblEvento[],Tabelas!$E$1,FALSE)),FALSE,VLOOKUP(tblHorasNov[Evento 
(2º Período)],tblEvento[],Tabelas!$E$1,FALSE)="Sim")),IF(VLOOKUP(TEXT(tblHorasNov[Data],"dddd"),tblDiaUtil[],2,FALSE)="Não",TRUE,FALSE)),
                   tblHorasNov[Saída - 2]-tblHorasNov[Entrada - 2 (Almoço)],
                   IF(OR(HOUR(tblHorasNov[Saída - 2]-tblHorasNov[Entrada - 2 (Almoço)])&gt;0,MINUTE(tblHorasNov[Saída - 2]-tblHorasNov[Entrada - 2 (Almoço)])&gt;CARENCIA),
                         tblHorasNov[Saída - 2]-tblHorasNov[Entrada - 2 (Almoço)],
                         0)),
       0)),0)</f>
        <v>0</v>
      </c>
      <c r="L32" s="4">
        <f>tblHorasNov[Horas Trabalhadas (1º Período)]+tblHorasNov[Horas Trabalhadas (2º Período)]</f>
        <v>0</v>
      </c>
      <c r="M32" s="4" t="str">
        <f>IF(tblHorasNov[Data]&lt;&gt;"",
        IF(
AND(VLOOKUP(TEXT(tblHorasNov[Data],"dddd"),tblDiaUtil[],3,FALSE)="Sim",IF(tblHorasNov[Evento 
(1º Período)]&lt;&gt;"",IF(VLOOKUP(tblHorasNov[Evento 
(1º Período)],tblEvento[],Tabelas!$E$1,FALSE)="Sim",FALSE,TRUE),TRUE),IF(tblHorasNov[Evento 
(2º Período)]&lt;&gt;"",IF(VLOOKUP(tblHorasNov[Evento 
(2º Período)],tblEvento[],Tabelas!$E$1,FALSE)="Sim",FALSE,TRUE),TRUE)),
              IF(VLOOKUP(tblHorasNov[Dia],tblDiaUtil[[Abreviatura]:[1º Período]],3,FALSE)&gt;0,VLOOKUP(tblHorasNov[Dia],tblDiaUtil[[Abreviatura]:[1º Período]],3,FALSE),JORNADA),
              ""),
         "")</f>
        <v/>
      </c>
      <c r="N32" s="14">
        <f>IF(OR(tblHorasNov[Horas Trabalhadas (1º Período)]&lt;&gt;0,tblHorasNov[Horas Trabalhadas (2º Período)]&lt;&gt;0),
        IF(ISNUMBER(tblHorasNov[Jornada Diária]),
              IF(tblHorasNov[Jornada Diária]&gt;(tblHorasNov[Horas Trabalhadas (2º Período)]+tblHorasNov[Horas Trabalhadas (1º Período)]),
                     IF(ROUND((tblHorasNov[Jornada Diária]-(tblHorasNov[Horas Trabalhadas (2º Período)]+tblHorasNov[Horas Trabalhadas (1º Período)])),6)&gt;ROUND(CARENCIA,6),
                           -tblHorasNov[Jornada Diária]+(tblHorasNov[Horas Trabalhadas (2º Período)]+tblHorasNov[Horas Trabalhadas (1º Período)]),
                           0),
                      IF(ROUND((tblHorasNov[Jornada Diária]-(tblHorasNov[Horas Trabalhadas (2º Período)]+tblHorasNov[Horas Trabalhadas (1º Período)])),6)&lt;ROUND(-CARENCIA,6),
                           -tblHorasNov[Jornada Diária]+(tblHorasNov[Horas Trabalhadas (2º Período)]+tblHorasNov[Horas Trabalhadas (1º Período)]),
                           0)),
              tblHorasNov[Horas Trabalhadas (2º Período)]+tblHorasNov[Horas Trabalhadas (1º Período)]),
         IF(AND(IF(ISERROR(VLOOKUP(tblHorasNov[Evento 
(1º Período)],tblEvento[[Evento]:[Libera o Período]],4,FALSE)),FALSE,IF(VLOOKUP(tblHorasNov[Evento 
(1º Período)],tblEvento[[Evento]:[Libera o Período]],4,FALSE)="Não",TRUE,FALSE)),IF(ISERROR(VLOOKUP(tblHorasNov[Evento 
(2º Período)],tblEvento[[Evento]:[Libera o Período]],4,FALSE)),FALSE,IF(VLOOKUP(tblHorasNov[Evento 
(2º Período)],tblEvento[[Evento]:[Libera o Período]],4,FALSE)="Não",TRUE,FALSE))),
-IF(VLOOKUP(tblHorasNov[Dia],tblDiaUtil[[Abreviatura]:[Total Jornada]],5,FALSE)&lt;&gt;"",VLOOKUP(tblHorasNov[Dia],tblDiaUtil[[Abreviatura]:[Total Jornada]],5,FALSE),JORNADA),
IF(IF(ISERROR(VLOOKUP(tblHorasNov[Evento 
(1º Período)],tblEvento[[Evento]:[Libera o Período]],4,FALSE)),FALSE,
IF(VLOOKUP(tblHorasNov[Evento 
(1º Período)],tblEvento[[Evento]:[Libera o Período]],4,FALSE)="Não",TRUE,FALSE)
),
-IF(VLOOKUP(tblHorasNov[Dia],tblDiaUtil[[Abreviatura]:[1º Período]],3,FALSE)&lt;&gt;"",VLOOKUP(tblHorasNov[Dia],tblDiaUtil[[Abreviatura]:[1º Período]],3,FALSE),JORNADA_PERIODO_1),
IF(IF(ISERROR(VLOOKUP(tblHorasNov[Evento 
(2º Período)],tblEvento[[Evento]:[Libera o Período]],4,FALSE)),FALSE,IF(VLOOKUP(tblHorasNov[Evento 
(2º Período)],tblEvento[[Evento]:[Libera o Período]],4,FALSE)="Não",TRUE,FALSE)),
-IF(VLOOKUP(tblHorasNov[Dia],tblDiaUtil[[Abreviatura]:[2º Período]],4,FALSE)&lt;&gt;"",VLOOKUP(tblHorasNov[Dia],tblDiaUtil[[Abreviatura]:[2º Período]],4,FALSE),JORNADA_PERIODO_2),0))))</f>
        <v>0</v>
      </c>
      <c r="O32" s="14">
        <f>IF(tblHorasNov[Horas Trabalhadas Além Jornada]&gt;0,
        IF(ISNUMBER(tblHorasNov[Jornada Diária]),
              IF(HOUR(tblHorasNov[Horas Trabalhadas Além Jornada])&gt;=VLOOKUP(LIMITE,tblLimiteHora[],Tabelas!$I$1,FALSE),
                    VLOOKUP(LIMITE,tblLimiteHora[],Tabelas!$J$1,FALSE),
                    tblHorasNov[Horas Trabalhadas Além Jornada]),
              tblHorasNov[Horas Trabalhadas Além Jornada]),
        tblHorasNov[Horas Trabalhadas Além Jornada])+O31</f>
        <v>0</v>
      </c>
      <c r="P32" s="14" t="str">
        <f>IF(tblHorasNov[Horas Trabalhadas Além Jornada]&lt;0,IF(OR(tblHorasNov[Evento 
(1º Período)]="",tblHorasNov[Evento 
(2º Período)]=""),tblHorasNov[Horas Trabalhadas Além Jornada],""),"")</f>
        <v/>
      </c>
      <c r="Q32" s="14" t="str">
        <f>IF(tblHorasNov[Jornada Diária]&lt;&gt;"",IF((N(tblHorasNov[Jornada Diária])-ABS(N(tblHorasNov[Horas Trabalhadas Além Jornada])))=0,1,""),"")</f>
        <v/>
      </c>
      <c r="R32" s="14" t="str">
        <f>IF(tblHorasNov[Horas Trabalhadas Além Jornada]&gt;0,
IF(AND(VLOOKUP(TEXT(tblHorasNov[Data],"dddd"),tblDiaUtil[],3,FALSE)="Sim",IF(tblHorasNov[Evento 
(1º Período)]&lt;&gt;"",IF(VLOOKUP(tblHorasNov[Evento 
(1º Período)],tblEvento[],Tabelas!$E$1,FALSE)="Sim",FALSE,TRUE),TRUE),IF(tblHorasNov[Evento 
(2º Período)]&lt;&gt;"",IF(VLOOKUP(tblHorasNov[Evento 
(2º Período)],tblEvento[],Tabelas!$E$1,FALSE)="Sim",FALSE,TRUE),TRUE)),
tblHorasNov[Horas Trabalhadas Além Jornada],""),"")</f>
        <v/>
      </c>
      <c r="S32" s="14" t="str">
        <f>IF(tblHorasNov[Horas Trabalhadas Além Jornada]&gt;0,
IF(OR(VLOOKUP(TEXT(tblHorasNov[Data],"dddd"),tblDiaUtil[],3,FALSE)="Não",IF(tblHorasNov[Evento 
(1º Período)]&lt;&gt;"",IF(VLOOKUP(tblHorasNov[Evento 
(1º Período)],tblEvento[],Tabelas!$E$1,FALSE)="Sim",TRUE,FALSE),FALSE),IF(tblHorasNov[Evento 
(2º Período)]&lt;&gt;"",IF(VLOOKUP(tblHorasNov[Evento 
(2º Período)],tblEvento[],Tabelas!$E$1,FALSE)="Sim",TRUE,FALSE),FALSE)),
tblHorasNov[Horas Trabalhadas Além Jornada],""),"")</f>
        <v/>
      </c>
      <c r="T32" s="15" t="str">
        <f>IF(tblHorasNov[Evento 
(1º Período)]&lt;&gt;""," - " &amp;VLOOKUP(tblHorasNov[Evento 
(1º Período)],tblEvento[],Tabelas!$F$1,FALSE),"")&amp;IF(AND(tblHorasNov[Evento 
(2º Período)]&lt;&gt;"",tblHorasNov[Evento 
(2º Período)]&lt;&gt;tblHorasNov[Evento 
(1º Período)])," - " &amp; VLOOKUP(tblHorasNov[Evento 
(2º Período)],tblEvento[],Tabelas!$F$1,FALSE),"")</f>
        <v/>
      </c>
    </row>
    <row r="33" spans="2:21" x14ac:dyDescent="0.25">
      <c r="B33" s="11" t="str">
        <f t="shared" si="0"/>
        <v/>
      </c>
      <c r="C33" s="12" t="str">
        <f>TEXT(tblHorasNov[Data],"ddd")</f>
        <v/>
      </c>
      <c r="D33" s="25"/>
      <c r="E33" s="1"/>
      <c r="F33" s="1"/>
      <c r="G33" s="1"/>
      <c r="H33" s="1"/>
      <c r="I33" s="53"/>
      <c r="J33" s="4">
        <f>IF($B$6&lt;&gt;"",
IF(AND(tblHorasNov[Evento 
(1º Período)]&lt;&gt;"",IF(ISERROR(VLOOKUP(tblHorasNov[Evento 
(1º Período)],tblEvento[],Tabelas!$D$1,FALSE)),FALSE,VLOOKUP(tblHorasNov[Evento 
(1º Período)],tblEvento[],Tabelas!$D$1,FALSE)="Sim")),
        IF(JORNADA_PERIODO_1&lt;&gt;"",
IF(VLOOKUP(tblHorasNov[Dia],tblDiaUtil[[Abreviatura]:[1º Período]],3,FALSE)&gt;0,VLOOKUP(tblHorasNov[Dia],tblDiaUtil[[Abreviatura]:[1º Período]],3,FALSE),JORNADA_PERIODO_1),
IF(VLOOKUP(tblHorasNov[Dia],tblDiaUtil[[Abreviatura]:[1º Período]],3,FALSE)&gt;0,VLOOKUP(tblHorasNov[Dia],tblDiaUtil[[Abreviatura]:[1º Período]],3,FALSE),JORNADA/2)),
        IF(AND(ISNUMBER(tblHorasNov[Saída - 1 (Almoço)]),ISNUMBER(tblHorasNov[Entrada - 1])),
              IF(OR(AND(tblHorasNov[Evento 
(1º Período)]&lt;&gt;"",IF(ISERROR(VLOOKUP(tblHorasNov[Evento 
(1º Período)],tblEvento[],Tabelas!$E$1,FALSE)),FALSE,VLOOKUP(tblHorasNov[Evento 
(1º Período)],tblEvento[],Tabelas!$E$1,FALSE)="Sim")),IF(VLOOKUP(TEXT(tblHorasNov[Data],"dddd"),tblDiaUtil[],2,FALSE)="Não",TRUE,FALSE)),
                   tblHorasNov[Saída - 1 (Almoço)]-tblHorasNov[Entrada - 1],
                   IF(OR(HOUR(tblHorasNov[Saída - 1 (Almoço)]-tblHorasNov[Entrada - 1])&gt;0,ROUND(tblHorasNov[Saída - 1 (Almoço)]-tblHorasNov[Entrada - 1],6)&gt;ROUND(CARENCIA,6)),
                          tblHorasNov[Saída - 1 (Almoço)]-tblHorasNov[Entrada - 1],
                          0)),
                    0)),0)</f>
        <v>0</v>
      </c>
      <c r="K33" s="4">
        <f>IF($B$6&lt;&gt;"",
IF(AND(tblHorasNov[Evento 
(2º Período)]&lt;&gt;"",IF(ISERROR(VLOOKUP(tblHorasNov[Evento 
(2º Período)],tblEvento[],Tabelas!$D$1,FALSE)),FALSE,VLOOKUP(tblHorasNov[Evento 
(2º Período)],tblEvento[],Tabelas!$D$1,FALSE)="Sim")),
        IF(JORNADA_PERIODO_2&lt;&gt;"",
IF(VLOOKUP(tblHorasNov[Dia],tblDiaUtil[[Abreviatura]:[2º Período]],4,FALSE)&gt;0,VLOOKUP(tblHorasNov[Dia],tblDiaUtil[[Abreviatura]:[2º Período]],4,FALSE),JORNADA_PERIODO_2),
IF(VLOOKUP(tblHorasNov[Dia],tblDiaUtil[[Abreviatura]:[2º Período]],4,FALSE)&gt;0,VLOOKUP(tblHorasNov[Dia],tblDiaUtil[[Abreviatura]:[2º Período]],4,FALSE),JORNADA/2)),
        IF(AND(ISNUMBER(tblHorasNov[Saída - 2]),ISNUMBER(tblHorasNov[Entrada - 2 (Almoço)])),
              IF(OR(AND(tblHorasNov[Evento 
(2º Período)]&lt;&gt;"",IF(ISERROR(VLOOKUP(tblHorasNov[Evento 
(2º Período)],tblEvento[],Tabelas!$E$1,FALSE)),FALSE,VLOOKUP(tblHorasNov[Evento 
(2º Período)],tblEvento[],Tabelas!$E$1,FALSE)="Sim")),IF(VLOOKUP(TEXT(tblHorasNov[Data],"dddd"),tblDiaUtil[],2,FALSE)="Não",TRUE,FALSE)),
                   tblHorasNov[Saída - 2]-tblHorasNov[Entrada - 2 (Almoço)],
                   IF(OR(HOUR(tblHorasNov[Saída - 2]-tblHorasNov[Entrada - 2 (Almoço)])&gt;0,MINUTE(tblHorasNov[Saída - 2]-tblHorasNov[Entrada - 2 (Almoço)])&gt;CARENCIA),
                         tblHorasNov[Saída - 2]-tblHorasNov[Entrada - 2 (Almoço)],
                         0)),
       0)),0)</f>
        <v>0</v>
      </c>
      <c r="L33" s="4">
        <f>tblHorasNov[Horas Trabalhadas (1º Período)]+tblHorasNov[Horas Trabalhadas (2º Período)]</f>
        <v>0</v>
      </c>
      <c r="M33" s="4" t="str">
        <f>IF(tblHorasNov[Data]&lt;&gt;"",
        IF(
AND(VLOOKUP(TEXT(tblHorasNov[Data],"dddd"),tblDiaUtil[],3,FALSE)="Sim",IF(tblHorasNov[Evento 
(1º Período)]&lt;&gt;"",IF(VLOOKUP(tblHorasNov[Evento 
(1º Período)],tblEvento[],Tabelas!$E$1,FALSE)="Sim",FALSE,TRUE),TRUE),IF(tblHorasNov[Evento 
(2º Período)]&lt;&gt;"",IF(VLOOKUP(tblHorasNov[Evento 
(2º Período)],tblEvento[],Tabelas!$E$1,FALSE)="Sim",FALSE,TRUE),TRUE)),
              IF(VLOOKUP(tblHorasNov[Dia],tblDiaUtil[[Abreviatura]:[1º Período]],3,FALSE)&gt;0,VLOOKUP(tblHorasNov[Dia],tblDiaUtil[[Abreviatura]:[1º Período]],3,FALSE),JORNADA),
              ""),
         "")</f>
        <v/>
      </c>
      <c r="N33" s="14">
        <f>IF(OR(tblHorasNov[Horas Trabalhadas (1º Período)]&lt;&gt;0,tblHorasNov[Horas Trabalhadas (2º Período)]&lt;&gt;0),
        IF(ISNUMBER(tblHorasNov[Jornada Diária]),
              IF(tblHorasNov[Jornada Diária]&gt;(tblHorasNov[Horas Trabalhadas (2º Período)]+tblHorasNov[Horas Trabalhadas (1º Período)]),
                     IF(ROUND((tblHorasNov[Jornada Diária]-(tblHorasNov[Horas Trabalhadas (2º Período)]+tblHorasNov[Horas Trabalhadas (1º Período)])),6)&gt;ROUND(CARENCIA,6),
                           -tblHorasNov[Jornada Diária]+(tblHorasNov[Horas Trabalhadas (2º Período)]+tblHorasNov[Horas Trabalhadas (1º Período)]),
                           0),
                      IF(ROUND((tblHorasNov[Jornada Diária]-(tblHorasNov[Horas Trabalhadas (2º Período)]+tblHorasNov[Horas Trabalhadas (1º Período)])),6)&lt;ROUND(-CARENCIA,6),
                           -tblHorasNov[Jornada Diária]+(tblHorasNov[Horas Trabalhadas (2º Período)]+tblHorasNov[Horas Trabalhadas (1º Período)]),
                           0)),
              tblHorasNov[Horas Trabalhadas (2º Período)]+tblHorasNov[Horas Trabalhadas (1º Período)]),
         IF(AND(IF(ISERROR(VLOOKUP(tblHorasNov[Evento 
(1º Período)],tblEvento[[Evento]:[Libera o Período]],4,FALSE)),FALSE,IF(VLOOKUP(tblHorasNov[Evento 
(1º Período)],tblEvento[[Evento]:[Libera o Período]],4,FALSE)="Não",TRUE,FALSE)),IF(ISERROR(VLOOKUP(tblHorasNov[Evento 
(2º Período)],tblEvento[[Evento]:[Libera o Período]],4,FALSE)),FALSE,IF(VLOOKUP(tblHorasNov[Evento 
(2º Período)],tblEvento[[Evento]:[Libera o Período]],4,FALSE)="Não",TRUE,FALSE))),
-IF(VLOOKUP(tblHorasNov[Dia],tblDiaUtil[[Abreviatura]:[Total Jornada]],5,FALSE)&lt;&gt;"",VLOOKUP(tblHorasNov[Dia],tblDiaUtil[[Abreviatura]:[Total Jornada]],5,FALSE),JORNADA),
IF(IF(ISERROR(VLOOKUP(tblHorasNov[Evento 
(1º Período)],tblEvento[[Evento]:[Libera o Período]],4,FALSE)),FALSE,
IF(VLOOKUP(tblHorasNov[Evento 
(1º Período)],tblEvento[[Evento]:[Libera o Período]],4,FALSE)="Não",TRUE,FALSE)
),
-IF(VLOOKUP(tblHorasNov[Dia],tblDiaUtil[[Abreviatura]:[1º Período]],3,FALSE)&lt;&gt;"",VLOOKUP(tblHorasNov[Dia],tblDiaUtil[[Abreviatura]:[1º Período]],3,FALSE),JORNADA_PERIODO_1),
IF(IF(ISERROR(VLOOKUP(tblHorasNov[Evento 
(2º Período)],tblEvento[[Evento]:[Libera o Período]],4,FALSE)),FALSE,IF(VLOOKUP(tblHorasNov[Evento 
(2º Período)],tblEvento[[Evento]:[Libera o Período]],4,FALSE)="Não",TRUE,FALSE)),
-IF(VLOOKUP(tblHorasNov[Dia],tblDiaUtil[[Abreviatura]:[2º Período]],4,FALSE)&lt;&gt;"",VLOOKUP(tblHorasNov[Dia],tblDiaUtil[[Abreviatura]:[2º Período]],4,FALSE),JORNADA_PERIODO_2),0))))</f>
        <v>0</v>
      </c>
      <c r="O33" s="14">
        <f>IF(tblHorasNov[Horas Trabalhadas Além Jornada]&gt;0,
        IF(ISNUMBER(tblHorasNov[Jornada Diária]),
              IF(HOUR(tblHorasNov[Horas Trabalhadas Além Jornada])&gt;=VLOOKUP(LIMITE,tblLimiteHora[],Tabelas!$I$1,FALSE),
                    VLOOKUP(LIMITE,tblLimiteHora[],Tabelas!$J$1,FALSE),
                    tblHorasNov[Horas Trabalhadas Além Jornada]),
              tblHorasNov[Horas Trabalhadas Além Jornada]),
        tblHorasNov[Horas Trabalhadas Além Jornada])+O32</f>
        <v>0</v>
      </c>
      <c r="P33" s="14" t="str">
        <f>IF(tblHorasNov[Horas Trabalhadas Além Jornada]&lt;0,IF(OR(tblHorasNov[Evento 
(1º Período)]="",tblHorasNov[Evento 
(2º Período)]=""),tblHorasNov[Horas Trabalhadas Além Jornada],""),"")</f>
        <v/>
      </c>
      <c r="Q33" s="14" t="str">
        <f>IF(tblHorasNov[Jornada Diária]&lt;&gt;"",IF((N(tblHorasNov[Jornada Diária])-ABS(N(tblHorasNov[Horas Trabalhadas Além Jornada])))=0,1,""),"")</f>
        <v/>
      </c>
      <c r="R33" s="14" t="str">
        <f>IF(tblHorasNov[Horas Trabalhadas Além Jornada]&gt;0,
IF(AND(VLOOKUP(TEXT(tblHorasNov[Data],"dddd"),tblDiaUtil[],3,FALSE)="Sim",IF(tblHorasNov[Evento 
(1º Período)]&lt;&gt;"",IF(VLOOKUP(tblHorasNov[Evento 
(1º Período)],tblEvento[],Tabelas!$E$1,FALSE)="Sim",FALSE,TRUE),TRUE),IF(tblHorasNov[Evento 
(2º Período)]&lt;&gt;"",IF(VLOOKUP(tblHorasNov[Evento 
(2º Período)],tblEvento[],Tabelas!$E$1,FALSE)="Sim",FALSE,TRUE),TRUE)),
tblHorasNov[Horas Trabalhadas Além Jornada],""),"")</f>
        <v/>
      </c>
      <c r="S33" s="14" t="str">
        <f>IF(tblHorasNov[Horas Trabalhadas Além Jornada]&gt;0,
IF(OR(VLOOKUP(TEXT(tblHorasNov[Data],"dddd"),tblDiaUtil[],3,FALSE)="Não",IF(tblHorasNov[Evento 
(1º Período)]&lt;&gt;"",IF(VLOOKUP(tblHorasNov[Evento 
(1º Período)],tblEvento[],Tabelas!$E$1,FALSE)="Sim",TRUE,FALSE),FALSE),IF(tblHorasNov[Evento 
(2º Período)]&lt;&gt;"",IF(VLOOKUP(tblHorasNov[Evento 
(2º Período)],tblEvento[],Tabelas!$E$1,FALSE)="Sim",TRUE,FALSE),FALSE)),
tblHorasNov[Horas Trabalhadas Além Jornada],""),"")</f>
        <v/>
      </c>
      <c r="T33" s="15" t="str">
        <f>IF(tblHorasNov[Evento 
(1º Período)]&lt;&gt;""," - " &amp;VLOOKUP(tblHorasNov[Evento 
(1º Período)],tblEvento[],Tabelas!$F$1,FALSE),"")&amp;IF(AND(tblHorasNov[Evento 
(2º Período)]&lt;&gt;"",tblHorasNov[Evento 
(2º Período)]&lt;&gt;tblHorasNov[Evento 
(1º Período)])," - " &amp; VLOOKUP(tblHorasNov[Evento 
(2º Período)],tblEvento[],Tabelas!$F$1,FALSE),"")</f>
        <v/>
      </c>
    </row>
    <row r="34" spans="2:21" x14ac:dyDescent="0.25">
      <c r="B34" s="11" t="str">
        <f t="shared" si="0"/>
        <v/>
      </c>
      <c r="C34" s="12" t="str">
        <f>TEXT(tblHorasNov[Data],"ddd")</f>
        <v/>
      </c>
      <c r="D34" s="25"/>
      <c r="E34" s="1"/>
      <c r="F34" s="1"/>
      <c r="G34" s="1"/>
      <c r="H34" s="1"/>
      <c r="I34" s="53"/>
      <c r="J34" s="4">
        <f>IF($B$6&lt;&gt;"",
IF(AND(tblHorasNov[Evento 
(1º Período)]&lt;&gt;"",IF(ISERROR(VLOOKUP(tblHorasNov[Evento 
(1º Período)],tblEvento[],Tabelas!$D$1,FALSE)),FALSE,VLOOKUP(tblHorasNov[Evento 
(1º Período)],tblEvento[],Tabelas!$D$1,FALSE)="Sim")),
        IF(JORNADA_PERIODO_1&lt;&gt;"",
IF(VLOOKUP(tblHorasNov[Dia],tblDiaUtil[[Abreviatura]:[1º Período]],3,FALSE)&gt;0,VLOOKUP(tblHorasNov[Dia],tblDiaUtil[[Abreviatura]:[1º Período]],3,FALSE),JORNADA_PERIODO_1),
IF(VLOOKUP(tblHorasNov[Dia],tblDiaUtil[[Abreviatura]:[1º Período]],3,FALSE)&gt;0,VLOOKUP(tblHorasNov[Dia],tblDiaUtil[[Abreviatura]:[1º Período]],3,FALSE),JORNADA/2)),
        IF(AND(ISNUMBER(tblHorasNov[Saída - 1 (Almoço)]),ISNUMBER(tblHorasNov[Entrada - 1])),
              IF(OR(AND(tblHorasNov[Evento 
(1º Período)]&lt;&gt;"",IF(ISERROR(VLOOKUP(tblHorasNov[Evento 
(1º Período)],tblEvento[],Tabelas!$E$1,FALSE)),FALSE,VLOOKUP(tblHorasNov[Evento 
(1º Período)],tblEvento[],Tabelas!$E$1,FALSE)="Sim")),IF(VLOOKUP(TEXT(tblHorasNov[Data],"dddd"),tblDiaUtil[],2,FALSE)="Não",TRUE,FALSE)),
                   tblHorasNov[Saída - 1 (Almoço)]-tblHorasNov[Entrada - 1],
                   IF(OR(HOUR(tblHorasNov[Saída - 1 (Almoço)]-tblHorasNov[Entrada - 1])&gt;0,ROUND(tblHorasNov[Saída - 1 (Almoço)]-tblHorasNov[Entrada - 1],6)&gt;ROUND(CARENCIA,6)),
                          tblHorasNov[Saída - 1 (Almoço)]-tblHorasNov[Entrada - 1],
                          0)),
                    0)),0)</f>
        <v>0</v>
      </c>
      <c r="K34" s="4">
        <f>IF($B$6&lt;&gt;"",
IF(AND(tblHorasNov[Evento 
(2º Período)]&lt;&gt;"",IF(ISERROR(VLOOKUP(tblHorasNov[Evento 
(2º Período)],tblEvento[],Tabelas!$D$1,FALSE)),FALSE,VLOOKUP(tblHorasNov[Evento 
(2º Período)],tblEvento[],Tabelas!$D$1,FALSE)="Sim")),
        IF(JORNADA_PERIODO_2&lt;&gt;"",
IF(VLOOKUP(tblHorasNov[Dia],tblDiaUtil[[Abreviatura]:[2º Período]],4,FALSE)&gt;0,VLOOKUP(tblHorasNov[Dia],tblDiaUtil[[Abreviatura]:[2º Período]],4,FALSE),JORNADA_PERIODO_2),
IF(VLOOKUP(tblHorasNov[Dia],tblDiaUtil[[Abreviatura]:[2º Período]],4,FALSE)&gt;0,VLOOKUP(tblHorasNov[Dia],tblDiaUtil[[Abreviatura]:[2º Período]],4,FALSE),JORNADA/2)),
        IF(AND(ISNUMBER(tblHorasNov[Saída - 2]),ISNUMBER(tblHorasNov[Entrada - 2 (Almoço)])),
              IF(OR(AND(tblHorasNov[Evento 
(2º Período)]&lt;&gt;"",IF(ISERROR(VLOOKUP(tblHorasNov[Evento 
(2º Período)],tblEvento[],Tabelas!$E$1,FALSE)),FALSE,VLOOKUP(tblHorasNov[Evento 
(2º Período)],tblEvento[],Tabelas!$E$1,FALSE)="Sim")),IF(VLOOKUP(TEXT(tblHorasNov[Data],"dddd"),tblDiaUtil[],2,FALSE)="Não",TRUE,FALSE)),
                   tblHorasNov[Saída - 2]-tblHorasNov[Entrada - 2 (Almoço)],
                   IF(OR(HOUR(tblHorasNov[Saída - 2]-tblHorasNov[Entrada - 2 (Almoço)])&gt;0,MINUTE(tblHorasNov[Saída - 2]-tblHorasNov[Entrada - 2 (Almoço)])&gt;CARENCIA),
                         tblHorasNov[Saída - 2]-tblHorasNov[Entrada - 2 (Almoço)],
                         0)),
       0)),0)</f>
        <v>0</v>
      </c>
      <c r="L34" s="4">
        <f>tblHorasNov[Horas Trabalhadas (1º Período)]+tblHorasNov[Horas Trabalhadas (2º Período)]</f>
        <v>0</v>
      </c>
      <c r="M34" s="4" t="str">
        <f>IF(tblHorasNov[Data]&lt;&gt;"",
        IF(
AND(VLOOKUP(TEXT(tblHorasNov[Data],"dddd"),tblDiaUtil[],3,FALSE)="Sim",IF(tblHorasNov[Evento 
(1º Período)]&lt;&gt;"",IF(VLOOKUP(tblHorasNov[Evento 
(1º Período)],tblEvento[],Tabelas!$E$1,FALSE)="Sim",FALSE,TRUE),TRUE),IF(tblHorasNov[Evento 
(2º Período)]&lt;&gt;"",IF(VLOOKUP(tblHorasNov[Evento 
(2º Período)],tblEvento[],Tabelas!$E$1,FALSE)="Sim",FALSE,TRUE),TRUE)),
              IF(VLOOKUP(tblHorasNov[Dia],tblDiaUtil[[Abreviatura]:[1º Período]],3,FALSE)&gt;0,VLOOKUP(tblHorasNov[Dia],tblDiaUtil[[Abreviatura]:[1º Período]],3,FALSE),JORNADA),
              ""),
         "")</f>
        <v/>
      </c>
      <c r="N34" s="14">
        <f>IF(OR(tblHorasNov[Horas Trabalhadas (1º Período)]&lt;&gt;0,tblHorasNov[Horas Trabalhadas (2º Período)]&lt;&gt;0),
        IF(ISNUMBER(tblHorasNov[Jornada Diária]),
              IF(tblHorasNov[Jornada Diária]&gt;(tblHorasNov[Horas Trabalhadas (2º Período)]+tblHorasNov[Horas Trabalhadas (1º Período)]),
                     IF(ROUND((tblHorasNov[Jornada Diária]-(tblHorasNov[Horas Trabalhadas (2º Período)]+tblHorasNov[Horas Trabalhadas (1º Período)])),6)&gt;ROUND(CARENCIA,6),
                           -tblHorasNov[Jornada Diária]+(tblHorasNov[Horas Trabalhadas (2º Período)]+tblHorasNov[Horas Trabalhadas (1º Período)]),
                           0),
                      IF(ROUND((tblHorasNov[Jornada Diária]-(tblHorasNov[Horas Trabalhadas (2º Período)]+tblHorasNov[Horas Trabalhadas (1º Período)])),6)&lt;ROUND(-CARENCIA,6),
                           -tblHorasNov[Jornada Diária]+(tblHorasNov[Horas Trabalhadas (2º Período)]+tblHorasNov[Horas Trabalhadas (1º Período)]),
                           0)),
              tblHorasNov[Horas Trabalhadas (2º Período)]+tblHorasNov[Horas Trabalhadas (1º Período)]),
         IF(AND(IF(ISERROR(VLOOKUP(tblHorasNov[Evento 
(1º Período)],tblEvento[[Evento]:[Libera o Período]],4,FALSE)),FALSE,IF(VLOOKUP(tblHorasNov[Evento 
(1º Período)],tblEvento[[Evento]:[Libera o Período]],4,FALSE)="Não",TRUE,FALSE)),IF(ISERROR(VLOOKUP(tblHorasNov[Evento 
(2º Período)],tblEvento[[Evento]:[Libera o Período]],4,FALSE)),FALSE,IF(VLOOKUP(tblHorasNov[Evento 
(2º Período)],tblEvento[[Evento]:[Libera o Período]],4,FALSE)="Não",TRUE,FALSE))),
-IF(VLOOKUP(tblHorasNov[Dia],tblDiaUtil[[Abreviatura]:[Total Jornada]],5,FALSE)&lt;&gt;"",VLOOKUP(tblHorasNov[Dia],tblDiaUtil[[Abreviatura]:[Total Jornada]],5,FALSE),JORNADA),
IF(IF(ISERROR(VLOOKUP(tblHorasNov[Evento 
(1º Período)],tblEvento[[Evento]:[Libera o Período]],4,FALSE)),FALSE,
IF(VLOOKUP(tblHorasNov[Evento 
(1º Período)],tblEvento[[Evento]:[Libera o Período]],4,FALSE)="Não",TRUE,FALSE)
),
-IF(VLOOKUP(tblHorasNov[Dia],tblDiaUtil[[Abreviatura]:[1º Período]],3,FALSE)&lt;&gt;"",VLOOKUP(tblHorasNov[Dia],tblDiaUtil[[Abreviatura]:[1º Período]],3,FALSE),JORNADA_PERIODO_1),
IF(IF(ISERROR(VLOOKUP(tblHorasNov[Evento 
(2º Período)],tblEvento[[Evento]:[Libera o Período]],4,FALSE)),FALSE,IF(VLOOKUP(tblHorasNov[Evento 
(2º Período)],tblEvento[[Evento]:[Libera o Período]],4,FALSE)="Não",TRUE,FALSE)),
-IF(VLOOKUP(tblHorasNov[Dia],tblDiaUtil[[Abreviatura]:[2º Período]],4,FALSE)&lt;&gt;"",VLOOKUP(tblHorasNov[Dia],tblDiaUtil[[Abreviatura]:[2º Período]],4,FALSE),JORNADA_PERIODO_2),0))))</f>
        <v>0</v>
      </c>
      <c r="O34" s="14">
        <f>IF(tblHorasNov[Horas Trabalhadas Além Jornada]&gt;0,
        IF(ISNUMBER(tblHorasNov[Jornada Diária]),
              IF(HOUR(tblHorasNov[Horas Trabalhadas Além Jornada])&gt;=VLOOKUP(LIMITE,tblLimiteHora[],Tabelas!$I$1,FALSE),
                    VLOOKUP(LIMITE,tblLimiteHora[],Tabelas!$J$1,FALSE),
                    tblHorasNov[Horas Trabalhadas Além Jornada]),
              tblHorasNov[Horas Trabalhadas Além Jornada]),
        tblHorasNov[Horas Trabalhadas Além Jornada])+O33</f>
        <v>0</v>
      </c>
      <c r="P34" s="14" t="str">
        <f>IF(tblHorasNov[Horas Trabalhadas Além Jornada]&lt;0,IF(OR(tblHorasNov[Evento 
(1º Período)]="",tblHorasNov[Evento 
(2º Período)]=""),tblHorasNov[Horas Trabalhadas Além Jornada],""),"")</f>
        <v/>
      </c>
      <c r="Q34" s="14" t="str">
        <f>IF(tblHorasNov[Jornada Diária]&lt;&gt;"",IF((N(tblHorasNov[Jornada Diária])-ABS(N(tblHorasNov[Horas Trabalhadas Além Jornada])))=0,1,""),"")</f>
        <v/>
      </c>
      <c r="R34" s="14" t="str">
        <f>IF(tblHorasNov[Horas Trabalhadas Além Jornada]&gt;0,
IF(AND(VLOOKUP(TEXT(tblHorasNov[Data],"dddd"),tblDiaUtil[],3,FALSE)="Sim",IF(tblHorasNov[Evento 
(1º Período)]&lt;&gt;"",IF(VLOOKUP(tblHorasNov[Evento 
(1º Período)],tblEvento[],Tabelas!$E$1,FALSE)="Sim",FALSE,TRUE),TRUE),IF(tblHorasNov[Evento 
(2º Período)]&lt;&gt;"",IF(VLOOKUP(tblHorasNov[Evento 
(2º Período)],tblEvento[],Tabelas!$E$1,FALSE)="Sim",FALSE,TRUE),TRUE)),
tblHorasNov[Horas Trabalhadas Além Jornada],""),"")</f>
        <v/>
      </c>
      <c r="S34" s="14" t="str">
        <f>IF(tblHorasNov[Horas Trabalhadas Além Jornada]&gt;0,
IF(OR(VLOOKUP(TEXT(tblHorasNov[Data],"dddd"),tblDiaUtil[],3,FALSE)="Não",IF(tblHorasNov[Evento 
(1º Período)]&lt;&gt;"",IF(VLOOKUP(tblHorasNov[Evento 
(1º Período)],tblEvento[],Tabelas!$E$1,FALSE)="Sim",TRUE,FALSE),FALSE),IF(tblHorasNov[Evento 
(2º Período)]&lt;&gt;"",IF(VLOOKUP(tblHorasNov[Evento 
(2º Período)],tblEvento[],Tabelas!$E$1,FALSE)="Sim",TRUE,FALSE),FALSE)),
tblHorasNov[Horas Trabalhadas Além Jornada],""),"")</f>
        <v/>
      </c>
      <c r="T34" s="15" t="str">
        <f>IF(tblHorasNov[Evento 
(1º Período)]&lt;&gt;""," - " &amp;VLOOKUP(tblHorasNov[Evento 
(1º Período)],tblEvento[],Tabelas!$F$1,FALSE),"")&amp;IF(AND(tblHorasNov[Evento 
(2º Período)]&lt;&gt;"",tblHorasNov[Evento 
(2º Período)]&lt;&gt;tblHorasNov[Evento 
(1º Período)])," - " &amp; VLOOKUP(tblHorasNov[Evento 
(2º Período)],tblEvento[],Tabelas!$F$1,FALSE),"")</f>
        <v/>
      </c>
    </row>
    <row r="35" spans="2:21" x14ac:dyDescent="0.25">
      <c r="B35" s="11" t="str">
        <f t="shared" si="0"/>
        <v/>
      </c>
      <c r="C35" s="12" t="str">
        <f>TEXT(tblHorasNov[Data],"ddd")</f>
        <v/>
      </c>
      <c r="D35" s="25"/>
      <c r="E35" s="1"/>
      <c r="F35" s="1"/>
      <c r="G35" s="1"/>
      <c r="H35" s="1"/>
      <c r="I35" s="53"/>
      <c r="J35" s="4">
        <f>IF($B$6&lt;&gt;"",
IF(AND(tblHorasNov[Evento 
(1º Período)]&lt;&gt;"",IF(ISERROR(VLOOKUP(tblHorasNov[Evento 
(1º Período)],tblEvento[],Tabelas!$D$1,FALSE)),FALSE,VLOOKUP(tblHorasNov[Evento 
(1º Período)],tblEvento[],Tabelas!$D$1,FALSE)="Sim")),
        IF(JORNADA_PERIODO_1&lt;&gt;"",
IF(VLOOKUP(tblHorasNov[Dia],tblDiaUtil[[Abreviatura]:[1º Período]],3,FALSE)&gt;0,VLOOKUP(tblHorasNov[Dia],tblDiaUtil[[Abreviatura]:[1º Período]],3,FALSE),JORNADA_PERIODO_1),
IF(VLOOKUP(tblHorasNov[Dia],tblDiaUtil[[Abreviatura]:[1º Período]],3,FALSE)&gt;0,VLOOKUP(tblHorasNov[Dia],tblDiaUtil[[Abreviatura]:[1º Período]],3,FALSE),JORNADA/2)),
        IF(AND(ISNUMBER(tblHorasNov[Saída - 1 (Almoço)]),ISNUMBER(tblHorasNov[Entrada - 1])),
              IF(OR(AND(tblHorasNov[Evento 
(1º Período)]&lt;&gt;"",IF(ISERROR(VLOOKUP(tblHorasNov[Evento 
(1º Período)],tblEvento[],Tabelas!$E$1,FALSE)),FALSE,VLOOKUP(tblHorasNov[Evento 
(1º Período)],tblEvento[],Tabelas!$E$1,FALSE)="Sim")),IF(VLOOKUP(TEXT(tblHorasNov[Data],"dddd"),tblDiaUtil[],2,FALSE)="Não",TRUE,FALSE)),
                   tblHorasNov[Saída - 1 (Almoço)]-tblHorasNov[Entrada - 1],
                   IF(OR(HOUR(tblHorasNov[Saída - 1 (Almoço)]-tblHorasNov[Entrada - 1])&gt;0,ROUND(tblHorasNov[Saída - 1 (Almoço)]-tblHorasNov[Entrada - 1],6)&gt;ROUND(CARENCIA,6)),
                          tblHorasNov[Saída - 1 (Almoço)]-tblHorasNov[Entrada - 1],
                          0)),
                    0)),0)</f>
        <v>0</v>
      </c>
      <c r="K35" s="4">
        <f>IF($B$6&lt;&gt;"",
IF(AND(tblHorasNov[Evento 
(2º Período)]&lt;&gt;"",IF(ISERROR(VLOOKUP(tblHorasNov[Evento 
(2º Período)],tblEvento[],Tabelas!$D$1,FALSE)),FALSE,VLOOKUP(tblHorasNov[Evento 
(2º Período)],tblEvento[],Tabelas!$D$1,FALSE)="Sim")),
        IF(JORNADA_PERIODO_2&lt;&gt;"",
IF(VLOOKUP(tblHorasNov[Dia],tblDiaUtil[[Abreviatura]:[2º Período]],4,FALSE)&gt;0,VLOOKUP(tblHorasNov[Dia],tblDiaUtil[[Abreviatura]:[2º Período]],4,FALSE),JORNADA_PERIODO_2),
IF(VLOOKUP(tblHorasNov[Dia],tblDiaUtil[[Abreviatura]:[2º Período]],4,FALSE)&gt;0,VLOOKUP(tblHorasNov[Dia],tblDiaUtil[[Abreviatura]:[2º Período]],4,FALSE),JORNADA/2)),
        IF(AND(ISNUMBER(tblHorasNov[Saída - 2]),ISNUMBER(tblHorasNov[Entrada - 2 (Almoço)])),
              IF(OR(AND(tblHorasNov[Evento 
(2º Período)]&lt;&gt;"",IF(ISERROR(VLOOKUP(tblHorasNov[Evento 
(2º Período)],tblEvento[],Tabelas!$E$1,FALSE)),FALSE,VLOOKUP(tblHorasNov[Evento 
(2º Período)],tblEvento[],Tabelas!$E$1,FALSE)="Sim")),IF(VLOOKUP(TEXT(tblHorasNov[Data],"dddd"),tblDiaUtil[],2,FALSE)="Não",TRUE,FALSE)),
                   tblHorasNov[Saída - 2]-tblHorasNov[Entrada - 2 (Almoço)],
                   IF(OR(HOUR(tblHorasNov[Saída - 2]-tblHorasNov[Entrada - 2 (Almoço)])&gt;0,MINUTE(tblHorasNov[Saída - 2]-tblHorasNov[Entrada - 2 (Almoço)])&gt;CARENCIA),
                         tblHorasNov[Saída - 2]-tblHorasNov[Entrada - 2 (Almoço)],
                         0)),
       0)),0)</f>
        <v>0</v>
      </c>
      <c r="L35" s="4">
        <f>tblHorasNov[Horas Trabalhadas (1º Período)]+tblHorasNov[Horas Trabalhadas (2º Período)]</f>
        <v>0</v>
      </c>
      <c r="M35" s="4" t="str">
        <f>IF(tblHorasNov[Data]&lt;&gt;"",
        IF(
AND(VLOOKUP(TEXT(tblHorasNov[Data],"dddd"),tblDiaUtil[],3,FALSE)="Sim",IF(tblHorasNov[Evento 
(1º Período)]&lt;&gt;"",IF(VLOOKUP(tblHorasNov[Evento 
(1º Período)],tblEvento[],Tabelas!$E$1,FALSE)="Sim",FALSE,TRUE),TRUE),IF(tblHorasNov[Evento 
(2º Período)]&lt;&gt;"",IF(VLOOKUP(tblHorasNov[Evento 
(2º Período)],tblEvento[],Tabelas!$E$1,FALSE)="Sim",FALSE,TRUE),TRUE)),
              IF(VLOOKUP(tblHorasNov[Dia],tblDiaUtil[[Abreviatura]:[1º Período]],3,FALSE)&gt;0,VLOOKUP(tblHorasNov[Dia],tblDiaUtil[[Abreviatura]:[1º Período]],3,FALSE),JORNADA),
              ""),
         "")</f>
        <v/>
      </c>
      <c r="N35" s="14">
        <f>IF(OR(tblHorasNov[Horas Trabalhadas (1º Período)]&lt;&gt;0,tblHorasNov[Horas Trabalhadas (2º Período)]&lt;&gt;0),
        IF(ISNUMBER(tblHorasNov[Jornada Diária]),
              IF(tblHorasNov[Jornada Diária]&gt;(tblHorasNov[Horas Trabalhadas (2º Período)]+tblHorasNov[Horas Trabalhadas (1º Período)]),
                     IF(ROUND((tblHorasNov[Jornada Diária]-(tblHorasNov[Horas Trabalhadas (2º Período)]+tblHorasNov[Horas Trabalhadas (1º Período)])),6)&gt;ROUND(CARENCIA,6),
                           -tblHorasNov[Jornada Diária]+(tblHorasNov[Horas Trabalhadas (2º Período)]+tblHorasNov[Horas Trabalhadas (1º Período)]),
                           0),
                      IF(ROUND((tblHorasNov[Jornada Diária]-(tblHorasNov[Horas Trabalhadas (2º Período)]+tblHorasNov[Horas Trabalhadas (1º Período)])),6)&lt;ROUND(-CARENCIA,6),
                           -tblHorasNov[Jornada Diária]+(tblHorasNov[Horas Trabalhadas (2º Período)]+tblHorasNov[Horas Trabalhadas (1º Período)]),
                           0)),
              tblHorasNov[Horas Trabalhadas (2º Período)]+tblHorasNov[Horas Trabalhadas (1º Período)]),
         IF(AND(IF(ISERROR(VLOOKUP(tblHorasNov[Evento 
(1º Período)],tblEvento[[Evento]:[Libera o Período]],4,FALSE)),FALSE,IF(VLOOKUP(tblHorasNov[Evento 
(1º Período)],tblEvento[[Evento]:[Libera o Período]],4,FALSE)="Não",TRUE,FALSE)),IF(ISERROR(VLOOKUP(tblHorasNov[Evento 
(2º Período)],tblEvento[[Evento]:[Libera o Período]],4,FALSE)),FALSE,IF(VLOOKUP(tblHorasNov[Evento 
(2º Período)],tblEvento[[Evento]:[Libera o Período]],4,FALSE)="Não",TRUE,FALSE))),
-IF(VLOOKUP(tblHorasNov[Dia],tblDiaUtil[[Abreviatura]:[Total Jornada]],5,FALSE)&lt;&gt;"",VLOOKUP(tblHorasNov[Dia],tblDiaUtil[[Abreviatura]:[Total Jornada]],5,FALSE),JORNADA),
IF(IF(ISERROR(VLOOKUP(tblHorasNov[Evento 
(1º Período)],tblEvento[[Evento]:[Libera o Período]],4,FALSE)),FALSE,
IF(VLOOKUP(tblHorasNov[Evento 
(1º Período)],tblEvento[[Evento]:[Libera o Período]],4,FALSE)="Não",TRUE,FALSE)
),
-IF(VLOOKUP(tblHorasNov[Dia],tblDiaUtil[[Abreviatura]:[1º Período]],3,FALSE)&lt;&gt;"",VLOOKUP(tblHorasNov[Dia],tblDiaUtil[[Abreviatura]:[1º Período]],3,FALSE),JORNADA_PERIODO_1),
IF(IF(ISERROR(VLOOKUP(tblHorasNov[Evento 
(2º Período)],tblEvento[[Evento]:[Libera o Período]],4,FALSE)),FALSE,IF(VLOOKUP(tblHorasNov[Evento 
(2º Período)],tblEvento[[Evento]:[Libera o Período]],4,FALSE)="Não",TRUE,FALSE)),
-IF(VLOOKUP(tblHorasNov[Dia],tblDiaUtil[[Abreviatura]:[2º Período]],4,FALSE)&lt;&gt;"",VLOOKUP(tblHorasNov[Dia],tblDiaUtil[[Abreviatura]:[2º Período]],4,FALSE),JORNADA_PERIODO_2),0))))</f>
        <v>0</v>
      </c>
      <c r="O35" s="14">
        <f>IF(tblHorasNov[Horas Trabalhadas Além Jornada]&gt;0,
        IF(ISNUMBER(tblHorasNov[Jornada Diária]),
              IF(HOUR(tblHorasNov[Horas Trabalhadas Além Jornada])&gt;=VLOOKUP(LIMITE,tblLimiteHora[],Tabelas!$I$1,FALSE),
                    VLOOKUP(LIMITE,tblLimiteHora[],Tabelas!$J$1,FALSE),
                    tblHorasNov[Horas Trabalhadas Além Jornada]),
              tblHorasNov[Horas Trabalhadas Além Jornada]),
        tblHorasNov[Horas Trabalhadas Além Jornada])+O34</f>
        <v>0</v>
      </c>
      <c r="P35" s="14" t="str">
        <f>IF(tblHorasNov[Horas Trabalhadas Além Jornada]&lt;0,IF(OR(tblHorasNov[Evento 
(1º Período)]="",tblHorasNov[Evento 
(2º Período)]=""),tblHorasNov[Horas Trabalhadas Além Jornada],""),"")</f>
        <v/>
      </c>
      <c r="Q35" s="14" t="str">
        <f>IF(tblHorasNov[Jornada Diária]&lt;&gt;"",IF((N(tblHorasNov[Jornada Diária])-ABS(N(tblHorasNov[Horas Trabalhadas Além Jornada])))=0,1,""),"")</f>
        <v/>
      </c>
      <c r="R35" s="14" t="str">
        <f>IF(tblHorasNov[Horas Trabalhadas Além Jornada]&gt;0,
IF(AND(VLOOKUP(TEXT(tblHorasNov[Data],"dddd"),tblDiaUtil[],3,FALSE)="Sim",IF(tblHorasNov[Evento 
(1º Período)]&lt;&gt;"",IF(VLOOKUP(tblHorasNov[Evento 
(1º Período)],tblEvento[],Tabelas!$E$1,FALSE)="Sim",FALSE,TRUE),TRUE),IF(tblHorasNov[Evento 
(2º Período)]&lt;&gt;"",IF(VLOOKUP(tblHorasNov[Evento 
(2º Período)],tblEvento[],Tabelas!$E$1,FALSE)="Sim",FALSE,TRUE),TRUE)),
tblHorasNov[Horas Trabalhadas Além Jornada],""),"")</f>
        <v/>
      </c>
      <c r="S35" s="14" t="str">
        <f>IF(tblHorasNov[Horas Trabalhadas Além Jornada]&gt;0,
IF(OR(VLOOKUP(TEXT(tblHorasNov[Data],"dddd"),tblDiaUtil[],3,FALSE)="Não",IF(tblHorasNov[Evento 
(1º Período)]&lt;&gt;"",IF(VLOOKUP(tblHorasNov[Evento 
(1º Período)],tblEvento[],Tabelas!$E$1,FALSE)="Sim",TRUE,FALSE),FALSE),IF(tblHorasNov[Evento 
(2º Período)]&lt;&gt;"",IF(VLOOKUP(tblHorasNov[Evento 
(2º Período)],tblEvento[],Tabelas!$E$1,FALSE)="Sim",TRUE,FALSE),FALSE)),
tblHorasNov[Horas Trabalhadas Além Jornada],""),"")</f>
        <v/>
      </c>
      <c r="T35" s="15" t="str">
        <f>IF(tblHorasNov[Evento 
(1º Período)]&lt;&gt;""," - " &amp;VLOOKUP(tblHorasNov[Evento 
(1º Período)],tblEvento[],Tabelas!$F$1,FALSE),"")&amp;IF(AND(tblHorasNov[Evento 
(2º Período)]&lt;&gt;"",tblHorasNov[Evento 
(2º Período)]&lt;&gt;tblHorasNov[Evento 
(1º Período)])," - " &amp; VLOOKUP(tblHorasNov[Evento 
(2º Período)],tblEvento[],Tabelas!$F$1,FALSE),"")</f>
        <v/>
      </c>
    </row>
    <row r="36" spans="2:21" x14ac:dyDescent="0.25">
      <c r="B36" s="11" t="str">
        <f t="shared" si="0"/>
        <v/>
      </c>
      <c r="C36" s="12" t="str">
        <f>TEXT(tblHorasNov[Data],"ddd")</f>
        <v/>
      </c>
      <c r="D36" s="25"/>
      <c r="E36" s="1"/>
      <c r="F36" s="1"/>
      <c r="G36" s="1"/>
      <c r="H36" s="1"/>
      <c r="I36" s="53"/>
      <c r="J36" s="4">
        <f>IF($B$6&lt;&gt;"",
IF(AND(tblHorasNov[Evento 
(1º Período)]&lt;&gt;"",IF(ISERROR(VLOOKUP(tblHorasNov[Evento 
(1º Período)],tblEvento[],Tabelas!$D$1,FALSE)),FALSE,VLOOKUP(tblHorasNov[Evento 
(1º Período)],tblEvento[],Tabelas!$D$1,FALSE)="Sim")),
        IF(JORNADA_PERIODO_1&lt;&gt;"",
IF(VLOOKUP(tblHorasNov[Dia],tblDiaUtil[[Abreviatura]:[1º Período]],3,FALSE)&gt;0,VLOOKUP(tblHorasNov[Dia],tblDiaUtil[[Abreviatura]:[1º Período]],3,FALSE),JORNADA_PERIODO_1),
IF(VLOOKUP(tblHorasNov[Dia],tblDiaUtil[[Abreviatura]:[1º Período]],3,FALSE)&gt;0,VLOOKUP(tblHorasNov[Dia],tblDiaUtil[[Abreviatura]:[1º Período]],3,FALSE),JORNADA/2)),
        IF(AND(ISNUMBER(tblHorasNov[Saída - 1 (Almoço)]),ISNUMBER(tblHorasNov[Entrada - 1])),
              IF(OR(AND(tblHorasNov[Evento 
(1º Período)]&lt;&gt;"",IF(ISERROR(VLOOKUP(tblHorasNov[Evento 
(1º Período)],tblEvento[],Tabelas!$E$1,FALSE)),FALSE,VLOOKUP(tblHorasNov[Evento 
(1º Período)],tblEvento[],Tabelas!$E$1,FALSE)="Sim")),IF(VLOOKUP(TEXT(tblHorasNov[Data],"dddd"),tblDiaUtil[],2,FALSE)="Não",TRUE,FALSE)),
                   tblHorasNov[Saída - 1 (Almoço)]-tblHorasNov[Entrada - 1],
                   IF(OR(HOUR(tblHorasNov[Saída - 1 (Almoço)]-tblHorasNov[Entrada - 1])&gt;0,ROUND(tblHorasNov[Saída - 1 (Almoço)]-tblHorasNov[Entrada - 1],6)&gt;ROUND(CARENCIA,6)),
                          tblHorasNov[Saída - 1 (Almoço)]-tblHorasNov[Entrada - 1],
                          0)),
                    0)),0)</f>
        <v>0</v>
      </c>
      <c r="K36" s="4">
        <f>IF($B$6&lt;&gt;"",
IF(AND(tblHorasNov[Evento 
(2º Período)]&lt;&gt;"",IF(ISERROR(VLOOKUP(tblHorasNov[Evento 
(2º Período)],tblEvento[],Tabelas!$D$1,FALSE)),FALSE,VLOOKUP(tblHorasNov[Evento 
(2º Período)],tblEvento[],Tabelas!$D$1,FALSE)="Sim")),
        IF(JORNADA_PERIODO_2&lt;&gt;"",
IF(VLOOKUP(tblHorasNov[Dia],tblDiaUtil[[Abreviatura]:[2º Período]],4,FALSE)&gt;0,VLOOKUP(tblHorasNov[Dia],tblDiaUtil[[Abreviatura]:[2º Período]],4,FALSE),JORNADA_PERIODO_2),
IF(VLOOKUP(tblHorasNov[Dia],tblDiaUtil[[Abreviatura]:[2º Período]],4,FALSE)&gt;0,VLOOKUP(tblHorasNov[Dia],tblDiaUtil[[Abreviatura]:[2º Período]],4,FALSE),JORNADA/2)),
        IF(AND(ISNUMBER(tblHorasNov[Saída - 2]),ISNUMBER(tblHorasNov[Entrada - 2 (Almoço)])),
              IF(OR(AND(tblHorasNov[Evento 
(2º Período)]&lt;&gt;"",IF(ISERROR(VLOOKUP(tblHorasNov[Evento 
(2º Período)],tblEvento[],Tabelas!$E$1,FALSE)),FALSE,VLOOKUP(tblHorasNov[Evento 
(2º Período)],tblEvento[],Tabelas!$E$1,FALSE)="Sim")),IF(VLOOKUP(TEXT(tblHorasNov[Data],"dddd"),tblDiaUtil[],2,FALSE)="Não",TRUE,FALSE)),
                   tblHorasNov[Saída - 2]-tblHorasNov[Entrada - 2 (Almoço)],
                   IF(OR(HOUR(tblHorasNov[Saída - 2]-tblHorasNov[Entrada - 2 (Almoço)])&gt;0,MINUTE(tblHorasNov[Saída - 2]-tblHorasNov[Entrada - 2 (Almoço)])&gt;CARENCIA),
                         tblHorasNov[Saída - 2]-tblHorasNov[Entrada - 2 (Almoço)],
                         0)),
       0)),0)</f>
        <v>0</v>
      </c>
      <c r="L36" s="4">
        <f>tblHorasNov[Horas Trabalhadas (1º Período)]+tblHorasNov[Horas Trabalhadas (2º Período)]</f>
        <v>0</v>
      </c>
      <c r="M36" s="4" t="str">
        <f>IF(tblHorasNov[Data]&lt;&gt;"",
        IF(
AND(VLOOKUP(TEXT(tblHorasNov[Data],"dddd"),tblDiaUtil[],3,FALSE)="Sim",IF(tblHorasNov[Evento 
(1º Período)]&lt;&gt;"",IF(VLOOKUP(tblHorasNov[Evento 
(1º Período)],tblEvento[],Tabelas!$E$1,FALSE)="Sim",FALSE,TRUE),TRUE),IF(tblHorasNov[Evento 
(2º Período)]&lt;&gt;"",IF(VLOOKUP(tblHorasNov[Evento 
(2º Período)],tblEvento[],Tabelas!$E$1,FALSE)="Sim",FALSE,TRUE),TRUE)),
              IF(VLOOKUP(tblHorasNov[Dia],tblDiaUtil[[Abreviatura]:[1º Período]],3,FALSE)&gt;0,VLOOKUP(tblHorasNov[Dia],tblDiaUtil[[Abreviatura]:[1º Período]],3,FALSE),JORNADA),
              ""),
         "")</f>
        <v/>
      </c>
      <c r="N36" s="14">
        <f>IF(OR(tblHorasNov[Horas Trabalhadas (1º Período)]&lt;&gt;0,tblHorasNov[Horas Trabalhadas (2º Período)]&lt;&gt;0),
        IF(ISNUMBER(tblHorasNov[Jornada Diária]),
              IF(tblHorasNov[Jornada Diária]&gt;(tblHorasNov[Horas Trabalhadas (2º Período)]+tblHorasNov[Horas Trabalhadas (1º Período)]),
                     IF(ROUND((tblHorasNov[Jornada Diária]-(tblHorasNov[Horas Trabalhadas (2º Período)]+tblHorasNov[Horas Trabalhadas (1º Período)])),6)&gt;ROUND(CARENCIA,6),
                           -tblHorasNov[Jornada Diária]+(tblHorasNov[Horas Trabalhadas (2º Período)]+tblHorasNov[Horas Trabalhadas (1º Período)]),
                           0),
                      IF(ROUND((tblHorasNov[Jornada Diária]-(tblHorasNov[Horas Trabalhadas (2º Período)]+tblHorasNov[Horas Trabalhadas (1º Período)])),6)&lt;ROUND(-CARENCIA,6),
                           -tblHorasNov[Jornada Diária]+(tblHorasNov[Horas Trabalhadas (2º Período)]+tblHorasNov[Horas Trabalhadas (1º Período)]),
                           0)),
              tblHorasNov[Horas Trabalhadas (2º Período)]+tblHorasNov[Horas Trabalhadas (1º Período)]),
         IF(AND(IF(ISERROR(VLOOKUP(tblHorasNov[Evento 
(1º Período)],tblEvento[[Evento]:[Libera o Período]],4,FALSE)),FALSE,IF(VLOOKUP(tblHorasNov[Evento 
(1º Período)],tblEvento[[Evento]:[Libera o Período]],4,FALSE)="Não",TRUE,FALSE)),IF(ISERROR(VLOOKUP(tblHorasNov[Evento 
(2º Período)],tblEvento[[Evento]:[Libera o Período]],4,FALSE)),FALSE,IF(VLOOKUP(tblHorasNov[Evento 
(2º Período)],tblEvento[[Evento]:[Libera o Período]],4,FALSE)="Não",TRUE,FALSE))),
-IF(VLOOKUP(tblHorasNov[Dia],tblDiaUtil[[Abreviatura]:[Total Jornada]],5,FALSE)&lt;&gt;"",VLOOKUP(tblHorasNov[Dia],tblDiaUtil[[Abreviatura]:[Total Jornada]],5,FALSE),JORNADA),
IF(IF(ISERROR(VLOOKUP(tblHorasNov[Evento 
(1º Período)],tblEvento[[Evento]:[Libera o Período]],4,FALSE)),FALSE,
IF(VLOOKUP(tblHorasNov[Evento 
(1º Período)],tblEvento[[Evento]:[Libera o Período]],4,FALSE)="Não",TRUE,FALSE)
),
-IF(VLOOKUP(tblHorasNov[Dia],tblDiaUtil[[Abreviatura]:[1º Período]],3,FALSE)&lt;&gt;"",VLOOKUP(tblHorasNov[Dia],tblDiaUtil[[Abreviatura]:[1º Período]],3,FALSE),JORNADA_PERIODO_1),
IF(IF(ISERROR(VLOOKUP(tblHorasNov[Evento 
(2º Período)],tblEvento[[Evento]:[Libera o Período]],4,FALSE)),FALSE,IF(VLOOKUP(tblHorasNov[Evento 
(2º Período)],tblEvento[[Evento]:[Libera o Período]],4,FALSE)="Não",TRUE,FALSE)),
-IF(VLOOKUP(tblHorasNov[Dia],tblDiaUtil[[Abreviatura]:[2º Período]],4,FALSE)&lt;&gt;"",VLOOKUP(tblHorasNov[Dia],tblDiaUtil[[Abreviatura]:[2º Período]],4,FALSE),JORNADA_PERIODO_2),0))))</f>
        <v>0</v>
      </c>
      <c r="O36" s="14">
        <f>IF(tblHorasNov[Horas Trabalhadas Além Jornada]&gt;0,
        IF(ISNUMBER(tblHorasNov[Jornada Diária]),
              IF(HOUR(tblHorasNov[Horas Trabalhadas Além Jornada])&gt;=VLOOKUP(LIMITE,tblLimiteHora[],Tabelas!$I$1,FALSE),
                    VLOOKUP(LIMITE,tblLimiteHora[],Tabelas!$J$1,FALSE),
                    tblHorasNov[Horas Trabalhadas Além Jornada]),
              tblHorasNov[Horas Trabalhadas Além Jornada]),
        tblHorasNov[Horas Trabalhadas Além Jornada])+O35</f>
        <v>0</v>
      </c>
      <c r="P36" s="14" t="str">
        <f>IF(tblHorasNov[Horas Trabalhadas Além Jornada]&lt;0,IF(OR(tblHorasNov[Evento 
(1º Período)]="",tblHorasNov[Evento 
(2º Período)]=""),tblHorasNov[Horas Trabalhadas Além Jornada],""),"")</f>
        <v/>
      </c>
      <c r="Q36" s="14" t="str">
        <f>IF(tblHorasNov[Jornada Diária]&lt;&gt;"",IF((N(tblHorasNov[Jornada Diária])-ABS(N(tblHorasNov[Horas Trabalhadas Além Jornada])))=0,1,""),"")</f>
        <v/>
      </c>
      <c r="R36" s="14" t="str">
        <f>IF(tblHorasNov[Horas Trabalhadas Além Jornada]&gt;0,
IF(AND(VLOOKUP(TEXT(tblHorasNov[Data],"dddd"),tblDiaUtil[],3,FALSE)="Sim",IF(tblHorasNov[Evento 
(1º Período)]&lt;&gt;"",IF(VLOOKUP(tblHorasNov[Evento 
(1º Período)],tblEvento[],Tabelas!$E$1,FALSE)="Sim",FALSE,TRUE),TRUE),IF(tblHorasNov[Evento 
(2º Período)]&lt;&gt;"",IF(VLOOKUP(tblHorasNov[Evento 
(2º Período)],tblEvento[],Tabelas!$E$1,FALSE)="Sim",FALSE,TRUE),TRUE)),
tblHorasNov[Horas Trabalhadas Além Jornada],""),"")</f>
        <v/>
      </c>
      <c r="S36" s="14" t="str">
        <f>IF(tblHorasNov[Horas Trabalhadas Além Jornada]&gt;0,
IF(OR(VLOOKUP(TEXT(tblHorasNov[Data],"dddd"),tblDiaUtil[],3,FALSE)="Não",IF(tblHorasNov[Evento 
(1º Período)]&lt;&gt;"",IF(VLOOKUP(tblHorasNov[Evento 
(1º Período)],tblEvento[],Tabelas!$E$1,FALSE)="Sim",TRUE,FALSE),FALSE),IF(tblHorasNov[Evento 
(2º Período)]&lt;&gt;"",IF(VLOOKUP(tblHorasNov[Evento 
(2º Período)],tblEvento[],Tabelas!$E$1,FALSE)="Sim",TRUE,FALSE),FALSE)),
tblHorasNov[Horas Trabalhadas Além Jornada],""),"")</f>
        <v/>
      </c>
      <c r="T36" s="15" t="str">
        <f>IF(tblHorasNov[Evento 
(1º Período)]&lt;&gt;""," - " &amp;VLOOKUP(tblHorasNov[Evento 
(1º Período)],tblEvento[],Tabelas!$F$1,FALSE),"")&amp;IF(AND(tblHorasNov[Evento 
(2º Período)]&lt;&gt;"",tblHorasNov[Evento 
(2º Período)]&lt;&gt;tblHorasNov[Evento 
(1º Período)])," - " &amp; VLOOKUP(tblHorasNov[Evento 
(2º Período)],tblEvento[],Tabelas!$F$1,FALSE),"")</f>
        <v/>
      </c>
    </row>
    <row r="37" spans="2:21" x14ac:dyDescent="0.25">
      <c r="B37" s="11" t="str">
        <f t="shared" si="0"/>
        <v/>
      </c>
      <c r="C37" s="12" t="str">
        <f>TEXT(tblHorasNov[Data],"ddd")</f>
        <v/>
      </c>
      <c r="D37" s="25"/>
      <c r="E37" s="1"/>
      <c r="F37" s="1"/>
      <c r="G37" s="1"/>
      <c r="H37" s="1"/>
      <c r="I37" s="53"/>
      <c r="J37" s="4">
        <f>IF($B$6&lt;&gt;"",
IF(AND(tblHorasNov[Evento 
(1º Período)]&lt;&gt;"",IF(ISERROR(VLOOKUP(tblHorasNov[Evento 
(1º Período)],tblEvento[],Tabelas!$D$1,FALSE)),FALSE,VLOOKUP(tblHorasNov[Evento 
(1º Período)],tblEvento[],Tabelas!$D$1,FALSE)="Sim")),
        IF(JORNADA_PERIODO_1&lt;&gt;"",
IF(VLOOKUP(tblHorasNov[Dia],tblDiaUtil[[Abreviatura]:[1º Período]],3,FALSE)&gt;0,VLOOKUP(tblHorasNov[Dia],tblDiaUtil[[Abreviatura]:[1º Período]],3,FALSE),JORNADA_PERIODO_1),
IF(VLOOKUP(tblHorasNov[Dia],tblDiaUtil[[Abreviatura]:[1º Período]],3,FALSE)&gt;0,VLOOKUP(tblHorasNov[Dia],tblDiaUtil[[Abreviatura]:[1º Período]],3,FALSE),JORNADA/2)),
        IF(AND(ISNUMBER(tblHorasNov[Saída - 1 (Almoço)]),ISNUMBER(tblHorasNov[Entrada - 1])),
              IF(OR(AND(tblHorasNov[Evento 
(1º Período)]&lt;&gt;"",IF(ISERROR(VLOOKUP(tblHorasNov[Evento 
(1º Período)],tblEvento[],Tabelas!$E$1,FALSE)),FALSE,VLOOKUP(tblHorasNov[Evento 
(1º Período)],tblEvento[],Tabelas!$E$1,FALSE)="Sim")),IF(VLOOKUP(TEXT(tblHorasNov[Data],"dddd"),tblDiaUtil[],2,FALSE)="Não",TRUE,FALSE)),
                   tblHorasNov[Saída - 1 (Almoço)]-tblHorasNov[Entrada - 1],
                   IF(OR(HOUR(tblHorasNov[Saída - 1 (Almoço)]-tblHorasNov[Entrada - 1])&gt;0,ROUND(tblHorasNov[Saída - 1 (Almoço)]-tblHorasNov[Entrada - 1],6)&gt;ROUND(CARENCIA,6)),
                          tblHorasNov[Saída - 1 (Almoço)]-tblHorasNov[Entrada - 1],
                          0)),
                    0)),0)</f>
        <v>0</v>
      </c>
      <c r="K37" s="4">
        <f>IF($B$6&lt;&gt;"",
IF(AND(tblHorasNov[Evento 
(2º Período)]&lt;&gt;"",IF(ISERROR(VLOOKUP(tblHorasNov[Evento 
(2º Período)],tblEvento[],Tabelas!$D$1,FALSE)),FALSE,VLOOKUP(tblHorasNov[Evento 
(2º Período)],tblEvento[],Tabelas!$D$1,FALSE)="Sim")),
        IF(JORNADA_PERIODO_2&lt;&gt;"",
IF(VLOOKUP(tblHorasNov[Dia],tblDiaUtil[[Abreviatura]:[2º Período]],4,FALSE)&gt;0,VLOOKUP(tblHorasNov[Dia],tblDiaUtil[[Abreviatura]:[2º Período]],4,FALSE),JORNADA_PERIODO_2),
IF(VLOOKUP(tblHorasNov[Dia],tblDiaUtil[[Abreviatura]:[2º Período]],4,FALSE)&gt;0,VLOOKUP(tblHorasNov[Dia],tblDiaUtil[[Abreviatura]:[2º Período]],4,FALSE),JORNADA/2)),
        IF(AND(ISNUMBER(tblHorasNov[Saída - 2]),ISNUMBER(tblHorasNov[Entrada - 2 (Almoço)])),
              IF(OR(AND(tblHorasNov[Evento 
(2º Período)]&lt;&gt;"",IF(ISERROR(VLOOKUP(tblHorasNov[Evento 
(2º Período)],tblEvento[],Tabelas!$E$1,FALSE)),FALSE,VLOOKUP(tblHorasNov[Evento 
(2º Período)],tblEvento[],Tabelas!$E$1,FALSE)="Sim")),IF(VLOOKUP(TEXT(tblHorasNov[Data],"dddd"),tblDiaUtil[],2,FALSE)="Não",TRUE,FALSE)),
                   tblHorasNov[Saída - 2]-tblHorasNov[Entrada - 2 (Almoço)],
                   IF(OR(HOUR(tblHorasNov[Saída - 2]-tblHorasNov[Entrada - 2 (Almoço)])&gt;0,MINUTE(tblHorasNov[Saída - 2]-tblHorasNov[Entrada - 2 (Almoço)])&gt;CARENCIA),
                         tblHorasNov[Saída - 2]-tblHorasNov[Entrada - 2 (Almoço)],
                         0)),
       0)),0)</f>
        <v>0</v>
      </c>
      <c r="L37" s="4">
        <f>tblHorasNov[Horas Trabalhadas (1º Período)]+tblHorasNov[Horas Trabalhadas (2º Período)]</f>
        <v>0</v>
      </c>
      <c r="M37" s="4" t="str">
        <f>IF(tblHorasNov[Data]&lt;&gt;"",
        IF(
AND(VLOOKUP(TEXT(tblHorasNov[Data],"dddd"),tblDiaUtil[],3,FALSE)="Sim",IF(tblHorasNov[Evento 
(1º Período)]&lt;&gt;"",IF(VLOOKUP(tblHorasNov[Evento 
(1º Período)],tblEvento[],Tabelas!$E$1,FALSE)="Sim",FALSE,TRUE),TRUE),IF(tblHorasNov[Evento 
(2º Período)]&lt;&gt;"",IF(VLOOKUP(tblHorasNov[Evento 
(2º Período)],tblEvento[],Tabelas!$E$1,FALSE)="Sim",FALSE,TRUE),TRUE)),
              IF(VLOOKUP(tblHorasNov[Dia],tblDiaUtil[[Abreviatura]:[1º Período]],3,FALSE)&gt;0,VLOOKUP(tblHorasNov[Dia],tblDiaUtil[[Abreviatura]:[1º Período]],3,FALSE),JORNADA),
              ""),
         "")</f>
        <v/>
      </c>
      <c r="N37" s="14">
        <f>IF(OR(tblHorasNov[Horas Trabalhadas (1º Período)]&lt;&gt;0,tblHorasNov[Horas Trabalhadas (2º Período)]&lt;&gt;0),
        IF(ISNUMBER(tblHorasNov[Jornada Diária]),
              IF(tblHorasNov[Jornada Diária]&gt;(tblHorasNov[Horas Trabalhadas (2º Período)]+tblHorasNov[Horas Trabalhadas (1º Período)]),
                     IF(ROUND((tblHorasNov[Jornada Diária]-(tblHorasNov[Horas Trabalhadas (2º Período)]+tblHorasNov[Horas Trabalhadas (1º Período)])),6)&gt;ROUND(CARENCIA,6),
                           -tblHorasNov[Jornada Diária]+(tblHorasNov[Horas Trabalhadas (2º Período)]+tblHorasNov[Horas Trabalhadas (1º Período)]),
                           0),
                      IF(ROUND((tblHorasNov[Jornada Diária]-(tblHorasNov[Horas Trabalhadas (2º Período)]+tblHorasNov[Horas Trabalhadas (1º Período)])),6)&lt;ROUND(-CARENCIA,6),
                           -tblHorasNov[Jornada Diária]+(tblHorasNov[Horas Trabalhadas (2º Período)]+tblHorasNov[Horas Trabalhadas (1º Período)]),
                           0)),
              tblHorasNov[Horas Trabalhadas (2º Período)]+tblHorasNov[Horas Trabalhadas (1º Período)]),
         IF(AND(IF(ISERROR(VLOOKUP(tblHorasNov[Evento 
(1º Período)],tblEvento[[Evento]:[Libera o Período]],4,FALSE)),FALSE,IF(VLOOKUP(tblHorasNov[Evento 
(1º Período)],tblEvento[[Evento]:[Libera o Período]],4,FALSE)="Não",TRUE,FALSE)),IF(ISERROR(VLOOKUP(tblHorasNov[Evento 
(2º Período)],tblEvento[[Evento]:[Libera o Período]],4,FALSE)),FALSE,IF(VLOOKUP(tblHorasNov[Evento 
(2º Período)],tblEvento[[Evento]:[Libera o Período]],4,FALSE)="Não",TRUE,FALSE))),
-IF(VLOOKUP(tblHorasNov[Dia],tblDiaUtil[[Abreviatura]:[Total Jornada]],5,FALSE)&lt;&gt;"",VLOOKUP(tblHorasNov[Dia],tblDiaUtil[[Abreviatura]:[Total Jornada]],5,FALSE),JORNADA),
IF(IF(ISERROR(VLOOKUP(tblHorasNov[Evento 
(1º Período)],tblEvento[[Evento]:[Libera o Período]],4,FALSE)),FALSE,
IF(VLOOKUP(tblHorasNov[Evento 
(1º Período)],tblEvento[[Evento]:[Libera o Período]],4,FALSE)="Não",TRUE,FALSE)
),
-IF(VLOOKUP(tblHorasNov[Dia],tblDiaUtil[[Abreviatura]:[1º Período]],3,FALSE)&lt;&gt;"",VLOOKUP(tblHorasNov[Dia],tblDiaUtil[[Abreviatura]:[1º Período]],3,FALSE),JORNADA_PERIODO_1),
IF(IF(ISERROR(VLOOKUP(tblHorasNov[Evento 
(2º Período)],tblEvento[[Evento]:[Libera o Período]],4,FALSE)),FALSE,IF(VLOOKUP(tblHorasNov[Evento 
(2º Período)],tblEvento[[Evento]:[Libera o Período]],4,FALSE)="Não",TRUE,FALSE)),
-IF(VLOOKUP(tblHorasNov[Dia],tblDiaUtil[[Abreviatura]:[2º Período]],4,FALSE)&lt;&gt;"",VLOOKUP(tblHorasNov[Dia],tblDiaUtil[[Abreviatura]:[2º Período]],4,FALSE),JORNADA_PERIODO_2),0))))</f>
        <v>0</v>
      </c>
      <c r="O37" s="14">
        <f>IF(tblHorasNov[Horas Trabalhadas Além Jornada]&gt;0,
        IF(ISNUMBER(tblHorasNov[Jornada Diária]),
              IF(HOUR(tblHorasNov[Horas Trabalhadas Além Jornada])&gt;=VLOOKUP(LIMITE,tblLimiteHora[],Tabelas!$I$1,FALSE),
                    VLOOKUP(LIMITE,tblLimiteHora[],Tabelas!$J$1,FALSE),
                    tblHorasNov[Horas Trabalhadas Além Jornada]),
              tblHorasNov[Horas Trabalhadas Além Jornada]),
        tblHorasNov[Horas Trabalhadas Além Jornada])+O36</f>
        <v>0</v>
      </c>
      <c r="P37" s="14" t="str">
        <f>IF(tblHorasNov[Horas Trabalhadas Além Jornada]&lt;0,IF(OR(tblHorasNov[Evento 
(1º Período)]="",tblHorasNov[Evento 
(2º Período)]=""),tblHorasNov[Horas Trabalhadas Além Jornada],""),"")</f>
        <v/>
      </c>
      <c r="Q37" s="14" t="str">
        <f>IF(tblHorasNov[Jornada Diária]&lt;&gt;"",IF((N(tblHorasNov[Jornada Diária])-ABS(N(tblHorasNov[Horas Trabalhadas Além Jornada])))=0,1,""),"")</f>
        <v/>
      </c>
      <c r="R37" s="14" t="str">
        <f>IF(tblHorasNov[Horas Trabalhadas Além Jornada]&gt;0,
IF(AND(VLOOKUP(TEXT(tblHorasNov[Data],"dddd"),tblDiaUtil[],3,FALSE)="Sim",IF(tblHorasNov[Evento 
(1º Período)]&lt;&gt;"",IF(VLOOKUP(tblHorasNov[Evento 
(1º Período)],tblEvento[],Tabelas!$E$1,FALSE)="Sim",FALSE,TRUE),TRUE),IF(tblHorasNov[Evento 
(2º Período)]&lt;&gt;"",IF(VLOOKUP(tblHorasNov[Evento 
(2º Período)],tblEvento[],Tabelas!$E$1,FALSE)="Sim",FALSE,TRUE),TRUE)),
tblHorasNov[Horas Trabalhadas Além Jornada],""),"")</f>
        <v/>
      </c>
      <c r="S37" s="14" t="str">
        <f>IF(tblHorasNov[Horas Trabalhadas Além Jornada]&gt;0,
IF(OR(VLOOKUP(TEXT(tblHorasNov[Data],"dddd"),tblDiaUtil[],3,FALSE)="Não",IF(tblHorasNov[Evento 
(1º Período)]&lt;&gt;"",IF(VLOOKUP(tblHorasNov[Evento 
(1º Período)],tblEvento[],Tabelas!$E$1,FALSE)="Sim",TRUE,FALSE),FALSE),IF(tblHorasNov[Evento 
(2º Período)]&lt;&gt;"",IF(VLOOKUP(tblHorasNov[Evento 
(2º Período)],tblEvento[],Tabelas!$E$1,FALSE)="Sim",TRUE,FALSE),FALSE)),
tblHorasNov[Horas Trabalhadas Além Jornada],""),"")</f>
        <v/>
      </c>
      <c r="T37" s="15" t="str">
        <f>IF(tblHorasNov[Evento 
(1º Período)]&lt;&gt;""," - " &amp;VLOOKUP(tblHorasNov[Evento 
(1º Período)],tblEvento[],Tabelas!$F$1,FALSE),"")&amp;IF(AND(tblHorasNov[Evento 
(2º Período)]&lt;&gt;"",tblHorasNov[Evento 
(2º Período)]&lt;&gt;tblHorasNov[Evento 
(1º Período)])," - " &amp; VLOOKUP(tblHorasNov[Evento 
(2º Período)],tblEvento[],Tabelas!$F$1,FALSE),"")</f>
        <v/>
      </c>
    </row>
    <row r="38" spans="2:21" x14ac:dyDescent="0.25">
      <c r="B38" s="11" t="str">
        <f t="shared" si="0"/>
        <v/>
      </c>
      <c r="C38" s="12" t="str">
        <f>TEXT(tblHorasNov[Data],"ddd")</f>
        <v/>
      </c>
      <c r="D38" s="25"/>
      <c r="E38" s="1"/>
      <c r="F38" s="1"/>
      <c r="G38" s="1"/>
      <c r="H38" s="1"/>
      <c r="I38" s="53"/>
      <c r="J38" s="4">
        <f>IF($B$6&lt;&gt;"",
IF(AND(tblHorasNov[Evento 
(1º Período)]&lt;&gt;"",IF(ISERROR(VLOOKUP(tblHorasNov[Evento 
(1º Período)],tblEvento[],Tabelas!$D$1,FALSE)),FALSE,VLOOKUP(tblHorasNov[Evento 
(1º Período)],tblEvento[],Tabelas!$D$1,FALSE)="Sim")),
        IF(JORNADA_PERIODO_1&lt;&gt;"",
IF(VLOOKUP(tblHorasNov[Dia],tblDiaUtil[[Abreviatura]:[1º Período]],3,FALSE)&gt;0,VLOOKUP(tblHorasNov[Dia],tblDiaUtil[[Abreviatura]:[1º Período]],3,FALSE),JORNADA_PERIODO_1),
IF(VLOOKUP(tblHorasNov[Dia],tblDiaUtil[[Abreviatura]:[1º Período]],3,FALSE)&gt;0,VLOOKUP(tblHorasNov[Dia],tblDiaUtil[[Abreviatura]:[1º Período]],3,FALSE),JORNADA/2)),
        IF(AND(ISNUMBER(tblHorasNov[Saída - 1 (Almoço)]),ISNUMBER(tblHorasNov[Entrada - 1])),
              IF(OR(AND(tblHorasNov[Evento 
(1º Período)]&lt;&gt;"",IF(ISERROR(VLOOKUP(tblHorasNov[Evento 
(1º Período)],tblEvento[],Tabelas!$E$1,FALSE)),FALSE,VLOOKUP(tblHorasNov[Evento 
(1º Período)],tblEvento[],Tabelas!$E$1,FALSE)="Sim")),IF(VLOOKUP(TEXT(tblHorasNov[Data],"dddd"),tblDiaUtil[],2,FALSE)="Não",TRUE,FALSE)),
                   tblHorasNov[Saída - 1 (Almoço)]-tblHorasNov[Entrada - 1],
                   IF(OR(HOUR(tblHorasNov[Saída - 1 (Almoço)]-tblHorasNov[Entrada - 1])&gt;0,ROUND(tblHorasNov[Saída - 1 (Almoço)]-tblHorasNov[Entrada - 1],6)&gt;ROUND(CARENCIA,6)),
                          tblHorasNov[Saída - 1 (Almoço)]-tblHorasNov[Entrada - 1],
                          0)),
                    0)),0)</f>
        <v>0</v>
      </c>
      <c r="K38" s="4">
        <f>IF($B$6&lt;&gt;"",
IF(AND(tblHorasNov[Evento 
(2º Período)]&lt;&gt;"",IF(ISERROR(VLOOKUP(tblHorasNov[Evento 
(2º Período)],tblEvento[],Tabelas!$D$1,FALSE)),FALSE,VLOOKUP(tblHorasNov[Evento 
(2º Período)],tblEvento[],Tabelas!$D$1,FALSE)="Sim")),
        IF(JORNADA_PERIODO_2&lt;&gt;"",
IF(VLOOKUP(tblHorasNov[Dia],tblDiaUtil[[Abreviatura]:[2º Período]],4,FALSE)&gt;0,VLOOKUP(tblHorasNov[Dia],tblDiaUtil[[Abreviatura]:[2º Período]],4,FALSE),JORNADA_PERIODO_2),
IF(VLOOKUP(tblHorasNov[Dia],tblDiaUtil[[Abreviatura]:[2º Período]],4,FALSE)&gt;0,VLOOKUP(tblHorasNov[Dia],tblDiaUtil[[Abreviatura]:[2º Período]],4,FALSE),JORNADA/2)),
        IF(AND(ISNUMBER(tblHorasNov[Saída - 2]),ISNUMBER(tblHorasNov[Entrada - 2 (Almoço)])),
              IF(OR(AND(tblHorasNov[Evento 
(2º Período)]&lt;&gt;"",IF(ISERROR(VLOOKUP(tblHorasNov[Evento 
(2º Período)],tblEvento[],Tabelas!$E$1,FALSE)),FALSE,VLOOKUP(tblHorasNov[Evento 
(2º Período)],tblEvento[],Tabelas!$E$1,FALSE)="Sim")),IF(VLOOKUP(TEXT(tblHorasNov[Data],"dddd"),tblDiaUtil[],2,FALSE)="Não",TRUE,FALSE)),
                   tblHorasNov[Saída - 2]-tblHorasNov[Entrada - 2 (Almoço)],
                   IF(OR(HOUR(tblHorasNov[Saída - 2]-tblHorasNov[Entrada - 2 (Almoço)])&gt;0,MINUTE(tblHorasNov[Saída - 2]-tblHorasNov[Entrada - 2 (Almoço)])&gt;CARENCIA),
                         tblHorasNov[Saída - 2]-tblHorasNov[Entrada - 2 (Almoço)],
                         0)),
       0)),0)</f>
        <v>0</v>
      </c>
      <c r="L38" s="4">
        <f>tblHorasNov[Horas Trabalhadas (1º Período)]+tblHorasNov[Horas Trabalhadas (2º Período)]</f>
        <v>0</v>
      </c>
      <c r="M38" s="4" t="str">
        <f>IF(tblHorasNov[Data]&lt;&gt;"",
        IF(
AND(VLOOKUP(TEXT(tblHorasNov[Data],"dddd"),tblDiaUtil[],3,FALSE)="Sim",IF(tblHorasNov[Evento 
(1º Período)]&lt;&gt;"",IF(VLOOKUP(tblHorasNov[Evento 
(1º Período)],tblEvento[],Tabelas!$E$1,FALSE)="Sim",FALSE,TRUE),TRUE),IF(tblHorasNov[Evento 
(2º Período)]&lt;&gt;"",IF(VLOOKUP(tblHorasNov[Evento 
(2º Período)],tblEvento[],Tabelas!$E$1,FALSE)="Sim",FALSE,TRUE),TRUE)),
              IF(VLOOKUP(tblHorasNov[Dia],tblDiaUtil[[Abreviatura]:[1º Período]],3,FALSE)&gt;0,VLOOKUP(tblHorasNov[Dia],tblDiaUtil[[Abreviatura]:[1º Período]],3,FALSE),JORNADA),
              ""),
         "")</f>
        <v/>
      </c>
      <c r="N38" s="14">
        <f>IF(OR(tblHorasNov[Horas Trabalhadas (1º Período)]&lt;&gt;0,tblHorasNov[Horas Trabalhadas (2º Período)]&lt;&gt;0),
        IF(ISNUMBER(tblHorasNov[Jornada Diária]),
              IF(tblHorasNov[Jornada Diária]&gt;(tblHorasNov[Horas Trabalhadas (2º Período)]+tblHorasNov[Horas Trabalhadas (1º Período)]),
                     IF(ROUND((tblHorasNov[Jornada Diária]-(tblHorasNov[Horas Trabalhadas (2º Período)]+tblHorasNov[Horas Trabalhadas (1º Período)])),6)&gt;ROUND(CARENCIA,6),
                           -tblHorasNov[Jornada Diária]+(tblHorasNov[Horas Trabalhadas (2º Período)]+tblHorasNov[Horas Trabalhadas (1º Período)]),
                           0),
                      IF(ROUND((tblHorasNov[Jornada Diária]-(tblHorasNov[Horas Trabalhadas (2º Período)]+tblHorasNov[Horas Trabalhadas (1º Período)])),6)&lt;ROUND(-CARENCIA,6),
                           -tblHorasNov[Jornada Diária]+(tblHorasNov[Horas Trabalhadas (2º Período)]+tblHorasNov[Horas Trabalhadas (1º Período)]),
                           0)),
              tblHorasNov[Horas Trabalhadas (2º Período)]+tblHorasNov[Horas Trabalhadas (1º Período)]),
         IF(AND(IF(ISERROR(VLOOKUP(tblHorasNov[Evento 
(1º Período)],tblEvento[[Evento]:[Libera o Período]],4,FALSE)),FALSE,IF(VLOOKUP(tblHorasNov[Evento 
(1º Período)],tblEvento[[Evento]:[Libera o Período]],4,FALSE)="Não",TRUE,FALSE)),IF(ISERROR(VLOOKUP(tblHorasNov[Evento 
(2º Período)],tblEvento[[Evento]:[Libera o Período]],4,FALSE)),FALSE,IF(VLOOKUP(tblHorasNov[Evento 
(2º Período)],tblEvento[[Evento]:[Libera o Período]],4,FALSE)="Não",TRUE,FALSE))),
-IF(VLOOKUP(tblHorasNov[Dia],tblDiaUtil[[Abreviatura]:[Total Jornada]],5,FALSE)&lt;&gt;"",VLOOKUP(tblHorasNov[Dia],tblDiaUtil[[Abreviatura]:[Total Jornada]],5,FALSE),JORNADA),
IF(IF(ISERROR(VLOOKUP(tblHorasNov[Evento 
(1º Período)],tblEvento[[Evento]:[Libera o Período]],4,FALSE)),FALSE,
IF(VLOOKUP(tblHorasNov[Evento 
(1º Período)],tblEvento[[Evento]:[Libera o Período]],4,FALSE)="Não",TRUE,FALSE)
),
-IF(VLOOKUP(tblHorasNov[Dia],tblDiaUtil[[Abreviatura]:[1º Período]],3,FALSE)&lt;&gt;"",VLOOKUP(tblHorasNov[Dia],tblDiaUtil[[Abreviatura]:[1º Período]],3,FALSE),JORNADA_PERIODO_1),
IF(IF(ISERROR(VLOOKUP(tblHorasNov[Evento 
(2º Período)],tblEvento[[Evento]:[Libera o Período]],4,FALSE)),FALSE,IF(VLOOKUP(tblHorasNov[Evento 
(2º Período)],tblEvento[[Evento]:[Libera o Período]],4,FALSE)="Não",TRUE,FALSE)),
-IF(VLOOKUP(tblHorasNov[Dia],tblDiaUtil[[Abreviatura]:[2º Período]],4,FALSE)&lt;&gt;"",VLOOKUP(tblHorasNov[Dia],tblDiaUtil[[Abreviatura]:[2º Período]],4,FALSE),JORNADA_PERIODO_2),0))))</f>
        <v>0</v>
      </c>
      <c r="O38" s="14">
        <f>IF(tblHorasNov[Horas Trabalhadas Além Jornada]&gt;0,
        IF(ISNUMBER(tblHorasNov[Jornada Diária]),
              IF(HOUR(tblHorasNov[Horas Trabalhadas Além Jornada])&gt;=VLOOKUP(LIMITE,tblLimiteHora[],Tabelas!$I$1,FALSE),
                    VLOOKUP(LIMITE,tblLimiteHora[],Tabelas!$J$1,FALSE),
                    tblHorasNov[Horas Trabalhadas Além Jornada]),
              tblHorasNov[Horas Trabalhadas Além Jornada]),
        tblHorasNov[Horas Trabalhadas Além Jornada])+O37</f>
        <v>0</v>
      </c>
      <c r="P38" s="14" t="str">
        <f>IF(tblHorasNov[Horas Trabalhadas Além Jornada]&lt;0,IF(OR(tblHorasNov[Evento 
(1º Período)]="",tblHorasNov[Evento 
(2º Período)]=""),tblHorasNov[Horas Trabalhadas Além Jornada],""),"")</f>
        <v/>
      </c>
      <c r="Q38" s="14" t="str">
        <f>IF(tblHorasNov[Jornada Diária]&lt;&gt;"",IF((N(tblHorasNov[Jornada Diária])-ABS(N(tblHorasNov[Horas Trabalhadas Além Jornada])))=0,1,""),"")</f>
        <v/>
      </c>
      <c r="R38" s="14" t="str">
        <f>IF(tblHorasNov[Horas Trabalhadas Além Jornada]&gt;0,
IF(AND(VLOOKUP(TEXT(tblHorasNov[Data],"dddd"),tblDiaUtil[],3,FALSE)="Sim",IF(tblHorasNov[Evento 
(1º Período)]&lt;&gt;"",IF(VLOOKUP(tblHorasNov[Evento 
(1º Período)],tblEvento[],Tabelas!$E$1,FALSE)="Sim",FALSE,TRUE),TRUE),IF(tblHorasNov[Evento 
(2º Período)]&lt;&gt;"",IF(VLOOKUP(tblHorasNov[Evento 
(2º Período)],tblEvento[],Tabelas!$E$1,FALSE)="Sim",FALSE,TRUE),TRUE)),
tblHorasNov[Horas Trabalhadas Além Jornada],""),"")</f>
        <v/>
      </c>
      <c r="S38" s="14" t="str">
        <f>IF(tblHorasNov[Horas Trabalhadas Além Jornada]&gt;0,
IF(OR(VLOOKUP(TEXT(tblHorasNov[Data],"dddd"),tblDiaUtil[],3,FALSE)="Não",IF(tblHorasNov[Evento 
(1º Período)]&lt;&gt;"",IF(VLOOKUP(tblHorasNov[Evento 
(1º Período)],tblEvento[],Tabelas!$E$1,FALSE)="Sim",TRUE,FALSE),FALSE),IF(tblHorasNov[Evento 
(2º Período)]&lt;&gt;"",IF(VLOOKUP(tblHorasNov[Evento 
(2º Período)],tblEvento[],Tabelas!$E$1,FALSE)="Sim",TRUE,FALSE),FALSE)),
tblHorasNov[Horas Trabalhadas Além Jornada],""),"")</f>
        <v/>
      </c>
      <c r="T38" s="15" t="str">
        <f>IF(tblHorasNov[Evento 
(1º Período)]&lt;&gt;""," - " &amp;VLOOKUP(tblHorasNov[Evento 
(1º Período)],tblEvento[],Tabelas!$F$1,FALSE),"")&amp;IF(AND(tblHorasNov[Evento 
(2º Período)]&lt;&gt;"",tblHorasNov[Evento 
(2º Período)]&lt;&gt;tblHorasNov[Evento 
(1º Período)])," - " &amp; VLOOKUP(tblHorasNov[Evento 
(2º Período)],tblEvento[],Tabelas!$F$1,FALSE),"")</f>
        <v/>
      </c>
    </row>
    <row r="39" spans="2:21" x14ac:dyDescent="0.25">
      <c r="B39" s="11" t="str">
        <f t="shared" si="0"/>
        <v/>
      </c>
      <c r="C39" s="12" t="str">
        <f>TEXT(tblHorasNov[Data],"ddd")</f>
        <v/>
      </c>
      <c r="D39" s="25"/>
      <c r="E39" s="1"/>
      <c r="F39" s="1"/>
      <c r="G39" s="1"/>
      <c r="H39" s="1"/>
      <c r="I39" s="53"/>
      <c r="J39" s="4">
        <f>IF($B$6&lt;&gt;"",
IF(AND(tblHorasNov[Evento 
(1º Período)]&lt;&gt;"",IF(ISERROR(VLOOKUP(tblHorasNov[Evento 
(1º Período)],tblEvento[],Tabelas!$D$1,FALSE)),FALSE,VLOOKUP(tblHorasNov[Evento 
(1º Período)],tblEvento[],Tabelas!$D$1,FALSE)="Sim")),
        IF(JORNADA_PERIODO_1&lt;&gt;"",
IF(VLOOKUP(tblHorasNov[Dia],tblDiaUtil[[Abreviatura]:[1º Período]],3,FALSE)&gt;0,VLOOKUP(tblHorasNov[Dia],tblDiaUtil[[Abreviatura]:[1º Período]],3,FALSE),JORNADA_PERIODO_1),
IF(VLOOKUP(tblHorasNov[Dia],tblDiaUtil[[Abreviatura]:[1º Período]],3,FALSE)&gt;0,VLOOKUP(tblHorasNov[Dia],tblDiaUtil[[Abreviatura]:[1º Período]],3,FALSE),JORNADA/2)),
        IF(AND(ISNUMBER(tblHorasNov[Saída - 1 (Almoço)]),ISNUMBER(tblHorasNov[Entrada - 1])),
              IF(OR(AND(tblHorasNov[Evento 
(1º Período)]&lt;&gt;"",IF(ISERROR(VLOOKUP(tblHorasNov[Evento 
(1º Período)],tblEvento[],Tabelas!$E$1,FALSE)),FALSE,VLOOKUP(tblHorasNov[Evento 
(1º Período)],tblEvento[],Tabelas!$E$1,FALSE)="Sim")),IF(VLOOKUP(TEXT(tblHorasNov[Data],"dddd"),tblDiaUtil[],2,FALSE)="Não",TRUE,FALSE)),
                   tblHorasNov[Saída - 1 (Almoço)]-tblHorasNov[Entrada - 1],
                   IF(OR(HOUR(tblHorasNov[Saída - 1 (Almoço)]-tblHorasNov[Entrada - 1])&gt;0,ROUND(tblHorasNov[Saída - 1 (Almoço)]-tblHorasNov[Entrada - 1],6)&gt;ROUND(CARENCIA,6)),
                          tblHorasNov[Saída - 1 (Almoço)]-tblHorasNov[Entrada - 1],
                          0)),
                    0)),0)</f>
        <v>0</v>
      </c>
      <c r="K39" s="4">
        <f>IF($B$6&lt;&gt;"",
IF(AND(tblHorasNov[Evento 
(2º Período)]&lt;&gt;"",IF(ISERROR(VLOOKUP(tblHorasNov[Evento 
(2º Período)],tblEvento[],Tabelas!$D$1,FALSE)),FALSE,VLOOKUP(tblHorasNov[Evento 
(2º Período)],tblEvento[],Tabelas!$D$1,FALSE)="Sim")),
        IF(JORNADA_PERIODO_2&lt;&gt;"",
IF(VLOOKUP(tblHorasNov[Dia],tblDiaUtil[[Abreviatura]:[2º Período]],4,FALSE)&gt;0,VLOOKUP(tblHorasNov[Dia],tblDiaUtil[[Abreviatura]:[2º Período]],4,FALSE),JORNADA_PERIODO_2),
IF(VLOOKUP(tblHorasNov[Dia],tblDiaUtil[[Abreviatura]:[2º Período]],4,FALSE)&gt;0,VLOOKUP(tblHorasNov[Dia],tblDiaUtil[[Abreviatura]:[2º Período]],4,FALSE),JORNADA/2)),
        IF(AND(ISNUMBER(tblHorasNov[Saída - 2]),ISNUMBER(tblHorasNov[Entrada - 2 (Almoço)])),
              IF(OR(AND(tblHorasNov[Evento 
(2º Período)]&lt;&gt;"",IF(ISERROR(VLOOKUP(tblHorasNov[Evento 
(2º Período)],tblEvento[],Tabelas!$E$1,FALSE)),FALSE,VLOOKUP(tblHorasNov[Evento 
(2º Período)],tblEvento[],Tabelas!$E$1,FALSE)="Sim")),IF(VLOOKUP(TEXT(tblHorasNov[Data],"dddd"),tblDiaUtil[],2,FALSE)="Não",TRUE,FALSE)),
                   tblHorasNov[Saída - 2]-tblHorasNov[Entrada - 2 (Almoço)],
                   IF(OR(HOUR(tblHorasNov[Saída - 2]-tblHorasNov[Entrada - 2 (Almoço)])&gt;0,MINUTE(tblHorasNov[Saída - 2]-tblHorasNov[Entrada - 2 (Almoço)])&gt;CARENCIA),
                         tblHorasNov[Saída - 2]-tblHorasNov[Entrada - 2 (Almoço)],
                         0)),
       0)),0)</f>
        <v>0</v>
      </c>
      <c r="L39" s="4">
        <f>tblHorasNov[Horas Trabalhadas (1º Período)]+tblHorasNov[Horas Trabalhadas (2º Período)]</f>
        <v>0</v>
      </c>
      <c r="M39" s="4" t="str">
        <f>IF(tblHorasNov[Data]&lt;&gt;"",
        IF(
AND(VLOOKUP(TEXT(tblHorasNov[Data],"dddd"),tblDiaUtil[],3,FALSE)="Sim",IF(tblHorasNov[Evento 
(1º Período)]&lt;&gt;"",IF(VLOOKUP(tblHorasNov[Evento 
(1º Período)],tblEvento[],Tabelas!$E$1,FALSE)="Sim",FALSE,TRUE),TRUE),IF(tblHorasNov[Evento 
(2º Período)]&lt;&gt;"",IF(VLOOKUP(tblHorasNov[Evento 
(2º Período)],tblEvento[],Tabelas!$E$1,FALSE)="Sim",FALSE,TRUE),TRUE)),
              IF(VLOOKUP(tblHorasNov[Dia],tblDiaUtil[[Abreviatura]:[1º Período]],3,FALSE)&gt;0,VLOOKUP(tblHorasNov[Dia],tblDiaUtil[[Abreviatura]:[1º Período]],3,FALSE),JORNADA),
              ""),
         "")</f>
        <v/>
      </c>
      <c r="N39" s="14">
        <f>IF(OR(tblHorasNov[Horas Trabalhadas (1º Período)]&lt;&gt;0,tblHorasNov[Horas Trabalhadas (2º Período)]&lt;&gt;0),
        IF(ISNUMBER(tblHorasNov[Jornada Diária]),
              IF(tblHorasNov[Jornada Diária]&gt;(tblHorasNov[Horas Trabalhadas (2º Período)]+tblHorasNov[Horas Trabalhadas (1º Período)]),
                     IF(ROUND((tblHorasNov[Jornada Diária]-(tblHorasNov[Horas Trabalhadas (2º Período)]+tblHorasNov[Horas Trabalhadas (1º Período)])),6)&gt;ROUND(CARENCIA,6),
                           -tblHorasNov[Jornada Diária]+(tblHorasNov[Horas Trabalhadas (2º Período)]+tblHorasNov[Horas Trabalhadas (1º Período)]),
                           0),
                      IF(ROUND((tblHorasNov[Jornada Diária]-(tblHorasNov[Horas Trabalhadas (2º Período)]+tblHorasNov[Horas Trabalhadas (1º Período)])),6)&lt;ROUND(-CARENCIA,6),
                           -tblHorasNov[Jornada Diária]+(tblHorasNov[Horas Trabalhadas (2º Período)]+tblHorasNov[Horas Trabalhadas (1º Período)]),
                           0)),
              tblHorasNov[Horas Trabalhadas (2º Período)]+tblHorasNov[Horas Trabalhadas (1º Período)]),
         IF(AND(IF(ISERROR(VLOOKUP(tblHorasNov[Evento 
(1º Período)],tblEvento[[Evento]:[Libera o Período]],4,FALSE)),FALSE,IF(VLOOKUP(tblHorasNov[Evento 
(1º Período)],tblEvento[[Evento]:[Libera o Período]],4,FALSE)="Não",TRUE,FALSE)),IF(ISERROR(VLOOKUP(tblHorasNov[Evento 
(2º Período)],tblEvento[[Evento]:[Libera o Período]],4,FALSE)),FALSE,IF(VLOOKUP(tblHorasNov[Evento 
(2º Período)],tblEvento[[Evento]:[Libera o Período]],4,FALSE)="Não",TRUE,FALSE))),
-IF(VLOOKUP(tblHorasNov[Dia],tblDiaUtil[[Abreviatura]:[Total Jornada]],5,FALSE)&lt;&gt;"",VLOOKUP(tblHorasNov[Dia],tblDiaUtil[[Abreviatura]:[Total Jornada]],5,FALSE),JORNADA),
IF(IF(ISERROR(VLOOKUP(tblHorasNov[Evento 
(1º Período)],tblEvento[[Evento]:[Libera o Período]],4,FALSE)),FALSE,
IF(VLOOKUP(tblHorasNov[Evento 
(1º Período)],tblEvento[[Evento]:[Libera o Período]],4,FALSE)="Não",TRUE,FALSE)
),
-IF(VLOOKUP(tblHorasNov[Dia],tblDiaUtil[[Abreviatura]:[1º Período]],3,FALSE)&lt;&gt;"",VLOOKUP(tblHorasNov[Dia],tblDiaUtil[[Abreviatura]:[1º Período]],3,FALSE),JORNADA_PERIODO_1),
IF(IF(ISERROR(VLOOKUP(tblHorasNov[Evento 
(2º Período)],tblEvento[[Evento]:[Libera o Período]],4,FALSE)),FALSE,IF(VLOOKUP(tblHorasNov[Evento 
(2º Período)],tblEvento[[Evento]:[Libera o Período]],4,FALSE)="Não",TRUE,FALSE)),
-IF(VLOOKUP(tblHorasNov[Dia],tblDiaUtil[[Abreviatura]:[2º Período]],4,FALSE)&lt;&gt;"",VLOOKUP(tblHorasNov[Dia],tblDiaUtil[[Abreviatura]:[2º Período]],4,FALSE),JORNADA_PERIODO_2),0))))</f>
        <v>0</v>
      </c>
      <c r="O39" s="14">
        <f>IF(tblHorasNov[Horas Trabalhadas Além Jornada]&gt;0,
        IF(ISNUMBER(tblHorasNov[Jornada Diária]),
              IF(HOUR(tblHorasNov[Horas Trabalhadas Além Jornada])&gt;=VLOOKUP(LIMITE,tblLimiteHora[],Tabelas!$I$1,FALSE),
                    VLOOKUP(LIMITE,tblLimiteHora[],Tabelas!$J$1,FALSE),
                    tblHorasNov[Horas Trabalhadas Além Jornada]),
              tblHorasNov[Horas Trabalhadas Além Jornada]),
        tblHorasNov[Horas Trabalhadas Além Jornada])+O38</f>
        <v>0</v>
      </c>
      <c r="P39" s="14" t="str">
        <f>IF(tblHorasNov[Horas Trabalhadas Além Jornada]&lt;0,IF(OR(tblHorasNov[Evento 
(1º Período)]="",tblHorasNov[Evento 
(2º Período)]=""),tblHorasNov[Horas Trabalhadas Além Jornada],""),"")</f>
        <v/>
      </c>
      <c r="Q39" s="14" t="str">
        <f>IF(tblHorasNov[Jornada Diária]&lt;&gt;"",IF((N(tblHorasNov[Jornada Diária])-ABS(N(tblHorasNov[Horas Trabalhadas Além Jornada])))=0,1,""),"")</f>
        <v/>
      </c>
      <c r="R39" s="14" t="str">
        <f>IF(tblHorasNov[Horas Trabalhadas Além Jornada]&gt;0,
IF(AND(VLOOKUP(TEXT(tblHorasNov[Data],"dddd"),tblDiaUtil[],3,FALSE)="Sim",IF(tblHorasNov[Evento 
(1º Período)]&lt;&gt;"",IF(VLOOKUP(tblHorasNov[Evento 
(1º Período)],tblEvento[],Tabelas!$E$1,FALSE)="Sim",FALSE,TRUE),TRUE),IF(tblHorasNov[Evento 
(2º Período)]&lt;&gt;"",IF(VLOOKUP(tblHorasNov[Evento 
(2º Período)],tblEvento[],Tabelas!$E$1,FALSE)="Sim",FALSE,TRUE),TRUE)),
tblHorasNov[Horas Trabalhadas Além Jornada],""),"")</f>
        <v/>
      </c>
      <c r="S39" s="14" t="str">
        <f>IF(tblHorasNov[Horas Trabalhadas Além Jornada]&gt;0,
IF(OR(VLOOKUP(TEXT(tblHorasNov[Data],"dddd"),tblDiaUtil[],3,FALSE)="Não",IF(tblHorasNov[Evento 
(1º Período)]&lt;&gt;"",IF(VLOOKUP(tblHorasNov[Evento 
(1º Período)],tblEvento[],Tabelas!$E$1,FALSE)="Sim",TRUE,FALSE),FALSE),IF(tblHorasNov[Evento 
(2º Período)]&lt;&gt;"",IF(VLOOKUP(tblHorasNov[Evento 
(2º Período)],tblEvento[],Tabelas!$E$1,FALSE)="Sim",TRUE,FALSE),FALSE)),
tblHorasNov[Horas Trabalhadas Além Jornada],""),"")</f>
        <v/>
      </c>
      <c r="T39" s="15" t="str">
        <f>IF(tblHorasNov[Evento 
(1º Período)]&lt;&gt;""," - " &amp;VLOOKUP(tblHorasNov[Evento 
(1º Período)],tblEvento[],Tabelas!$F$1,FALSE),"")&amp;IF(AND(tblHorasNov[Evento 
(2º Período)]&lt;&gt;"",tblHorasNov[Evento 
(2º Período)]&lt;&gt;tblHorasNov[Evento 
(1º Período)])," - " &amp; VLOOKUP(tblHorasNov[Evento 
(2º Período)],tblEvento[],Tabelas!$F$1,FALSE),"")</f>
        <v/>
      </c>
    </row>
    <row r="40" spans="2:21" ht="5.0999999999999996" customHeight="1" x14ac:dyDescent="0.25">
      <c r="T40" s="24"/>
      <c r="U40" s="24"/>
    </row>
    <row r="41" spans="2:21" ht="9.9499999999999993" customHeight="1" x14ac:dyDescent="0.25">
      <c r="T41" s="35" t="s">
        <v>99</v>
      </c>
      <c r="U41" s="24"/>
    </row>
    <row r="42" spans="2:21" hidden="1" x14ac:dyDescent="0.25">
      <c r="T42" s="24"/>
      <c r="U42" s="24"/>
    </row>
    <row r="43" spans="2:21" hidden="1" x14ac:dyDescent="0.25">
      <c r="T43" s="24"/>
      <c r="U43" s="24"/>
    </row>
    <row r="44" spans="2:21" hidden="1" x14ac:dyDescent="0.25">
      <c r="T44" s="24"/>
      <c r="U44" s="24"/>
    </row>
    <row r="45" spans="2:21" hidden="1" x14ac:dyDescent="0.25"/>
    <row r="46" spans="2:21" x14ac:dyDescent="0.25"/>
    <row r="47" spans="2:21" x14ac:dyDescent="0.25"/>
  </sheetData>
  <sheetProtection algorithmName="SHA-512" hashValue="1JDr3nm+7da9N/voawqeRfY0NcaeY/5UkhS5bva0mIhAgvJQHtWlOIDpTXkVnW7JIGElfm3m+bjnuCRx1WMnDg==" saltValue="0pcDHs+maOvYYgrlLcZ/Vg==" spinCount="100000" sheet="1" formatCells="0" formatColumns="0" formatRows="0" selectLockedCells="1" autoFilter="0" pivotTables="0"/>
  <dataConsolidate/>
  <mergeCells count="8">
    <mergeCell ref="O1:T4"/>
    <mergeCell ref="G2:I2"/>
    <mergeCell ref="H3:I3"/>
    <mergeCell ref="H4:I4"/>
    <mergeCell ref="B5:C5"/>
    <mergeCell ref="O5:O6"/>
    <mergeCell ref="B6:C6"/>
    <mergeCell ref="P6:S6"/>
  </mergeCells>
  <dataValidations count="5">
    <dataValidation type="time" allowBlank="1" showInputMessage="1" showErrorMessage="1" errorTitle="Aviso" error="Erro na inserção de dados:_x000a__x000a_'Hora Inválida'_x000a__x000a_Favor inserir uma hora válida no formato: hh:mm (ex. 12:00)" sqref="E9:H39">
      <formula1>0</formula1>
      <formula2>0.999305555555556</formula2>
    </dataValidation>
    <dataValidation type="whole" errorStyle="warning" allowBlank="1" showInputMessage="1" showErrorMessage="1" errorTitle="Aviso" error="Ano fora do período estipulado" promptTitle="Digite o ano com 4 dígitos" prompt="_x000a_ex. 2016_x000a__x000a_Entre: 1904 a 9999" sqref="D6">
      <formula1>999</formula1>
      <formula2>9999</formula2>
    </dataValidation>
    <dataValidation type="list" allowBlank="1" showErrorMessage="1" errorTitle="Mês Inválido" error="Selecione na lista um mês válido" sqref="B6:C6">
      <formula1>lst_Mes</formula1>
    </dataValidation>
    <dataValidation type="list" allowBlank="1" showInputMessage="1" showErrorMessage="1" errorTitle="Aviso" error="Erro na inserção de dados:_x000a__x000a_'Evento Inválido'_x000a__x000a_Selecione um Evento válido na Lista" promptTitle="Evento" prompt="_x000a_Selecione um Evento na Lista" sqref="D9:D39 I9:I39">
      <formula1>lstEvento</formula1>
    </dataValidation>
    <dataValidation type="whole" allowBlank="1" showInputMessage="1" showErrorMessage="1" errorTitle="Erro" error="Dia inexistente" promptTitle="Digite o primeiro dia do mês" prompt="Somente utilize esse campo caso o dia seja diferente de 1." sqref="E6">
      <formula1>1</formula1>
      <formula2>31</formula2>
    </dataValidation>
  </dataValidations>
  <printOptions verticalCentered="1"/>
  <pageMargins left="0.51181102362204722" right="0.51181102362204722" top="0.78740157480314965" bottom="0.78740157480314965" header="0.31496062992125984" footer="0.31496062992125984"/>
  <pageSetup paperSize="9" scale="82" orientation="landscape" r:id="rId1"/>
  <headerFooter>
    <oddHeader>&amp;R&amp;D</oddHeader>
    <oddFooter>&amp;L.e&amp;RPágina &amp;P de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7" id="{DA7719FC-879A-4A30-BCEA-3DFB477926D6}">
            <xm:f>IF(OR(IF(ISERROR(VLOOKUP($C9,Config!$C$1:$D$18,2,FALSE)),FALSE,IF(VLOOKUP($C9,Config!$C$1:$D$18,2,FALSE)="Não",TRUE,FALSE)),IF(ISERROR(VLOOKUP($D9,Tabelas!$A$3:$B$51,2,FALSE)),FALSE,IF(VLOOKUP($D9,Tabelas!$A$3:$B$51,2,FALSE)="Sim",TRUE,FALSE)),IF(ISERROR(VLOOKUP($I9,Tabelas!$A$3:$B$51,2,FALSE)),FALSE,IF(VLOOKUP($I9,Tabelas!$A$3:$B$51,2,FALSE)="Sim",TRUE,FALSE))),TRUE,FALSE)</xm:f>
            <x14:dxf>
              <fill>
                <patternFill>
                  <bgColor rgb="FFFFFFCC"/>
                </patternFill>
              </fill>
            </x14:dxf>
          </x14:cfRule>
          <xm:sqref>B9:T9</xm:sqref>
        </x14:conditionalFormatting>
        <x14:conditionalFormatting xmlns:xm="http://schemas.microsoft.com/office/excel/2006/main">
          <x14:cfRule type="expression" priority="6" id="{C3C0E80A-FD10-4C9E-B8E5-D2C1D205032D}">
            <xm:f>IF(IF(ISERROR(VLOOKUP($D9,Tabelas!$A$3:$C$51,3,FALSE)),FALSE,VLOOKUP($D9,Tabelas!$A$3:$C$51,3,FALSE)="Sim"),TRUE,FALSE)</xm:f>
            <x14:dxf>
              <fill>
                <patternFill>
                  <bgColor rgb="FFFFD1D2"/>
                </patternFill>
              </fill>
            </x14:dxf>
          </x14:cfRule>
          <xm:sqref>J9 D9:F9</xm:sqref>
        </x14:conditionalFormatting>
        <x14:conditionalFormatting xmlns:xm="http://schemas.microsoft.com/office/excel/2006/main">
          <x14:cfRule type="expression" priority="8" id="{1350E025-4995-44D1-87DF-9604A4583C04}">
            <xm:f>IF(IF(ISERROR(VLOOKUP($I9,Tabelas!$A$3:$C$51,3,FALSE)),FALSE,VLOOKUP($I9,Tabelas!$A$3:$C$51,3,FALSE)="Sim"),TRUE,FALSE)</xm:f>
            <x14:dxf>
              <fill>
                <patternFill>
                  <bgColor rgb="FFFFD5D6"/>
                </patternFill>
              </fill>
            </x14:dxf>
          </x14:cfRule>
          <xm:sqref>K9:M9 G9:I9</xm:sqref>
        </x14:conditionalFormatting>
        <x14:conditionalFormatting xmlns:xm="http://schemas.microsoft.com/office/excel/2006/main">
          <x14:cfRule type="expression" priority="5" id="{572BC16C-F188-48B6-AAD6-D81BF6A471C0}">
            <xm:f>IF(OR(IF(ISERROR(VLOOKUP($C7,Config!$C$1:$D$18,2,FALSE)),FALSE,IF(VLOOKUP($C7,Config!$C$1:$D$18,2,FALSE)="Não",TRUE,FALSE)),IF(ISERROR(VLOOKUP($D7,Tabelas!$A$3:$B$51,2,FALSE)),FALSE,IF(VLOOKUP($D7,Tabelas!$A$3:$B$51,2,FALSE)="Sim",TRUE,FALSE)),IF(ISERROR(VLOOKUP($I7,Tabelas!$A$3:$B$51,2,FALSE)),FALSE,IF(VLOOKUP($I7,Tabelas!$A$3:$B$51,2,FALSE)="Sim",TRUE,FALSE))),TRUE,FALSE)</xm:f>
            <x14:dxf>
              <fill>
                <patternFill>
                  <bgColor rgb="FFFFFFCC"/>
                </patternFill>
              </fill>
            </x14:dxf>
          </x14:cfRule>
          <xm:sqref>P7:S7</xm:sqref>
        </x14:conditionalFormatting>
        <x14:conditionalFormatting xmlns:xm="http://schemas.microsoft.com/office/excel/2006/main">
          <x14:cfRule type="expression" priority="3" id="{A495C21D-CFD6-415D-B35A-408E40A1A8C7}">
            <xm:f>IF(OR(IF(ISERROR(VLOOKUP($C10,Config!$C$1:$D$18,2,FALSE)),FALSE,IF(VLOOKUP($C10,Config!$C$1:$D$18,2,FALSE)="Não",TRUE,FALSE)),IF(ISERROR(VLOOKUP($D10,Tabelas!$A$3:$B$51,2,FALSE)),FALSE,IF(VLOOKUP($D10,Tabelas!$A$3:$B$51,2,FALSE)="Sim",TRUE,FALSE)),IF(ISERROR(VLOOKUP($I10,Tabelas!$A$3:$B$51,2,FALSE)),FALSE,IF(VLOOKUP($I10,Tabelas!$A$3:$B$51,2,FALSE)="Sim",TRUE,FALSE))),TRUE,FALSE)</xm:f>
            <x14:dxf>
              <fill>
                <patternFill>
                  <bgColor rgb="FFFFFFCC"/>
                </patternFill>
              </fill>
            </x14:dxf>
          </x14:cfRule>
          <xm:sqref>B10:T39</xm:sqref>
        </x14:conditionalFormatting>
        <x14:conditionalFormatting xmlns:xm="http://schemas.microsoft.com/office/excel/2006/main">
          <x14:cfRule type="expression" priority="2" id="{BEB9B90A-F4FB-4361-A257-81274FFBEABE}">
            <xm:f>IF(IF(ISERROR(VLOOKUP($D10,Tabelas!$A$3:$C$51,3,FALSE)),FALSE,VLOOKUP($D10,Tabelas!$A$3:$C$51,3,FALSE)="Sim"),TRUE,FALSE)</xm:f>
            <x14:dxf>
              <fill>
                <patternFill>
                  <bgColor rgb="FFFFD1D2"/>
                </patternFill>
              </fill>
            </x14:dxf>
          </x14:cfRule>
          <xm:sqref>J10:J39 D10:F39</xm:sqref>
        </x14:conditionalFormatting>
        <x14:conditionalFormatting xmlns:xm="http://schemas.microsoft.com/office/excel/2006/main">
          <x14:cfRule type="expression" priority="4" id="{A66A318F-E571-40D3-A88D-D84EC8CAA5D3}">
            <xm:f>IF(IF(ISERROR(VLOOKUP($I10,Tabelas!$A$3:$C$51,3,FALSE)),FALSE,VLOOKUP($I10,Tabelas!$A$3:$C$51,3,FALSE)="Sim"),TRUE,FALSE)</xm:f>
            <x14:dxf>
              <fill>
                <patternFill>
                  <bgColor rgb="FFFFD5D6"/>
                </patternFill>
              </fill>
            </x14:dxf>
          </x14:cfRule>
          <xm:sqref>K10:M39 G10:I39</xm:sqref>
        </x14:conditionalFormatting>
        <x14:conditionalFormatting xmlns:xm="http://schemas.microsoft.com/office/excel/2006/main">
          <x14:cfRule type="expression" priority="1" id="{C151BA1E-4B85-4180-8F3B-50291838AE9A}">
            <xm:f>IF(OR(IF(ISERROR(VLOOKUP($C7,Config!$C$1:$D$18,2,FALSE)),FALSE,IF(VLOOKUP($C7,Config!$C$1:$D$18,2,FALSE)="Não",TRUE,FALSE)),IF(ISERROR(VLOOKUP($D7,Tabelas!$A$3:$B$51,2,FALSE)),FALSE,IF(VLOOKUP($D7,Tabelas!$A$3:$B$51,2,FALSE)="Sim",TRUE,FALSE)),IF(ISERROR(VLOOKUP($I7,Tabelas!$A$3:$B$51,2,FALSE)),FALSE,IF(VLOOKUP($I7,Tabelas!$A$3:$B$51,2,FALSE)="Sim",TRUE,FALSE))),TRUE,FALSE)</xm:f>
            <x14:dxf>
              <fill>
                <patternFill>
                  <bgColor rgb="FFFFFFCC"/>
                </patternFill>
              </fill>
            </x14:dxf>
          </x14:cfRule>
          <xm:sqref>O7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nDezembro">
    <tabColor theme="4" tint="0.59999389629810485"/>
    <pageSetUpPr fitToPage="1"/>
  </sheetPr>
  <dimension ref="A1:AC47"/>
  <sheetViews>
    <sheetView showGridLines="0" workbookViewId="0">
      <pane xSplit="1" ySplit="8" topLeftCell="B9" activePane="bottomRight" state="frozen"/>
      <selection activeCell="H10" sqref="H10"/>
      <selection pane="topRight" activeCell="H10" sqref="H10"/>
      <selection pane="bottomLeft" activeCell="H10" sqref="H10"/>
      <selection pane="bottomRight" activeCell="E9" sqref="E9"/>
    </sheetView>
  </sheetViews>
  <sheetFormatPr defaultColWidth="0" defaultRowHeight="15" zeroHeight="1" x14ac:dyDescent="0.25"/>
  <cols>
    <col min="1" max="1" width="6.7109375" style="5" customWidth="1"/>
    <col min="2" max="2" width="10.7109375" style="5" customWidth="1"/>
    <col min="3" max="3" width="10" style="5" customWidth="1"/>
    <col min="4" max="9" width="12.7109375" style="5" customWidth="1"/>
    <col min="10" max="14" width="12.7109375" style="5" hidden="1" customWidth="1"/>
    <col min="15" max="15" width="12.7109375" style="5" customWidth="1"/>
    <col min="16" max="19" width="12.7109375" style="5" hidden="1" customWidth="1"/>
    <col min="20" max="20" width="38.42578125" style="5" customWidth="1"/>
    <col min="21" max="21" width="2.7109375" style="5" customWidth="1"/>
    <col min="22" max="22" width="9.140625" style="5" hidden="1" customWidth="1"/>
    <col min="23" max="23" width="12.42578125" style="5" hidden="1" customWidth="1"/>
    <col min="24" max="25" width="0" style="5" hidden="1" customWidth="1"/>
    <col min="26" max="26" width="9.140625" style="5" hidden="1" customWidth="1"/>
    <col min="27" max="27" width="12.42578125" style="5" hidden="1" customWidth="1"/>
    <col min="28" max="29" width="0" style="5" hidden="1" customWidth="1"/>
    <col min="30" max="16384" width="9.140625" style="5" hidden="1"/>
  </cols>
  <sheetData>
    <row r="1" spans="2:25" ht="15" customHeight="1" x14ac:dyDescent="0.25">
      <c r="G1" s="48" t="s">
        <v>58</v>
      </c>
      <c r="O1" s="83" t="str">
        <f>"*Limite de horas: " &amp; LIMITE &amp; "; e 
*Contabiliza a partir de " &amp; TEXT(CARENCIA, "hh:mm") &amp; " hora(s) (para mais ou para menos);
*Caso tenha Atestado em um dos períodos, o que ultrapassar de 4:00 horas de trabalho contabiliza hora positiva."</f>
        <v>*Limite de horas: 2h diárias; e 
*Contabiliza a partir de 00:00 hora(s) (para mais ou para menos);
*Caso tenha Atestado em um dos períodos, o que ultrapassar de 4:00 horas de trabalho contabiliza hora positiva.</v>
      </c>
      <c r="P1" s="83"/>
      <c r="Q1" s="83"/>
      <c r="R1" s="83"/>
      <c r="S1" s="83"/>
      <c r="T1" s="83"/>
    </row>
    <row r="2" spans="2:25" ht="15" customHeight="1" thickBot="1" x14ac:dyDescent="0.3">
      <c r="B2" s="6"/>
      <c r="G2" s="90"/>
      <c r="H2" s="91"/>
      <c r="I2" s="91"/>
      <c r="N2" s="24"/>
      <c r="O2" s="83"/>
      <c r="P2" s="83"/>
      <c r="Q2" s="83"/>
      <c r="R2" s="83"/>
      <c r="S2" s="83"/>
      <c r="T2" s="83"/>
    </row>
    <row r="3" spans="2:25" ht="15" customHeight="1" x14ac:dyDescent="0.25">
      <c r="B3" s="6"/>
      <c r="G3" s="48" t="s">
        <v>96</v>
      </c>
      <c r="H3" s="92" t="s">
        <v>97</v>
      </c>
      <c r="I3" s="93"/>
      <c r="N3" s="24"/>
      <c r="O3" s="83"/>
      <c r="P3" s="83"/>
      <c r="Q3" s="83"/>
      <c r="R3" s="83"/>
      <c r="S3" s="83"/>
      <c r="T3" s="83"/>
    </row>
    <row r="4" spans="2:25" ht="15" customHeight="1" thickBot="1" x14ac:dyDescent="0.3">
      <c r="B4" s="6"/>
      <c r="G4" s="52"/>
      <c r="H4" s="84"/>
      <c r="I4" s="85"/>
      <c r="N4" s="24"/>
      <c r="O4" s="83"/>
      <c r="P4" s="83"/>
      <c r="Q4" s="83"/>
      <c r="R4" s="83"/>
      <c r="S4" s="83"/>
      <c r="T4" s="83"/>
    </row>
    <row r="5" spans="2:25" ht="15" customHeight="1" x14ac:dyDescent="0.25">
      <c r="B5" s="86" t="s">
        <v>59</v>
      </c>
      <c r="C5" s="87"/>
      <c r="D5" s="48" t="s">
        <v>62</v>
      </c>
      <c r="E5" s="48" t="s">
        <v>88</v>
      </c>
      <c r="G5" s="7"/>
      <c r="N5" s="24"/>
      <c r="O5" s="94" t="s">
        <v>100</v>
      </c>
      <c r="P5" s="34" t="s">
        <v>76</v>
      </c>
      <c r="Q5" s="34" t="s">
        <v>76</v>
      </c>
      <c r="R5" s="34" t="s">
        <v>76</v>
      </c>
      <c r="S5" s="34" t="s">
        <v>76</v>
      </c>
      <c r="T5" s="24"/>
    </row>
    <row r="6" spans="2:25" ht="16.5" customHeight="1" thickBot="1" x14ac:dyDescent="0.3">
      <c r="B6" s="88" t="s">
        <v>74</v>
      </c>
      <c r="C6" s="89"/>
      <c r="D6" s="30" t="str">
        <f>IF(Janeiro!D6&lt;&gt;"",Janeiro!D6,"")</f>
        <v/>
      </c>
      <c r="E6" s="30" t="str">
        <f>IF(Janeiro!E6&lt;&gt;"",Janeiro!E6,"")</f>
        <v/>
      </c>
      <c r="F6" s="32" t="str">
        <f>IF(ISERROR(DATEVALUE(IF(E6&lt;&gt;"",E6,1)&amp;"-"&amp;B6&amp;"-"&amp;D6)),"",DATEVALUE(IF(E6&lt;&gt;"",E6,1)&amp;"-"&amp;B6&amp;"-"&amp;D6))</f>
        <v/>
      </c>
      <c r="N6" s="24"/>
      <c r="O6" s="95"/>
      <c r="P6" s="81" t="s">
        <v>95</v>
      </c>
      <c r="Q6" s="82"/>
      <c r="R6" s="82"/>
      <c r="S6" s="82"/>
      <c r="T6" s="24"/>
    </row>
    <row r="7" spans="2:25" x14ac:dyDescent="0.25">
      <c r="E7" s="8"/>
      <c r="F7" s="8"/>
      <c r="G7" s="8"/>
      <c r="H7" s="8"/>
      <c r="I7" s="8"/>
      <c r="J7" s="34" t="s">
        <v>76</v>
      </c>
      <c r="K7" s="34" t="s">
        <v>76</v>
      </c>
      <c r="L7" s="34" t="s">
        <v>76</v>
      </c>
      <c r="M7" s="34" t="s">
        <v>76</v>
      </c>
      <c r="N7" s="34" t="s">
        <v>76</v>
      </c>
      <c r="O7" s="45">
        <f>Novembro!O39</f>
        <v>0</v>
      </c>
      <c r="P7" s="45">
        <f>SUM(tblHorasDez[Atrasos
(horas)])</f>
        <v>0</v>
      </c>
      <c r="Q7" s="46">
        <f>SUM(tblHorasDez[Faltas
(dias)])</f>
        <v>0</v>
      </c>
      <c r="R7" s="45">
        <f>SUM(tblHorasDez[Hora Extra Normal])</f>
        <v>0</v>
      </c>
      <c r="S7" s="45">
        <f>SUM(tblHorasDez[Hora Extra 
Especial])</f>
        <v>0</v>
      </c>
      <c r="T7" s="24"/>
    </row>
    <row r="8" spans="2:25" s="9" customFormat="1" ht="45" customHeight="1" x14ac:dyDescent="0.25">
      <c r="B8" s="9" t="s">
        <v>0</v>
      </c>
      <c r="C8" s="9" t="s">
        <v>1</v>
      </c>
      <c r="D8" s="10" t="s">
        <v>51</v>
      </c>
      <c r="E8" s="9" t="s">
        <v>3</v>
      </c>
      <c r="F8" s="9" t="s">
        <v>4</v>
      </c>
      <c r="G8" s="9" t="s">
        <v>5</v>
      </c>
      <c r="H8" s="9" t="s">
        <v>6</v>
      </c>
      <c r="I8" s="10" t="s">
        <v>52</v>
      </c>
      <c r="J8" s="9" t="s">
        <v>35</v>
      </c>
      <c r="K8" s="9" t="s">
        <v>36</v>
      </c>
      <c r="L8" s="9" t="s">
        <v>55</v>
      </c>
      <c r="M8" s="9" t="s">
        <v>48</v>
      </c>
      <c r="N8" s="9" t="s">
        <v>50</v>
      </c>
      <c r="O8" s="9" t="s">
        <v>49</v>
      </c>
      <c r="P8" s="9" t="s">
        <v>91</v>
      </c>
      <c r="Q8" s="9" t="s">
        <v>92</v>
      </c>
      <c r="R8" s="9" t="s">
        <v>93</v>
      </c>
      <c r="S8" s="9" t="s">
        <v>94</v>
      </c>
      <c r="T8" s="9" t="s">
        <v>46</v>
      </c>
      <c r="W8" s="26"/>
    </row>
    <row r="9" spans="2:25" x14ac:dyDescent="0.25">
      <c r="B9" s="11" t="str">
        <f>IF(ISERROR(F6),"",F6)</f>
        <v/>
      </c>
      <c r="C9" s="12" t="str">
        <f>TEXT(tblHorasDez[Data],"ddd")</f>
        <v/>
      </c>
      <c r="D9" s="25"/>
      <c r="E9" s="1"/>
      <c r="F9" s="1"/>
      <c r="G9" s="1"/>
      <c r="H9" s="1"/>
      <c r="I9" s="53"/>
      <c r="J9" s="4">
        <f>IF($B$6&lt;&gt;"",
IF(AND(tblHorasDez[Evento 
(1º Período)]&lt;&gt;"",IF(ISERROR(VLOOKUP(tblHorasDez[Evento 
(1º Período)],tblEvento[],Tabelas!$D$1,FALSE)),FALSE,VLOOKUP(tblHorasDez[Evento 
(1º Período)],tblEvento[],Tabelas!$D$1,FALSE)="Sim")),
        IF(JORNADA_PERIODO_1&lt;&gt;"",
IF(VLOOKUP(tblHorasDez[Dia],tblDiaUtil[[Abreviatura]:[1º Período]],3,FALSE)&gt;0,VLOOKUP(tblHorasDez[Dia],tblDiaUtil[[Abreviatura]:[1º Período]],3,FALSE),JORNADA_PERIODO_1),
IF(VLOOKUP(tblHorasDez[Dia],tblDiaUtil[[Abreviatura]:[1º Período]],3,FALSE)&gt;0,VLOOKUP(tblHorasDez[Dia],tblDiaUtil[[Abreviatura]:[1º Período]],3,FALSE),JORNADA/2)),
        IF(AND(ISNUMBER(tblHorasDez[Saída - 1 (Almoço)]),ISNUMBER(tblHorasDez[Entrada - 1])),
              IF(OR(AND(tblHorasDez[Evento 
(1º Período)]&lt;&gt;"",IF(ISERROR(VLOOKUP(tblHorasDez[Evento 
(1º Período)],tblEvento[],Tabelas!$E$1,FALSE)),FALSE,VLOOKUP(tblHorasDez[Evento 
(1º Período)],tblEvento[],Tabelas!$E$1,FALSE)="Sim")),IF(VLOOKUP(TEXT(tblHorasDez[Data],"dddd"),tblDiaUtil[],2,FALSE)="Não",TRUE,FALSE)),
                   tblHorasDez[Saída - 1 (Almoço)]-tblHorasDez[Entrada - 1],
                   IF(OR(HOUR(tblHorasDez[Saída - 1 (Almoço)]-tblHorasDez[Entrada - 1])&gt;0,ROUND(tblHorasDez[Saída - 1 (Almoço)]-tblHorasDez[Entrada - 1],6)&gt;ROUND(CARENCIA,6)),
                          tblHorasDez[Saída - 1 (Almoço)]-tblHorasDez[Entrada - 1],
                          0)),
                    0)),0)</f>
        <v>0</v>
      </c>
      <c r="K9" s="4">
        <f>IF($B$6&lt;&gt;"",
IF(AND(tblHorasDez[Evento 
(2º Período)]&lt;&gt;"",IF(ISERROR(VLOOKUP(tblHorasDez[Evento 
(2º Período)],tblEvento[],Tabelas!$D$1,FALSE)),FALSE,VLOOKUP(tblHorasDez[Evento 
(2º Período)],tblEvento[],Tabelas!$D$1,FALSE)="Sim")),
        IF(JORNADA_PERIODO_2&lt;&gt;"",
IF(VLOOKUP(tblHorasDez[Dia],tblDiaUtil[[Abreviatura]:[2º Período]],4,FALSE)&gt;0,VLOOKUP(tblHorasDez[Dia],tblDiaUtil[[Abreviatura]:[2º Período]],4,FALSE),JORNADA_PERIODO_2),
IF(VLOOKUP(tblHorasDez[Dia],tblDiaUtil[[Abreviatura]:[2º Período]],4,FALSE)&gt;0,VLOOKUP(tblHorasDez[Dia],tblDiaUtil[[Abreviatura]:[2º Período]],4,FALSE),JORNADA/2)),
        IF(AND(ISNUMBER(tblHorasDez[Saída - 2]),ISNUMBER(tblHorasDez[Entrada - 2 (Almoço)])),
              IF(OR(AND(tblHorasDez[Evento 
(2º Período)]&lt;&gt;"",IF(ISERROR(VLOOKUP(tblHorasDez[Evento 
(2º Período)],tblEvento[],Tabelas!$E$1,FALSE)),FALSE,VLOOKUP(tblHorasDez[Evento 
(2º Período)],tblEvento[],Tabelas!$E$1,FALSE)="Sim")),IF(VLOOKUP(TEXT(tblHorasDez[Data],"dddd"),tblDiaUtil[],2,FALSE)="Não",TRUE,FALSE)),
                   tblHorasDez[Saída - 2]-tblHorasDez[Entrada - 2 (Almoço)],
                   IF(OR(HOUR(tblHorasDez[Saída - 2]-tblHorasDez[Entrada - 2 (Almoço)])&gt;0,MINUTE(tblHorasDez[Saída - 2]-tblHorasDez[Entrada - 2 (Almoço)])&gt;CARENCIA),
                         tblHorasDez[Saída - 2]-tblHorasDez[Entrada - 2 (Almoço)],
                         0)),
       0)),0)</f>
        <v>0</v>
      </c>
      <c r="L9" s="4">
        <f>tblHorasDez[Horas Trabalhadas (1º Período)]+tblHorasDez[Horas Trabalhadas (2º Período)]</f>
        <v>0</v>
      </c>
      <c r="M9" s="4" t="str">
        <f>IF(tblHorasDez[Data]&lt;&gt;"",
        IF(
AND(VLOOKUP(TEXT(tblHorasDez[Data],"dddd"),tblDiaUtil[],3,FALSE)="Sim",IF(tblHorasDez[Evento 
(1º Período)]&lt;&gt;"",IF(VLOOKUP(tblHorasDez[Evento 
(1º Período)],tblEvento[],Tabelas!$E$1,FALSE)="Sim",FALSE,TRUE),TRUE),IF(tblHorasDez[Evento 
(2º Período)]&lt;&gt;"",IF(VLOOKUP(tblHorasDez[Evento 
(2º Período)],tblEvento[],Tabelas!$E$1,FALSE)="Sim",FALSE,TRUE),TRUE)),
              IF(VLOOKUP(tblHorasDez[Dia],tblDiaUtil[[Abreviatura]:[1º Período]],3,FALSE)&gt;0,VLOOKUP(tblHorasDez[Dia],tblDiaUtil[[Abreviatura]:[1º Período]],3,FALSE),JORNADA),
              ""),
         "")</f>
        <v/>
      </c>
      <c r="N9" s="14">
        <f>IF(OR(tblHorasDez[Horas Trabalhadas (1º Período)]&lt;&gt;0,tblHorasDez[Horas Trabalhadas (2º Período)]&lt;&gt;0),
        IF(ISNUMBER(tblHorasDez[Jornada Diária]),
              IF(tblHorasDez[Jornada Diária]&gt;(tblHorasDez[Horas Trabalhadas (2º Período)]+tblHorasDez[Horas Trabalhadas (1º Período)]),
                     IF(ROUND((tblHorasDez[Jornada Diária]-(tblHorasDez[Horas Trabalhadas (2º Período)]+tblHorasDez[Horas Trabalhadas (1º Período)])),6)&gt;ROUND(CARENCIA,6),
                           -tblHorasDez[Jornada Diária]+(tblHorasDez[Horas Trabalhadas (2º Período)]+tblHorasDez[Horas Trabalhadas (1º Período)]),
                           0),
                      IF(ROUND((tblHorasDez[Jornada Diária]-(tblHorasDez[Horas Trabalhadas (2º Período)]+tblHorasDez[Horas Trabalhadas (1º Período)])),6)&lt;ROUND(-CARENCIA,6),
                           -tblHorasDez[Jornada Diária]+(tblHorasDez[Horas Trabalhadas (2º Período)]+tblHorasDez[Horas Trabalhadas (1º Período)]),
                           0)),
              tblHorasDez[Horas Trabalhadas (2º Período)]+tblHorasDez[Horas Trabalhadas (1º Período)]),
         IF(AND(IF(ISERROR(VLOOKUP(tblHorasDez[Evento 
(1º Período)],tblEvento[[Evento]:[Libera o Período]],4,FALSE)),FALSE,IF(VLOOKUP(tblHorasDez[Evento 
(1º Período)],tblEvento[[Evento]:[Libera o Período]],4,FALSE)="Não",TRUE,FALSE)),IF(ISERROR(VLOOKUP(tblHorasDez[Evento 
(2º Período)],tblEvento[[Evento]:[Libera o Período]],4,FALSE)),FALSE,IF(VLOOKUP(tblHorasDez[Evento 
(2º Período)],tblEvento[[Evento]:[Libera o Período]],4,FALSE)="Não",TRUE,FALSE))),
-IF(VLOOKUP(tblHorasDez[Dia],tblDiaUtil[[Abreviatura]:[Total Jornada]],5,FALSE)&lt;&gt;"",VLOOKUP(tblHorasDez[Dia],tblDiaUtil[[Abreviatura]:[Total Jornada]],5,FALSE),JORNADA),
IF(IF(ISERROR(VLOOKUP(tblHorasDez[Evento 
(1º Período)],tblEvento[[Evento]:[Libera o Período]],4,FALSE)),FALSE,
IF(VLOOKUP(tblHorasDez[Evento 
(1º Período)],tblEvento[[Evento]:[Libera o Período]],4,FALSE)="Não",TRUE,FALSE)
),
-IF(VLOOKUP(tblHorasDez[Dia],tblDiaUtil[[Abreviatura]:[1º Período]],3,FALSE)&lt;&gt;"",VLOOKUP(tblHorasDez[Dia],tblDiaUtil[[Abreviatura]:[1º Período]],3,FALSE),JORNADA_PERIODO_1),
IF(IF(ISERROR(VLOOKUP(tblHorasDez[Evento 
(2º Período)],tblEvento[[Evento]:[Libera o Período]],4,FALSE)),FALSE,IF(VLOOKUP(tblHorasDez[Evento 
(2º Período)],tblEvento[[Evento]:[Libera o Período]],4,FALSE)="Não",TRUE,FALSE)),
-IF(VLOOKUP(tblHorasDez[Dia],tblDiaUtil[[Abreviatura]:[2º Período]],4,FALSE)&lt;&gt;"",VLOOKUP(tblHorasDez[Dia],tblDiaUtil[[Abreviatura]:[2º Período]],4,FALSE),JORNADA_PERIODO_2),0))))</f>
        <v>0</v>
      </c>
      <c r="O9" s="14">
        <f>IF(tblHorasDez[Horas Trabalhadas Além Jornada]&gt;0,
        IF(ISNUMBER(tblHorasDez[Jornada Diária]),
              IF(HOUR(tblHorasDez[Horas Trabalhadas Além Jornada])&gt;=VLOOKUP(LIMITE,tblLimiteHora[],Tabelas!$I$1,FALSE),
                    VLOOKUP(LIMITE,tblLimiteHora[],Tabelas!$J$1,FALSE),
                    tblHorasDez[Horas Trabalhadas Além Jornada]),
              tblHorasDez[Horas Trabalhadas Além Jornada]),
        tblHorasDez[Horas Trabalhadas Além Jornada])+O7</f>
        <v>0</v>
      </c>
      <c r="P9" s="14" t="str">
        <f>IF(tblHorasDez[Horas Trabalhadas Além Jornada]&lt;0,IF(OR(tblHorasDez[Evento 
(1º Período)]="",tblHorasDez[Evento 
(2º Período)]=""),tblHorasDez[Horas Trabalhadas Além Jornada],""),"")</f>
        <v/>
      </c>
      <c r="Q9" s="14" t="str">
        <f>IF(tblHorasDez[Jornada Diária]&lt;&gt;"",IF((N(tblHorasDez[Jornada Diária])-ABS(N(tblHorasDez[Horas Trabalhadas Além Jornada])))=0,1,""),"")</f>
        <v/>
      </c>
      <c r="R9" s="14" t="str">
        <f>IF(tblHorasDez[Horas Trabalhadas Além Jornada]&gt;0,
IF(AND(VLOOKUP(TEXT(tblHorasDez[Data],"dddd"),tblDiaUtil[],3,FALSE)="Sim",IF(tblHorasDez[Evento 
(1º Período)]&lt;&gt;"",IF(VLOOKUP(tblHorasDez[Evento 
(1º Período)],tblEvento[],Tabelas!$E$1,FALSE)="Sim",FALSE,TRUE),TRUE),IF(tblHorasDez[Evento 
(2º Período)]&lt;&gt;"",IF(VLOOKUP(tblHorasDez[Evento 
(2º Período)],tblEvento[],Tabelas!$E$1,FALSE)="Sim",FALSE,TRUE),TRUE)),
tblHorasDez[Horas Trabalhadas Além Jornada],""),"")</f>
        <v/>
      </c>
      <c r="S9" s="14" t="str">
        <f>IF(tblHorasDez[Horas Trabalhadas Além Jornada]&gt;0,
IF(OR(VLOOKUP(TEXT(tblHorasDez[Data],"dddd"),tblDiaUtil[],3,FALSE)="Não",IF(tblHorasDez[Evento 
(1º Período)]&lt;&gt;"",IF(VLOOKUP(tblHorasDez[Evento 
(1º Período)],tblEvento[],Tabelas!$E$1,FALSE)="Sim",TRUE,FALSE),FALSE),IF(tblHorasDez[Evento 
(2º Período)]&lt;&gt;"",IF(VLOOKUP(tblHorasDez[Evento 
(2º Período)],tblEvento[],Tabelas!$E$1,FALSE)="Sim",TRUE,FALSE),FALSE)),
tblHorasDez[Horas Trabalhadas Além Jornada],""),"")</f>
        <v/>
      </c>
      <c r="T9" s="15" t="str">
        <f>IF(tblHorasDez[Evento 
(1º Período)]&lt;&gt;""," - " &amp;VLOOKUP(tblHorasDez[Evento 
(1º Período)],tblEvento[],Tabelas!$F$1,FALSE),"")&amp;IF(AND(tblHorasDez[Evento 
(2º Período)]&lt;&gt;"",tblHorasDez[Evento 
(2º Período)]&lt;&gt;tblHorasDez[Evento 
(1º Período)])," - " &amp; VLOOKUP(tblHorasDez[Evento 
(2º Período)],tblEvento[],Tabelas!$F$1,FALSE),"")</f>
        <v/>
      </c>
      <c r="V9" s="16"/>
      <c r="Y9" s="17"/>
    </row>
    <row r="10" spans="2:25" x14ac:dyDescent="0.25">
      <c r="B10" s="11" t="str">
        <f>IF(B9&lt;&gt;"",IF(DAY(B9+1)=IF($E$6&lt;&gt;"",$E$6,1),"",B9+1),"")</f>
        <v/>
      </c>
      <c r="C10" s="12" t="str">
        <f>TEXT(tblHorasDez[Data],"ddd")</f>
        <v/>
      </c>
      <c r="D10" s="25"/>
      <c r="E10" s="1"/>
      <c r="F10" s="1"/>
      <c r="G10" s="1"/>
      <c r="H10" s="1"/>
      <c r="I10" s="53"/>
      <c r="J10" s="4">
        <f>IF($B$6&lt;&gt;"",
IF(AND(tblHorasDez[Evento 
(1º Período)]&lt;&gt;"",IF(ISERROR(VLOOKUP(tblHorasDez[Evento 
(1º Período)],tblEvento[],Tabelas!$D$1,FALSE)),FALSE,VLOOKUP(tblHorasDez[Evento 
(1º Período)],tblEvento[],Tabelas!$D$1,FALSE)="Sim")),
        IF(JORNADA_PERIODO_1&lt;&gt;"",
IF(VLOOKUP(tblHorasDez[Dia],tblDiaUtil[[Abreviatura]:[1º Período]],3,FALSE)&gt;0,VLOOKUP(tblHorasDez[Dia],tblDiaUtil[[Abreviatura]:[1º Período]],3,FALSE),JORNADA_PERIODO_1),
IF(VLOOKUP(tblHorasDez[Dia],tblDiaUtil[[Abreviatura]:[1º Período]],3,FALSE)&gt;0,VLOOKUP(tblHorasDez[Dia],tblDiaUtil[[Abreviatura]:[1º Período]],3,FALSE),JORNADA/2)),
        IF(AND(ISNUMBER(tblHorasDez[Saída - 1 (Almoço)]),ISNUMBER(tblHorasDez[Entrada - 1])),
              IF(OR(AND(tblHorasDez[Evento 
(1º Período)]&lt;&gt;"",IF(ISERROR(VLOOKUP(tblHorasDez[Evento 
(1º Período)],tblEvento[],Tabelas!$E$1,FALSE)),FALSE,VLOOKUP(tblHorasDez[Evento 
(1º Período)],tblEvento[],Tabelas!$E$1,FALSE)="Sim")),IF(VLOOKUP(TEXT(tblHorasDez[Data],"dddd"),tblDiaUtil[],2,FALSE)="Não",TRUE,FALSE)),
                   tblHorasDez[Saída - 1 (Almoço)]-tblHorasDez[Entrada - 1],
                   IF(OR(HOUR(tblHorasDez[Saída - 1 (Almoço)]-tblHorasDez[Entrada - 1])&gt;0,ROUND(tblHorasDez[Saída - 1 (Almoço)]-tblHorasDez[Entrada - 1],6)&gt;ROUND(CARENCIA,6)),
                          tblHorasDez[Saída - 1 (Almoço)]-tblHorasDez[Entrada - 1],
                          0)),
                    0)),0)</f>
        <v>0</v>
      </c>
      <c r="K10" s="4">
        <f>IF($B$6&lt;&gt;"",
IF(AND(tblHorasDez[Evento 
(2º Período)]&lt;&gt;"",IF(ISERROR(VLOOKUP(tblHorasDez[Evento 
(2º Período)],tblEvento[],Tabelas!$D$1,FALSE)),FALSE,VLOOKUP(tblHorasDez[Evento 
(2º Período)],tblEvento[],Tabelas!$D$1,FALSE)="Sim")),
        IF(JORNADA_PERIODO_2&lt;&gt;"",
IF(VLOOKUP(tblHorasDez[Dia],tblDiaUtil[[Abreviatura]:[2º Período]],4,FALSE)&gt;0,VLOOKUP(tblHorasDez[Dia],tblDiaUtil[[Abreviatura]:[2º Período]],4,FALSE),JORNADA_PERIODO_2),
IF(VLOOKUP(tblHorasDez[Dia],tblDiaUtil[[Abreviatura]:[2º Período]],4,FALSE)&gt;0,VLOOKUP(tblHorasDez[Dia],tblDiaUtil[[Abreviatura]:[2º Período]],4,FALSE),JORNADA/2)),
        IF(AND(ISNUMBER(tblHorasDez[Saída - 2]),ISNUMBER(tblHorasDez[Entrada - 2 (Almoço)])),
              IF(OR(AND(tblHorasDez[Evento 
(2º Período)]&lt;&gt;"",IF(ISERROR(VLOOKUP(tblHorasDez[Evento 
(2º Período)],tblEvento[],Tabelas!$E$1,FALSE)),FALSE,VLOOKUP(tblHorasDez[Evento 
(2º Período)],tblEvento[],Tabelas!$E$1,FALSE)="Sim")),IF(VLOOKUP(TEXT(tblHorasDez[Data],"dddd"),tblDiaUtil[],2,FALSE)="Não",TRUE,FALSE)),
                   tblHorasDez[Saída - 2]-tblHorasDez[Entrada - 2 (Almoço)],
                   IF(OR(HOUR(tblHorasDez[Saída - 2]-tblHorasDez[Entrada - 2 (Almoço)])&gt;0,MINUTE(tblHorasDez[Saída - 2]-tblHorasDez[Entrada - 2 (Almoço)])&gt;CARENCIA),
                         tblHorasDez[Saída - 2]-tblHorasDez[Entrada - 2 (Almoço)],
                         0)),
       0)),0)</f>
        <v>0</v>
      </c>
      <c r="L10" s="4">
        <f>tblHorasDez[Horas Trabalhadas (1º Período)]+tblHorasDez[Horas Trabalhadas (2º Período)]</f>
        <v>0</v>
      </c>
      <c r="M10" s="4" t="str">
        <f>IF(tblHorasDez[Data]&lt;&gt;"",
        IF(
AND(VLOOKUP(TEXT(tblHorasDez[Data],"dddd"),tblDiaUtil[],3,FALSE)="Sim",IF(tblHorasDez[Evento 
(1º Período)]&lt;&gt;"",IF(VLOOKUP(tblHorasDez[Evento 
(1º Período)],tblEvento[],Tabelas!$E$1,FALSE)="Sim",FALSE,TRUE),TRUE),IF(tblHorasDez[Evento 
(2º Período)]&lt;&gt;"",IF(VLOOKUP(tblHorasDez[Evento 
(2º Período)],tblEvento[],Tabelas!$E$1,FALSE)="Sim",FALSE,TRUE),TRUE)),
              IF(VLOOKUP(tblHorasDez[Dia],tblDiaUtil[[Abreviatura]:[1º Período]],3,FALSE)&gt;0,VLOOKUP(tblHorasDez[Dia],tblDiaUtil[[Abreviatura]:[1º Período]],3,FALSE),JORNADA),
              ""),
         "")</f>
        <v/>
      </c>
      <c r="N10" s="14">
        <f>IF(OR(tblHorasDez[Horas Trabalhadas (1º Período)]&lt;&gt;0,tblHorasDez[Horas Trabalhadas (2º Período)]&lt;&gt;0),
        IF(ISNUMBER(tblHorasDez[Jornada Diária]),
              IF(tblHorasDez[Jornada Diária]&gt;(tblHorasDez[Horas Trabalhadas (2º Período)]+tblHorasDez[Horas Trabalhadas (1º Período)]),
                     IF(ROUND((tblHorasDez[Jornada Diária]-(tblHorasDez[Horas Trabalhadas (2º Período)]+tblHorasDez[Horas Trabalhadas (1º Período)])),6)&gt;ROUND(CARENCIA,6),
                           -tblHorasDez[Jornada Diária]+(tblHorasDez[Horas Trabalhadas (2º Período)]+tblHorasDez[Horas Trabalhadas (1º Período)]),
                           0),
                      IF(ROUND((tblHorasDez[Jornada Diária]-(tblHorasDez[Horas Trabalhadas (2º Período)]+tblHorasDez[Horas Trabalhadas (1º Período)])),6)&lt;ROUND(-CARENCIA,6),
                           -tblHorasDez[Jornada Diária]+(tblHorasDez[Horas Trabalhadas (2º Período)]+tblHorasDez[Horas Trabalhadas (1º Período)]),
                           0)),
              tblHorasDez[Horas Trabalhadas (2º Período)]+tblHorasDez[Horas Trabalhadas (1º Período)]),
         IF(AND(IF(ISERROR(VLOOKUP(tblHorasDez[Evento 
(1º Período)],tblEvento[[Evento]:[Libera o Período]],4,FALSE)),FALSE,IF(VLOOKUP(tblHorasDez[Evento 
(1º Período)],tblEvento[[Evento]:[Libera o Período]],4,FALSE)="Não",TRUE,FALSE)),IF(ISERROR(VLOOKUP(tblHorasDez[Evento 
(2º Período)],tblEvento[[Evento]:[Libera o Período]],4,FALSE)),FALSE,IF(VLOOKUP(tblHorasDez[Evento 
(2º Período)],tblEvento[[Evento]:[Libera o Período]],4,FALSE)="Não",TRUE,FALSE))),
-IF(VLOOKUP(tblHorasDez[Dia],tblDiaUtil[[Abreviatura]:[Total Jornada]],5,FALSE)&lt;&gt;"",VLOOKUP(tblHorasDez[Dia],tblDiaUtil[[Abreviatura]:[Total Jornada]],5,FALSE),JORNADA),
IF(IF(ISERROR(VLOOKUP(tblHorasDez[Evento 
(1º Período)],tblEvento[[Evento]:[Libera o Período]],4,FALSE)),FALSE,
IF(VLOOKUP(tblHorasDez[Evento 
(1º Período)],tblEvento[[Evento]:[Libera o Período]],4,FALSE)="Não",TRUE,FALSE)
),
-IF(VLOOKUP(tblHorasDez[Dia],tblDiaUtil[[Abreviatura]:[1º Período]],3,FALSE)&lt;&gt;"",VLOOKUP(tblHorasDez[Dia],tblDiaUtil[[Abreviatura]:[1º Período]],3,FALSE),JORNADA_PERIODO_1),
IF(IF(ISERROR(VLOOKUP(tblHorasDez[Evento 
(2º Período)],tblEvento[[Evento]:[Libera o Período]],4,FALSE)),FALSE,IF(VLOOKUP(tblHorasDez[Evento 
(2º Período)],tblEvento[[Evento]:[Libera o Período]],4,FALSE)="Não",TRUE,FALSE)),
-IF(VLOOKUP(tblHorasDez[Dia],tblDiaUtil[[Abreviatura]:[2º Período]],4,FALSE)&lt;&gt;"",VLOOKUP(tblHorasDez[Dia],tblDiaUtil[[Abreviatura]:[2º Período]],4,FALSE),JORNADA_PERIODO_2),0))))</f>
        <v>0</v>
      </c>
      <c r="O10" s="14">
        <f>IF(tblHorasDez[Horas Trabalhadas Além Jornada]&gt;0,
        IF(ISNUMBER(tblHorasDez[Jornada Diária]),
              IF(HOUR(tblHorasDez[Horas Trabalhadas Além Jornada])&gt;=VLOOKUP(LIMITE,tblLimiteHora[],Tabelas!$I$1,FALSE),
                    VLOOKUP(LIMITE,tblLimiteHora[],Tabelas!$J$1,FALSE),
                    tblHorasDez[Horas Trabalhadas Além Jornada]),
              tblHorasDez[Horas Trabalhadas Além Jornada]),
        tblHorasDez[Horas Trabalhadas Além Jornada])+O9</f>
        <v>0</v>
      </c>
      <c r="P10" s="14" t="str">
        <f>IF(tblHorasDez[Horas Trabalhadas Além Jornada]&lt;0,IF(OR(tblHorasDez[Evento 
(1º Período)]="",tblHorasDez[Evento 
(2º Período)]=""),tblHorasDez[Horas Trabalhadas Além Jornada],""),"")</f>
        <v/>
      </c>
      <c r="Q10" s="14" t="str">
        <f>IF(tblHorasDez[Jornada Diária]&lt;&gt;"",IF((N(tblHorasDez[Jornada Diária])-ABS(N(tblHorasDez[Horas Trabalhadas Além Jornada])))=0,1,""),"")</f>
        <v/>
      </c>
      <c r="R10" s="14" t="str">
        <f>IF(tblHorasDez[Horas Trabalhadas Além Jornada]&gt;0,
IF(AND(VLOOKUP(TEXT(tblHorasDez[Data],"dddd"),tblDiaUtil[],3,FALSE)="Sim",IF(tblHorasDez[Evento 
(1º Período)]&lt;&gt;"",IF(VLOOKUP(tblHorasDez[Evento 
(1º Período)],tblEvento[],Tabelas!$E$1,FALSE)="Sim",FALSE,TRUE),TRUE),IF(tblHorasDez[Evento 
(2º Período)]&lt;&gt;"",IF(VLOOKUP(tblHorasDez[Evento 
(2º Período)],tblEvento[],Tabelas!$E$1,FALSE)="Sim",FALSE,TRUE),TRUE)),
tblHorasDez[Horas Trabalhadas Além Jornada],""),"")</f>
        <v/>
      </c>
      <c r="S10" s="14" t="str">
        <f>IF(tblHorasDez[Horas Trabalhadas Além Jornada]&gt;0,
IF(OR(VLOOKUP(TEXT(tblHorasDez[Data],"dddd"),tblDiaUtil[],3,FALSE)="Não",IF(tblHorasDez[Evento 
(1º Período)]&lt;&gt;"",IF(VLOOKUP(tblHorasDez[Evento 
(1º Período)],tblEvento[],Tabelas!$E$1,FALSE)="Sim",TRUE,FALSE),FALSE),IF(tblHorasDez[Evento 
(2º Período)]&lt;&gt;"",IF(VLOOKUP(tblHorasDez[Evento 
(2º Período)],tblEvento[],Tabelas!$E$1,FALSE)="Sim",TRUE,FALSE),FALSE)),
tblHorasDez[Horas Trabalhadas Além Jornada],""),"")</f>
        <v/>
      </c>
      <c r="T10" s="15" t="str">
        <f>IF(tblHorasDez[Evento 
(1º Período)]&lt;&gt;""," - " &amp;VLOOKUP(tblHorasDez[Evento 
(1º Período)],tblEvento[],Tabelas!$F$1,FALSE),"")&amp;IF(AND(tblHorasDez[Evento 
(2º Período)]&lt;&gt;"",tblHorasDez[Evento 
(2º Período)]&lt;&gt;tblHorasDez[Evento 
(1º Período)])," - " &amp; VLOOKUP(tblHorasDez[Evento 
(2º Período)],tblEvento[],Tabelas!$F$1,FALSE),"")</f>
        <v/>
      </c>
      <c r="Y10" s="17"/>
    </row>
    <row r="11" spans="2:25" x14ac:dyDescent="0.25">
      <c r="B11" s="11" t="str">
        <f t="shared" ref="B11:B39" si="0">IF(B10&lt;&gt;"",IF(DAY(B10+1)=IF($E$6&lt;&gt;"",$E$6,1),"",B10+1),"")</f>
        <v/>
      </c>
      <c r="C11" s="12" t="str">
        <f>TEXT(tblHorasDez[Data],"ddd")</f>
        <v/>
      </c>
      <c r="D11" s="25"/>
      <c r="E11" s="1"/>
      <c r="F11" s="1"/>
      <c r="G11" s="1"/>
      <c r="H11" s="1"/>
      <c r="I11" s="53"/>
      <c r="J11" s="4">
        <f>IF($B$6&lt;&gt;"",
IF(AND(tblHorasDez[Evento 
(1º Período)]&lt;&gt;"",IF(ISERROR(VLOOKUP(tblHorasDez[Evento 
(1º Período)],tblEvento[],Tabelas!$D$1,FALSE)),FALSE,VLOOKUP(tblHorasDez[Evento 
(1º Período)],tblEvento[],Tabelas!$D$1,FALSE)="Sim")),
        IF(JORNADA_PERIODO_1&lt;&gt;"",
IF(VLOOKUP(tblHorasDez[Dia],tblDiaUtil[[Abreviatura]:[1º Período]],3,FALSE)&gt;0,VLOOKUP(tblHorasDez[Dia],tblDiaUtil[[Abreviatura]:[1º Período]],3,FALSE),JORNADA_PERIODO_1),
IF(VLOOKUP(tblHorasDez[Dia],tblDiaUtil[[Abreviatura]:[1º Período]],3,FALSE)&gt;0,VLOOKUP(tblHorasDez[Dia],tblDiaUtil[[Abreviatura]:[1º Período]],3,FALSE),JORNADA/2)),
        IF(AND(ISNUMBER(tblHorasDez[Saída - 1 (Almoço)]),ISNUMBER(tblHorasDez[Entrada - 1])),
              IF(OR(AND(tblHorasDez[Evento 
(1º Período)]&lt;&gt;"",IF(ISERROR(VLOOKUP(tblHorasDez[Evento 
(1º Período)],tblEvento[],Tabelas!$E$1,FALSE)),FALSE,VLOOKUP(tblHorasDez[Evento 
(1º Período)],tblEvento[],Tabelas!$E$1,FALSE)="Sim")),IF(VLOOKUP(TEXT(tblHorasDez[Data],"dddd"),tblDiaUtil[],2,FALSE)="Não",TRUE,FALSE)),
                   tblHorasDez[Saída - 1 (Almoço)]-tblHorasDez[Entrada - 1],
                   IF(OR(HOUR(tblHorasDez[Saída - 1 (Almoço)]-tblHorasDez[Entrada - 1])&gt;0,ROUND(tblHorasDez[Saída - 1 (Almoço)]-tblHorasDez[Entrada - 1],6)&gt;ROUND(CARENCIA,6)),
                          tblHorasDez[Saída - 1 (Almoço)]-tblHorasDez[Entrada - 1],
                          0)),
                    0)),0)</f>
        <v>0</v>
      </c>
      <c r="K11" s="4">
        <f>IF($B$6&lt;&gt;"",
IF(AND(tblHorasDez[Evento 
(2º Período)]&lt;&gt;"",IF(ISERROR(VLOOKUP(tblHorasDez[Evento 
(2º Período)],tblEvento[],Tabelas!$D$1,FALSE)),FALSE,VLOOKUP(tblHorasDez[Evento 
(2º Período)],tblEvento[],Tabelas!$D$1,FALSE)="Sim")),
        IF(JORNADA_PERIODO_2&lt;&gt;"",
IF(VLOOKUP(tblHorasDez[Dia],tblDiaUtil[[Abreviatura]:[2º Período]],4,FALSE)&gt;0,VLOOKUP(tblHorasDez[Dia],tblDiaUtil[[Abreviatura]:[2º Período]],4,FALSE),JORNADA_PERIODO_2),
IF(VLOOKUP(tblHorasDez[Dia],tblDiaUtil[[Abreviatura]:[2º Período]],4,FALSE)&gt;0,VLOOKUP(tblHorasDez[Dia],tblDiaUtil[[Abreviatura]:[2º Período]],4,FALSE),JORNADA/2)),
        IF(AND(ISNUMBER(tblHorasDez[Saída - 2]),ISNUMBER(tblHorasDez[Entrada - 2 (Almoço)])),
              IF(OR(AND(tblHorasDez[Evento 
(2º Período)]&lt;&gt;"",IF(ISERROR(VLOOKUP(tblHorasDez[Evento 
(2º Período)],tblEvento[],Tabelas!$E$1,FALSE)),FALSE,VLOOKUP(tblHorasDez[Evento 
(2º Período)],tblEvento[],Tabelas!$E$1,FALSE)="Sim")),IF(VLOOKUP(TEXT(tblHorasDez[Data],"dddd"),tblDiaUtil[],2,FALSE)="Não",TRUE,FALSE)),
                   tblHorasDez[Saída - 2]-tblHorasDez[Entrada - 2 (Almoço)],
                   IF(OR(HOUR(tblHorasDez[Saída - 2]-tblHorasDez[Entrada - 2 (Almoço)])&gt;0,MINUTE(tblHorasDez[Saída - 2]-tblHorasDez[Entrada - 2 (Almoço)])&gt;CARENCIA),
                         tblHorasDez[Saída - 2]-tblHorasDez[Entrada - 2 (Almoço)],
                         0)),
       0)),0)</f>
        <v>0</v>
      </c>
      <c r="L11" s="4">
        <f>tblHorasDez[Horas Trabalhadas (1º Período)]+tblHorasDez[Horas Trabalhadas (2º Período)]</f>
        <v>0</v>
      </c>
      <c r="M11" s="4" t="str">
        <f>IF(tblHorasDez[Data]&lt;&gt;"",
        IF(
AND(VLOOKUP(TEXT(tblHorasDez[Data],"dddd"),tblDiaUtil[],3,FALSE)="Sim",IF(tblHorasDez[Evento 
(1º Período)]&lt;&gt;"",IF(VLOOKUP(tblHorasDez[Evento 
(1º Período)],tblEvento[],Tabelas!$E$1,FALSE)="Sim",FALSE,TRUE),TRUE),IF(tblHorasDez[Evento 
(2º Período)]&lt;&gt;"",IF(VLOOKUP(tblHorasDez[Evento 
(2º Período)],tblEvento[],Tabelas!$E$1,FALSE)="Sim",FALSE,TRUE),TRUE)),
              IF(VLOOKUP(tblHorasDez[Dia],tblDiaUtil[[Abreviatura]:[1º Período]],3,FALSE)&gt;0,VLOOKUP(tblHorasDez[Dia],tblDiaUtil[[Abreviatura]:[1º Período]],3,FALSE),JORNADA),
              ""),
         "")</f>
        <v/>
      </c>
      <c r="N11" s="14">
        <f>IF(OR(tblHorasDez[Horas Trabalhadas (1º Período)]&lt;&gt;0,tblHorasDez[Horas Trabalhadas (2º Período)]&lt;&gt;0),
        IF(ISNUMBER(tblHorasDez[Jornada Diária]),
              IF(tblHorasDez[Jornada Diária]&gt;(tblHorasDez[Horas Trabalhadas (2º Período)]+tblHorasDez[Horas Trabalhadas (1º Período)]),
                     IF(ROUND((tblHorasDez[Jornada Diária]-(tblHorasDez[Horas Trabalhadas (2º Período)]+tblHorasDez[Horas Trabalhadas (1º Período)])),6)&gt;ROUND(CARENCIA,6),
                           -tblHorasDez[Jornada Diária]+(tblHorasDez[Horas Trabalhadas (2º Período)]+tblHorasDez[Horas Trabalhadas (1º Período)]),
                           0),
                      IF(ROUND((tblHorasDez[Jornada Diária]-(tblHorasDez[Horas Trabalhadas (2º Período)]+tblHorasDez[Horas Trabalhadas (1º Período)])),6)&lt;ROUND(-CARENCIA,6),
                           -tblHorasDez[Jornada Diária]+(tblHorasDez[Horas Trabalhadas (2º Período)]+tblHorasDez[Horas Trabalhadas (1º Período)]),
                           0)),
              tblHorasDez[Horas Trabalhadas (2º Período)]+tblHorasDez[Horas Trabalhadas (1º Período)]),
         IF(AND(IF(ISERROR(VLOOKUP(tblHorasDez[Evento 
(1º Período)],tblEvento[[Evento]:[Libera o Período]],4,FALSE)),FALSE,IF(VLOOKUP(tblHorasDez[Evento 
(1º Período)],tblEvento[[Evento]:[Libera o Período]],4,FALSE)="Não",TRUE,FALSE)),IF(ISERROR(VLOOKUP(tblHorasDez[Evento 
(2º Período)],tblEvento[[Evento]:[Libera o Período]],4,FALSE)),FALSE,IF(VLOOKUP(tblHorasDez[Evento 
(2º Período)],tblEvento[[Evento]:[Libera o Período]],4,FALSE)="Não",TRUE,FALSE))),
-IF(VLOOKUP(tblHorasDez[Dia],tblDiaUtil[[Abreviatura]:[Total Jornada]],5,FALSE)&lt;&gt;"",VLOOKUP(tblHorasDez[Dia],tblDiaUtil[[Abreviatura]:[Total Jornada]],5,FALSE),JORNADA),
IF(IF(ISERROR(VLOOKUP(tblHorasDez[Evento 
(1º Período)],tblEvento[[Evento]:[Libera o Período]],4,FALSE)),FALSE,
IF(VLOOKUP(tblHorasDez[Evento 
(1º Período)],tblEvento[[Evento]:[Libera o Período]],4,FALSE)="Não",TRUE,FALSE)
),
-IF(VLOOKUP(tblHorasDez[Dia],tblDiaUtil[[Abreviatura]:[1º Período]],3,FALSE)&lt;&gt;"",VLOOKUP(tblHorasDez[Dia],tblDiaUtil[[Abreviatura]:[1º Período]],3,FALSE),JORNADA_PERIODO_1),
IF(IF(ISERROR(VLOOKUP(tblHorasDez[Evento 
(2º Período)],tblEvento[[Evento]:[Libera o Período]],4,FALSE)),FALSE,IF(VLOOKUP(tblHorasDez[Evento 
(2º Período)],tblEvento[[Evento]:[Libera o Período]],4,FALSE)="Não",TRUE,FALSE)),
-IF(VLOOKUP(tblHorasDez[Dia],tblDiaUtil[[Abreviatura]:[2º Período]],4,FALSE)&lt;&gt;"",VLOOKUP(tblHorasDez[Dia],tblDiaUtil[[Abreviatura]:[2º Período]],4,FALSE),JORNADA_PERIODO_2),0))))</f>
        <v>0</v>
      </c>
      <c r="O11" s="14">
        <f>IF(tblHorasDez[Horas Trabalhadas Além Jornada]&gt;0,
        IF(ISNUMBER(tblHorasDez[Jornada Diária]),
              IF(HOUR(tblHorasDez[Horas Trabalhadas Além Jornada])&gt;=VLOOKUP(LIMITE,tblLimiteHora[],Tabelas!$I$1,FALSE),
                    VLOOKUP(LIMITE,tblLimiteHora[],Tabelas!$J$1,FALSE),
                    tblHorasDez[Horas Trabalhadas Além Jornada]),
              tblHorasDez[Horas Trabalhadas Além Jornada]),
        tblHorasDez[Horas Trabalhadas Além Jornada])+O10</f>
        <v>0</v>
      </c>
      <c r="P11" s="14" t="str">
        <f>IF(tblHorasDez[Horas Trabalhadas Além Jornada]&lt;0,IF(OR(tblHorasDez[Evento 
(1º Período)]="",tblHorasDez[Evento 
(2º Período)]=""),tblHorasDez[Horas Trabalhadas Além Jornada],""),"")</f>
        <v/>
      </c>
      <c r="Q11" s="14" t="str">
        <f>IF(tblHorasDez[Jornada Diária]&lt;&gt;"",IF((N(tblHorasDez[Jornada Diária])-ABS(N(tblHorasDez[Horas Trabalhadas Além Jornada])))=0,1,""),"")</f>
        <v/>
      </c>
      <c r="R11" s="14" t="str">
        <f>IF(tblHorasDez[Horas Trabalhadas Além Jornada]&gt;0,
IF(AND(VLOOKUP(TEXT(tblHorasDez[Data],"dddd"),tblDiaUtil[],3,FALSE)="Sim",IF(tblHorasDez[Evento 
(1º Período)]&lt;&gt;"",IF(VLOOKUP(tblHorasDez[Evento 
(1º Período)],tblEvento[],Tabelas!$E$1,FALSE)="Sim",FALSE,TRUE),TRUE),IF(tblHorasDez[Evento 
(2º Período)]&lt;&gt;"",IF(VLOOKUP(tblHorasDez[Evento 
(2º Período)],tblEvento[],Tabelas!$E$1,FALSE)="Sim",FALSE,TRUE),TRUE)),
tblHorasDez[Horas Trabalhadas Além Jornada],""),"")</f>
        <v/>
      </c>
      <c r="S11" s="14" t="str">
        <f>IF(tblHorasDez[Horas Trabalhadas Além Jornada]&gt;0,
IF(OR(VLOOKUP(TEXT(tblHorasDez[Data],"dddd"),tblDiaUtil[],3,FALSE)="Não",IF(tblHorasDez[Evento 
(1º Período)]&lt;&gt;"",IF(VLOOKUP(tblHorasDez[Evento 
(1º Período)],tblEvento[],Tabelas!$E$1,FALSE)="Sim",TRUE,FALSE),FALSE),IF(tblHorasDez[Evento 
(2º Período)]&lt;&gt;"",IF(VLOOKUP(tblHorasDez[Evento 
(2º Período)],tblEvento[],Tabelas!$E$1,FALSE)="Sim",TRUE,FALSE),FALSE)),
tblHorasDez[Horas Trabalhadas Além Jornada],""),"")</f>
        <v/>
      </c>
      <c r="T11" s="15" t="str">
        <f>IF(tblHorasDez[Evento 
(1º Período)]&lt;&gt;""," - " &amp;VLOOKUP(tblHorasDez[Evento 
(1º Período)],tblEvento[],Tabelas!$F$1,FALSE),"")&amp;IF(AND(tblHorasDez[Evento 
(2º Período)]&lt;&gt;"",tblHorasDez[Evento 
(2º Período)]&lt;&gt;tblHorasDez[Evento 
(1º Período)])," - " &amp; VLOOKUP(tblHorasDez[Evento 
(2º Período)],tblEvento[],Tabelas!$F$1,FALSE),"")</f>
        <v/>
      </c>
    </row>
    <row r="12" spans="2:25" x14ac:dyDescent="0.25">
      <c r="B12" s="11" t="str">
        <f t="shared" si="0"/>
        <v/>
      </c>
      <c r="C12" s="12" t="str">
        <f>TEXT(tblHorasDez[Data],"ddd")</f>
        <v/>
      </c>
      <c r="D12" s="25"/>
      <c r="E12" s="1"/>
      <c r="F12" s="1"/>
      <c r="G12" s="1"/>
      <c r="H12" s="1"/>
      <c r="I12" s="53"/>
      <c r="J12" s="4">
        <f>IF($B$6&lt;&gt;"",
IF(AND(tblHorasDez[Evento 
(1º Período)]&lt;&gt;"",IF(ISERROR(VLOOKUP(tblHorasDez[Evento 
(1º Período)],tblEvento[],Tabelas!$D$1,FALSE)),FALSE,VLOOKUP(tblHorasDez[Evento 
(1º Período)],tblEvento[],Tabelas!$D$1,FALSE)="Sim")),
        IF(JORNADA_PERIODO_1&lt;&gt;"",
IF(VLOOKUP(tblHorasDez[Dia],tblDiaUtil[[Abreviatura]:[1º Período]],3,FALSE)&gt;0,VLOOKUP(tblHorasDez[Dia],tblDiaUtil[[Abreviatura]:[1º Período]],3,FALSE),JORNADA_PERIODO_1),
IF(VLOOKUP(tblHorasDez[Dia],tblDiaUtil[[Abreviatura]:[1º Período]],3,FALSE)&gt;0,VLOOKUP(tblHorasDez[Dia],tblDiaUtil[[Abreviatura]:[1º Período]],3,FALSE),JORNADA/2)),
        IF(AND(ISNUMBER(tblHorasDez[Saída - 1 (Almoço)]),ISNUMBER(tblHorasDez[Entrada - 1])),
              IF(OR(AND(tblHorasDez[Evento 
(1º Período)]&lt;&gt;"",IF(ISERROR(VLOOKUP(tblHorasDez[Evento 
(1º Período)],tblEvento[],Tabelas!$E$1,FALSE)),FALSE,VLOOKUP(tblHorasDez[Evento 
(1º Período)],tblEvento[],Tabelas!$E$1,FALSE)="Sim")),IF(VLOOKUP(TEXT(tblHorasDez[Data],"dddd"),tblDiaUtil[],2,FALSE)="Não",TRUE,FALSE)),
                   tblHorasDez[Saída - 1 (Almoço)]-tblHorasDez[Entrada - 1],
                   IF(OR(HOUR(tblHorasDez[Saída - 1 (Almoço)]-tblHorasDez[Entrada - 1])&gt;0,ROUND(tblHorasDez[Saída - 1 (Almoço)]-tblHorasDez[Entrada - 1],6)&gt;ROUND(CARENCIA,6)),
                          tblHorasDez[Saída - 1 (Almoço)]-tblHorasDez[Entrada - 1],
                          0)),
                    0)),0)</f>
        <v>0</v>
      </c>
      <c r="K12" s="4">
        <f>IF($B$6&lt;&gt;"",
IF(AND(tblHorasDez[Evento 
(2º Período)]&lt;&gt;"",IF(ISERROR(VLOOKUP(tblHorasDez[Evento 
(2º Período)],tblEvento[],Tabelas!$D$1,FALSE)),FALSE,VLOOKUP(tblHorasDez[Evento 
(2º Período)],tblEvento[],Tabelas!$D$1,FALSE)="Sim")),
        IF(JORNADA_PERIODO_2&lt;&gt;"",
IF(VLOOKUP(tblHorasDez[Dia],tblDiaUtil[[Abreviatura]:[2º Período]],4,FALSE)&gt;0,VLOOKUP(tblHorasDez[Dia],tblDiaUtil[[Abreviatura]:[2º Período]],4,FALSE),JORNADA_PERIODO_2),
IF(VLOOKUP(tblHorasDez[Dia],tblDiaUtil[[Abreviatura]:[2º Período]],4,FALSE)&gt;0,VLOOKUP(tblHorasDez[Dia],tblDiaUtil[[Abreviatura]:[2º Período]],4,FALSE),JORNADA/2)),
        IF(AND(ISNUMBER(tblHorasDez[Saída - 2]),ISNUMBER(tblHorasDez[Entrada - 2 (Almoço)])),
              IF(OR(AND(tblHorasDez[Evento 
(2º Período)]&lt;&gt;"",IF(ISERROR(VLOOKUP(tblHorasDez[Evento 
(2º Período)],tblEvento[],Tabelas!$E$1,FALSE)),FALSE,VLOOKUP(tblHorasDez[Evento 
(2º Período)],tblEvento[],Tabelas!$E$1,FALSE)="Sim")),IF(VLOOKUP(TEXT(tblHorasDez[Data],"dddd"),tblDiaUtil[],2,FALSE)="Não",TRUE,FALSE)),
                   tblHorasDez[Saída - 2]-tblHorasDez[Entrada - 2 (Almoço)],
                   IF(OR(HOUR(tblHorasDez[Saída - 2]-tblHorasDez[Entrada - 2 (Almoço)])&gt;0,MINUTE(tblHorasDez[Saída - 2]-tblHorasDez[Entrada - 2 (Almoço)])&gt;CARENCIA),
                         tblHorasDez[Saída - 2]-tblHorasDez[Entrada - 2 (Almoço)],
                         0)),
       0)),0)</f>
        <v>0</v>
      </c>
      <c r="L12" s="4">
        <f>tblHorasDez[Horas Trabalhadas (1º Período)]+tblHorasDez[Horas Trabalhadas (2º Período)]</f>
        <v>0</v>
      </c>
      <c r="M12" s="4" t="str">
        <f>IF(tblHorasDez[Data]&lt;&gt;"",
        IF(
AND(VLOOKUP(TEXT(tblHorasDez[Data],"dddd"),tblDiaUtil[],3,FALSE)="Sim",IF(tblHorasDez[Evento 
(1º Período)]&lt;&gt;"",IF(VLOOKUP(tblHorasDez[Evento 
(1º Período)],tblEvento[],Tabelas!$E$1,FALSE)="Sim",FALSE,TRUE),TRUE),IF(tblHorasDez[Evento 
(2º Período)]&lt;&gt;"",IF(VLOOKUP(tblHorasDez[Evento 
(2º Período)],tblEvento[],Tabelas!$E$1,FALSE)="Sim",FALSE,TRUE),TRUE)),
              IF(VLOOKUP(tblHorasDez[Dia],tblDiaUtil[[Abreviatura]:[1º Período]],3,FALSE)&gt;0,VLOOKUP(tblHorasDez[Dia],tblDiaUtil[[Abreviatura]:[1º Período]],3,FALSE),JORNADA),
              ""),
         "")</f>
        <v/>
      </c>
      <c r="N12" s="14">
        <f>IF(OR(tblHorasDez[Horas Trabalhadas (1º Período)]&lt;&gt;0,tblHorasDez[Horas Trabalhadas (2º Período)]&lt;&gt;0),
        IF(ISNUMBER(tblHorasDez[Jornada Diária]),
              IF(tblHorasDez[Jornada Diária]&gt;(tblHorasDez[Horas Trabalhadas (2º Período)]+tblHorasDez[Horas Trabalhadas (1º Período)]),
                     IF(ROUND((tblHorasDez[Jornada Diária]-(tblHorasDez[Horas Trabalhadas (2º Período)]+tblHorasDez[Horas Trabalhadas (1º Período)])),6)&gt;ROUND(CARENCIA,6),
                           -tblHorasDez[Jornada Diária]+(tblHorasDez[Horas Trabalhadas (2º Período)]+tblHorasDez[Horas Trabalhadas (1º Período)]),
                           0),
                      IF(ROUND((tblHorasDez[Jornada Diária]-(tblHorasDez[Horas Trabalhadas (2º Período)]+tblHorasDez[Horas Trabalhadas (1º Período)])),6)&lt;ROUND(-CARENCIA,6),
                           -tblHorasDez[Jornada Diária]+(tblHorasDez[Horas Trabalhadas (2º Período)]+tblHorasDez[Horas Trabalhadas (1º Período)]),
                           0)),
              tblHorasDez[Horas Trabalhadas (2º Período)]+tblHorasDez[Horas Trabalhadas (1º Período)]),
         IF(AND(IF(ISERROR(VLOOKUP(tblHorasDez[Evento 
(1º Período)],tblEvento[[Evento]:[Libera o Período]],4,FALSE)),FALSE,IF(VLOOKUP(tblHorasDez[Evento 
(1º Período)],tblEvento[[Evento]:[Libera o Período]],4,FALSE)="Não",TRUE,FALSE)),IF(ISERROR(VLOOKUP(tblHorasDez[Evento 
(2º Período)],tblEvento[[Evento]:[Libera o Período]],4,FALSE)),FALSE,IF(VLOOKUP(tblHorasDez[Evento 
(2º Período)],tblEvento[[Evento]:[Libera o Período]],4,FALSE)="Não",TRUE,FALSE))),
-IF(VLOOKUP(tblHorasDez[Dia],tblDiaUtil[[Abreviatura]:[Total Jornada]],5,FALSE)&lt;&gt;"",VLOOKUP(tblHorasDez[Dia],tblDiaUtil[[Abreviatura]:[Total Jornada]],5,FALSE),JORNADA),
IF(IF(ISERROR(VLOOKUP(tblHorasDez[Evento 
(1º Período)],tblEvento[[Evento]:[Libera o Período]],4,FALSE)),FALSE,
IF(VLOOKUP(tblHorasDez[Evento 
(1º Período)],tblEvento[[Evento]:[Libera o Período]],4,FALSE)="Não",TRUE,FALSE)
),
-IF(VLOOKUP(tblHorasDez[Dia],tblDiaUtil[[Abreviatura]:[1º Período]],3,FALSE)&lt;&gt;"",VLOOKUP(tblHorasDez[Dia],tblDiaUtil[[Abreviatura]:[1º Período]],3,FALSE),JORNADA_PERIODO_1),
IF(IF(ISERROR(VLOOKUP(tblHorasDez[Evento 
(2º Período)],tblEvento[[Evento]:[Libera o Período]],4,FALSE)),FALSE,IF(VLOOKUP(tblHorasDez[Evento 
(2º Período)],tblEvento[[Evento]:[Libera o Período]],4,FALSE)="Não",TRUE,FALSE)),
-IF(VLOOKUP(tblHorasDez[Dia],tblDiaUtil[[Abreviatura]:[2º Período]],4,FALSE)&lt;&gt;"",VLOOKUP(tblHorasDez[Dia],tblDiaUtil[[Abreviatura]:[2º Período]],4,FALSE),JORNADA_PERIODO_2),0))))</f>
        <v>0</v>
      </c>
      <c r="O12" s="14">
        <f>IF(tblHorasDez[Horas Trabalhadas Além Jornada]&gt;0,
        IF(ISNUMBER(tblHorasDez[Jornada Diária]),
              IF(HOUR(tblHorasDez[Horas Trabalhadas Além Jornada])&gt;=VLOOKUP(LIMITE,tblLimiteHora[],Tabelas!$I$1,FALSE),
                    VLOOKUP(LIMITE,tblLimiteHora[],Tabelas!$J$1,FALSE),
                    tblHorasDez[Horas Trabalhadas Além Jornada]),
              tblHorasDez[Horas Trabalhadas Além Jornada]),
        tblHorasDez[Horas Trabalhadas Além Jornada])+O11</f>
        <v>0</v>
      </c>
      <c r="P12" s="14" t="str">
        <f>IF(tblHorasDez[Horas Trabalhadas Além Jornada]&lt;0,IF(OR(tblHorasDez[Evento 
(1º Período)]="",tblHorasDez[Evento 
(2º Período)]=""),tblHorasDez[Horas Trabalhadas Além Jornada],""),"")</f>
        <v/>
      </c>
      <c r="Q12" s="14" t="str">
        <f>IF(tblHorasDez[Jornada Diária]&lt;&gt;"",IF((N(tblHorasDez[Jornada Diária])-ABS(N(tblHorasDez[Horas Trabalhadas Além Jornada])))=0,1,""),"")</f>
        <v/>
      </c>
      <c r="R12" s="14" t="str">
        <f>IF(tblHorasDez[Horas Trabalhadas Além Jornada]&gt;0,
IF(AND(VLOOKUP(TEXT(tblHorasDez[Data],"dddd"),tblDiaUtil[],3,FALSE)="Sim",IF(tblHorasDez[Evento 
(1º Período)]&lt;&gt;"",IF(VLOOKUP(tblHorasDez[Evento 
(1º Período)],tblEvento[],Tabelas!$E$1,FALSE)="Sim",FALSE,TRUE),TRUE),IF(tblHorasDez[Evento 
(2º Período)]&lt;&gt;"",IF(VLOOKUP(tblHorasDez[Evento 
(2º Período)],tblEvento[],Tabelas!$E$1,FALSE)="Sim",FALSE,TRUE),TRUE)),
tblHorasDez[Horas Trabalhadas Além Jornada],""),"")</f>
        <v/>
      </c>
      <c r="S12" s="14" t="str">
        <f>IF(tblHorasDez[Horas Trabalhadas Além Jornada]&gt;0,
IF(OR(VLOOKUP(TEXT(tblHorasDez[Data],"dddd"),tblDiaUtil[],3,FALSE)="Não",IF(tblHorasDez[Evento 
(1º Período)]&lt;&gt;"",IF(VLOOKUP(tblHorasDez[Evento 
(1º Período)],tblEvento[],Tabelas!$E$1,FALSE)="Sim",TRUE,FALSE),FALSE),IF(tblHorasDez[Evento 
(2º Período)]&lt;&gt;"",IF(VLOOKUP(tblHorasDez[Evento 
(2º Período)],tblEvento[],Tabelas!$E$1,FALSE)="Sim",TRUE,FALSE),FALSE)),
tblHorasDez[Horas Trabalhadas Além Jornada],""),"")</f>
        <v/>
      </c>
      <c r="T12" s="15" t="str">
        <f>IF(tblHorasDez[Evento 
(1º Período)]&lt;&gt;""," - " &amp;VLOOKUP(tblHorasDez[Evento 
(1º Período)],tblEvento[],Tabelas!$F$1,FALSE),"")&amp;IF(AND(tblHorasDez[Evento 
(2º Período)]&lt;&gt;"",tblHorasDez[Evento 
(2º Período)]&lt;&gt;tblHorasDez[Evento 
(1º Período)])," - " &amp; VLOOKUP(tblHorasDez[Evento 
(2º Período)],tblEvento[],Tabelas!$F$1,FALSE),"")</f>
        <v/>
      </c>
    </row>
    <row r="13" spans="2:25" x14ac:dyDescent="0.25">
      <c r="B13" s="11" t="str">
        <f t="shared" si="0"/>
        <v/>
      </c>
      <c r="C13" s="12" t="str">
        <f>TEXT(tblHorasDez[Data],"ddd")</f>
        <v/>
      </c>
      <c r="D13" s="25"/>
      <c r="E13" s="1"/>
      <c r="F13" s="1"/>
      <c r="G13" s="1"/>
      <c r="H13" s="1"/>
      <c r="I13" s="53"/>
      <c r="J13" s="4">
        <f>IF($B$6&lt;&gt;"",
IF(AND(tblHorasDez[Evento 
(1º Período)]&lt;&gt;"",IF(ISERROR(VLOOKUP(tblHorasDez[Evento 
(1º Período)],tblEvento[],Tabelas!$D$1,FALSE)),FALSE,VLOOKUP(tblHorasDez[Evento 
(1º Período)],tblEvento[],Tabelas!$D$1,FALSE)="Sim")),
        IF(JORNADA_PERIODO_1&lt;&gt;"",
IF(VLOOKUP(tblHorasDez[Dia],tblDiaUtil[[Abreviatura]:[1º Período]],3,FALSE)&gt;0,VLOOKUP(tblHorasDez[Dia],tblDiaUtil[[Abreviatura]:[1º Período]],3,FALSE),JORNADA_PERIODO_1),
IF(VLOOKUP(tblHorasDez[Dia],tblDiaUtil[[Abreviatura]:[1º Período]],3,FALSE)&gt;0,VLOOKUP(tblHorasDez[Dia],tblDiaUtil[[Abreviatura]:[1º Período]],3,FALSE),JORNADA/2)),
        IF(AND(ISNUMBER(tblHorasDez[Saída - 1 (Almoço)]),ISNUMBER(tblHorasDez[Entrada - 1])),
              IF(OR(AND(tblHorasDez[Evento 
(1º Período)]&lt;&gt;"",IF(ISERROR(VLOOKUP(tblHorasDez[Evento 
(1º Período)],tblEvento[],Tabelas!$E$1,FALSE)),FALSE,VLOOKUP(tblHorasDez[Evento 
(1º Período)],tblEvento[],Tabelas!$E$1,FALSE)="Sim")),IF(VLOOKUP(TEXT(tblHorasDez[Data],"dddd"),tblDiaUtil[],2,FALSE)="Não",TRUE,FALSE)),
                   tblHorasDez[Saída - 1 (Almoço)]-tblHorasDez[Entrada - 1],
                   IF(OR(HOUR(tblHorasDez[Saída - 1 (Almoço)]-tblHorasDez[Entrada - 1])&gt;0,ROUND(tblHorasDez[Saída - 1 (Almoço)]-tblHorasDez[Entrada - 1],6)&gt;ROUND(CARENCIA,6)),
                          tblHorasDez[Saída - 1 (Almoço)]-tblHorasDez[Entrada - 1],
                          0)),
                    0)),0)</f>
        <v>0</v>
      </c>
      <c r="K13" s="4">
        <f>IF($B$6&lt;&gt;"",
IF(AND(tblHorasDez[Evento 
(2º Período)]&lt;&gt;"",IF(ISERROR(VLOOKUP(tblHorasDez[Evento 
(2º Período)],tblEvento[],Tabelas!$D$1,FALSE)),FALSE,VLOOKUP(tblHorasDez[Evento 
(2º Período)],tblEvento[],Tabelas!$D$1,FALSE)="Sim")),
        IF(JORNADA_PERIODO_2&lt;&gt;"",
IF(VLOOKUP(tblHorasDez[Dia],tblDiaUtil[[Abreviatura]:[2º Período]],4,FALSE)&gt;0,VLOOKUP(tblHorasDez[Dia],tblDiaUtil[[Abreviatura]:[2º Período]],4,FALSE),JORNADA_PERIODO_2),
IF(VLOOKUP(tblHorasDez[Dia],tblDiaUtil[[Abreviatura]:[2º Período]],4,FALSE)&gt;0,VLOOKUP(tblHorasDez[Dia],tblDiaUtil[[Abreviatura]:[2º Período]],4,FALSE),JORNADA/2)),
        IF(AND(ISNUMBER(tblHorasDez[Saída - 2]),ISNUMBER(tblHorasDez[Entrada - 2 (Almoço)])),
              IF(OR(AND(tblHorasDez[Evento 
(2º Período)]&lt;&gt;"",IF(ISERROR(VLOOKUP(tblHorasDez[Evento 
(2º Período)],tblEvento[],Tabelas!$E$1,FALSE)),FALSE,VLOOKUP(tblHorasDez[Evento 
(2º Período)],tblEvento[],Tabelas!$E$1,FALSE)="Sim")),IF(VLOOKUP(TEXT(tblHorasDez[Data],"dddd"),tblDiaUtil[],2,FALSE)="Não",TRUE,FALSE)),
                   tblHorasDez[Saída - 2]-tblHorasDez[Entrada - 2 (Almoço)],
                   IF(OR(HOUR(tblHorasDez[Saída - 2]-tblHorasDez[Entrada - 2 (Almoço)])&gt;0,MINUTE(tblHorasDez[Saída - 2]-tblHorasDez[Entrada - 2 (Almoço)])&gt;CARENCIA),
                         tblHorasDez[Saída - 2]-tblHorasDez[Entrada - 2 (Almoço)],
                         0)),
       0)),0)</f>
        <v>0</v>
      </c>
      <c r="L13" s="4">
        <f>tblHorasDez[Horas Trabalhadas (1º Período)]+tblHorasDez[Horas Trabalhadas (2º Período)]</f>
        <v>0</v>
      </c>
      <c r="M13" s="4" t="str">
        <f>IF(tblHorasDez[Data]&lt;&gt;"",
        IF(
AND(VLOOKUP(TEXT(tblHorasDez[Data],"dddd"),tblDiaUtil[],3,FALSE)="Sim",IF(tblHorasDez[Evento 
(1º Período)]&lt;&gt;"",IF(VLOOKUP(tblHorasDez[Evento 
(1º Período)],tblEvento[],Tabelas!$E$1,FALSE)="Sim",FALSE,TRUE),TRUE),IF(tblHorasDez[Evento 
(2º Período)]&lt;&gt;"",IF(VLOOKUP(tblHorasDez[Evento 
(2º Período)],tblEvento[],Tabelas!$E$1,FALSE)="Sim",FALSE,TRUE),TRUE)),
              IF(VLOOKUP(tblHorasDez[Dia],tblDiaUtil[[Abreviatura]:[1º Período]],3,FALSE)&gt;0,VLOOKUP(tblHorasDez[Dia],tblDiaUtil[[Abreviatura]:[1º Período]],3,FALSE),JORNADA),
              ""),
         "")</f>
        <v/>
      </c>
      <c r="N13" s="14">
        <f>IF(OR(tblHorasDez[Horas Trabalhadas (1º Período)]&lt;&gt;0,tblHorasDez[Horas Trabalhadas (2º Período)]&lt;&gt;0),
        IF(ISNUMBER(tblHorasDez[Jornada Diária]),
              IF(tblHorasDez[Jornada Diária]&gt;(tblHorasDez[Horas Trabalhadas (2º Período)]+tblHorasDez[Horas Trabalhadas (1º Período)]),
                     IF(ROUND((tblHorasDez[Jornada Diária]-(tblHorasDez[Horas Trabalhadas (2º Período)]+tblHorasDez[Horas Trabalhadas (1º Período)])),6)&gt;ROUND(CARENCIA,6),
                           -tblHorasDez[Jornada Diária]+(tblHorasDez[Horas Trabalhadas (2º Período)]+tblHorasDez[Horas Trabalhadas (1º Período)]),
                           0),
                      IF(ROUND((tblHorasDez[Jornada Diária]-(tblHorasDez[Horas Trabalhadas (2º Período)]+tblHorasDez[Horas Trabalhadas (1º Período)])),6)&lt;ROUND(-CARENCIA,6),
                           -tblHorasDez[Jornada Diária]+(tblHorasDez[Horas Trabalhadas (2º Período)]+tblHorasDez[Horas Trabalhadas (1º Período)]),
                           0)),
              tblHorasDez[Horas Trabalhadas (2º Período)]+tblHorasDez[Horas Trabalhadas (1º Período)]),
         IF(AND(IF(ISERROR(VLOOKUP(tblHorasDez[Evento 
(1º Período)],tblEvento[[Evento]:[Libera o Período]],4,FALSE)),FALSE,IF(VLOOKUP(tblHorasDez[Evento 
(1º Período)],tblEvento[[Evento]:[Libera o Período]],4,FALSE)="Não",TRUE,FALSE)),IF(ISERROR(VLOOKUP(tblHorasDez[Evento 
(2º Período)],tblEvento[[Evento]:[Libera o Período]],4,FALSE)),FALSE,IF(VLOOKUP(tblHorasDez[Evento 
(2º Período)],tblEvento[[Evento]:[Libera o Período]],4,FALSE)="Não",TRUE,FALSE))),
-IF(VLOOKUP(tblHorasDez[Dia],tblDiaUtil[[Abreviatura]:[Total Jornada]],5,FALSE)&lt;&gt;"",VLOOKUP(tblHorasDez[Dia],tblDiaUtil[[Abreviatura]:[Total Jornada]],5,FALSE),JORNADA),
IF(IF(ISERROR(VLOOKUP(tblHorasDez[Evento 
(1º Período)],tblEvento[[Evento]:[Libera o Período]],4,FALSE)),FALSE,
IF(VLOOKUP(tblHorasDez[Evento 
(1º Período)],tblEvento[[Evento]:[Libera o Período]],4,FALSE)="Não",TRUE,FALSE)
),
-IF(VLOOKUP(tblHorasDez[Dia],tblDiaUtil[[Abreviatura]:[1º Período]],3,FALSE)&lt;&gt;"",VLOOKUP(tblHorasDez[Dia],tblDiaUtil[[Abreviatura]:[1º Período]],3,FALSE),JORNADA_PERIODO_1),
IF(IF(ISERROR(VLOOKUP(tblHorasDez[Evento 
(2º Período)],tblEvento[[Evento]:[Libera o Período]],4,FALSE)),FALSE,IF(VLOOKUP(tblHorasDez[Evento 
(2º Período)],tblEvento[[Evento]:[Libera o Período]],4,FALSE)="Não",TRUE,FALSE)),
-IF(VLOOKUP(tblHorasDez[Dia],tblDiaUtil[[Abreviatura]:[2º Período]],4,FALSE)&lt;&gt;"",VLOOKUP(tblHorasDez[Dia],tblDiaUtil[[Abreviatura]:[2º Período]],4,FALSE),JORNADA_PERIODO_2),0))))</f>
        <v>0</v>
      </c>
      <c r="O13" s="14">
        <f>IF(tblHorasDez[Horas Trabalhadas Além Jornada]&gt;0,
        IF(ISNUMBER(tblHorasDez[Jornada Diária]),
              IF(HOUR(tblHorasDez[Horas Trabalhadas Além Jornada])&gt;=VLOOKUP(LIMITE,tblLimiteHora[],Tabelas!$I$1,FALSE),
                    VLOOKUP(LIMITE,tblLimiteHora[],Tabelas!$J$1,FALSE),
                    tblHorasDez[Horas Trabalhadas Além Jornada]),
              tblHorasDez[Horas Trabalhadas Além Jornada]),
        tblHorasDez[Horas Trabalhadas Além Jornada])+O12</f>
        <v>0</v>
      </c>
      <c r="P13" s="14" t="str">
        <f>IF(tblHorasDez[Horas Trabalhadas Além Jornada]&lt;0,IF(OR(tblHorasDez[Evento 
(1º Período)]="",tblHorasDez[Evento 
(2º Período)]=""),tblHorasDez[Horas Trabalhadas Além Jornada],""),"")</f>
        <v/>
      </c>
      <c r="Q13" s="14" t="str">
        <f>IF(tblHorasDez[Jornada Diária]&lt;&gt;"",IF((N(tblHorasDez[Jornada Diária])-ABS(N(tblHorasDez[Horas Trabalhadas Além Jornada])))=0,1,""),"")</f>
        <v/>
      </c>
      <c r="R13" s="14" t="str">
        <f>IF(tblHorasDez[Horas Trabalhadas Além Jornada]&gt;0,
IF(AND(VLOOKUP(TEXT(tblHorasDez[Data],"dddd"),tblDiaUtil[],3,FALSE)="Sim",IF(tblHorasDez[Evento 
(1º Período)]&lt;&gt;"",IF(VLOOKUP(tblHorasDez[Evento 
(1º Período)],tblEvento[],Tabelas!$E$1,FALSE)="Sim",FALSE,TRUE),TRUE),IF(tblHorasDez[Evento 
(2º Período)]&lt;&gt;"",IF(VLOOKUP(tblHorasDez[Evento 
(2º Período)],tblEvento[],Tabelas!$E$1,FALSE)="Sim",FALSE,TRUE),TRUE)),
tblHorasDez[Horas Trabalhadas Além Jornada],""),"")</f>
        <v/>
      </c>
      <c r="S13" s="14" t="str">
        <f>IF(tblHorasDez[Horas Trabalhadas Além Jornada]&gt;0,
IF(OR(VLOOKUP(TEXT(tblHorasDez[Data],"dddd"),tblDiaUtil[],3,FALSE)="Não",IF(tblHorasDez[Evento 
(1º Período)]&lt;&gt;"",IF(VLOOKUP(tblHorasDez[Evento 
(1º Período)],tblEvento[],Tabelas!$E$1,FALSE)="Sim",TRUE,FALSE),FALSE),IF(tblHorasDez[Evento 
(2º Período)]&lt;&gt;"",IF(VLOOKUP(tblHorasDez[Evento 
(2º Período)],tblEvento[],Tabelas!$E$1,FALSE)="Sim",TRUE,FALSE),FALSE)),
tblHorasDez[Horas Trabalhadas Além Jornada],""),"")</f>
        <v/>
      </c>
      <c r="T13" s="15" t="str">
        <f>IF(tblHorasDez[Evento 
(1º Período)]&lt;&gt;""," - " &amp;VLOOKUP(tblHorasDez[Evento 
(1º Período)],tblEvento[],Tabelas!$F$1,FALSE),"")&amp;IF(AND(tblHorasDez[Evento 
(2º Período)]&lt;&gt;"",tblHorasDez[Evento 
(2º Período)]&lt;&gt;tblHorasDez[Evento 
(1º Período)])," - " &amp; VLOOKUP(tblHorasDez[Evento 
(2º Período)],tblEvento[],Tabelas!$F$1,FALSE),"")</f>
        <v/>
      </c>
    </row>
    <row r="14" spans="2:25" x14ac:dyDescent="0.25">
      <c r="B14" s="11" t="str">
        <f t="shared" si="0"/>
        <v/>
      </c>
      <c r="C14" s="12" t="str">
        <f>TEXT(tblHorasDez[Data],"ddd")</f>
        <v/>
      </c>
      <c r="D14" s="25"/>
      <c r="E14" s="1"/>
      <c r="F14" s="1"/>
      <c r="G14" s="1"/>
      <c r="H14" s="1"/>
      <c r="I14" s="53"/>
      <c r="J14" s="4">
        <f>IF($B$6&lt;&gt;"",
IF(AND(tblHorasDez[Evento 
(1º Período)]&lt;&gt;"",IF(ISERROR(VLOOKUP(tblHorasDez[Evento 
(1º Período)],tblEvento[],Tabelas!$D$1,FALSE)),FALSE,VLOOKUP(tblHorasDez[Evento 
(1º Período)],tblEvento[],Tabelas!$D$1,FALSE)="Sim")),
        IF(JORNADA_PERIODO_1&lt;&gt;"",
IF(VLOOKUP(tblHorasDez[Dia],tblDiaUtil[[Abreviatura]:[1º Período]],3,FALSE)&gt;0,VLOOKUP(tblHorasDez[Dia],tblDiaUtil[[Abreviatura]:[1º Período]],3,FALSE),JORNADA_PERIODO_1),
IF(VLOOKUP(tblHorasDez[Dia],tblDiaUtil[[Abreviatura]:[1º Período]],3,FALSE)&gt;0,VLOOKUP(tblHorasDez[Dia],tblDiaUtil[[Abreviatura]:[1º Período]],3,FALSE),JORNADA/2)),
        IF(AND(ISNUMBER(tblHorasDez[Saída - 1 (Almoço)]),ISNUMBER(tblHorasDez[Entrada - 1])),
              IF(OR(AND(tblHorasDez[Evento 
(1º Período)]&lt;&gt;"",IF(ISERROR(VLOOKUP(tblHorasDez[Evento 
(1º Período)],tblEvento[],Tabelas!$E$1,FALSE)),FALSE,VLOOKUP(tblHorasDez[Evento 
(1º Período)],tblEvento[],Tabelas!$E$1,FALSE)="Sim")),IF(VLOOKUP(TEXT(tblHorasDez[Data],"dddd"),tblDiaUtil[],2,FALSE)="Não",TRUE,FALSE)),
                   tblHorasDez[Saída - 1 (Almoço)]-tblHorasDez[Entrada - 1],
                   IF(OR(HOUR(tblHorasDez[Saída - 1 (Almoço)]-tblHorasDez[Entrada - 1])&gt;0,ROUND(tblHorasDez[Saída - 1 (Almoço)]-tblHorasDez[Entrada - 1],6)&gt;ROUND(CARENCIA,6)),
                          tblHorasDez[Saída - 1 (Almoço)]-tblHorasDez[Entrada - 1],
                          0)),
                    0)),0)</f>
        <v>0</v>
      </c>
      <c r="K14" s="4">
        <f>IF($B$6&lt;&gt;"",
IF(AND(tblHorasDez[Evento 
(2º Período)]&lt;&gt;"",IF(ISERROR(VLOOKUP(tblHorasDez[Evento 
(2º Período)],tblEvento[],Tabelas!$D$1,FALSE)),FALSE,VLOOKUP(tblHorasDez[Evento 
(2º Período)],tblEvento[],Tabelas!$D$1,FALSE)="Sim")),
        IF(JORNADA_PERIODO_2&lt;&gt;"",
IF(VLOOKUP(tblHorasDez[Dia],tblDiaUtil[[Abreviatura]:[2º Período]],4,FALSE)&gt;0,VLOOKUP(tblHorasDez[Dia],tblDiaUtil[[Abreviatura]:[2º Período]],4,FALSE),JORNADA_PERIODO_2),
IF(VLOOKUP(tblHorasDez[Dia],tblDiaUtil[[Abreviatura]:[2º Período]],4,FALSE)&gt;0,VLOOKUP(tblHorasDez[Dia],tblDiaUtil[[Abreviatura]:[2º Período]],4,FALSE),JORNADA/2)),
        IF(AND(ISNUMBER(tblHorasDez[Saída - 2]),ISNUMBER(tblHorasDez[Entrada - 2 (Almoço)])),
              IF(OR(AND(tblHorasDez[Evento 
(2º Período)]&lt;&gt;"",IF(ISERROR(VLOOKUP(tblHorasDez[Evento 
(2º Período)],tblEvento[],Tabelas!$E$1,FALSE)),FALSE,VLOOKUP(tblHorasDez[Evento 
(2º Período)],tblEvento[],Tabelas!$E$1,FALSE)="Sim")),IF(VLOOKUP(TEXT(tblHorasDez[Data],"dddd"),tblDiaUtil[],2,FALSE)="Não",TRUE,FALSE)),
                   tblHorasDez[Saída - 2]-tblHorasDez[Entrada - 2 (Almoço)],
                   IF(OR(HOUR(tblHorasDez[Saída - 2]-tblHorasDez[Entrada - 2 (Almoço)])&gt;0,MINUTE(tblHorasDez[Saída - 2]-tblHorasDez[Entrada - 2 (Almoço)])&gt;CARENCIA),
                         tblHorasDez[Saída - 2]-tblHorasDez[Entrada - 2 (Almoço)],
                         0)),
       0)),0)</f>
        <v>0</v>
      </c>
      <c r="L14" s="4">
        <f>tblHorasDez[Horas Trabalhadas (1º Período)]+tblHorasDez[Horas Trabalhadas (2º Período)]</f>
        <v>0</v>
      </c>
      <c r="M14" s="4" t="str">
        <f>IF(tblHorasDez[Data]&lt;&gt;"",
        IF(
AND(VLOOKUP(TEXT(tblHorasDez[Data],"dddd"),tblDiaUtil[],3,FALSE)="Sim",IF(tblHorasDez[Evento 
(1º Período)]&lt;&gt;"",IF(VLOOKUP(tblHorasDez[Evento 
(1º Período)],tblEvento[],Tabelas!$E$1,FALSE)="Sim",FALSE,TRUE),TRUE),IF(tblHorasDez[Evento 
(2º Período)]&lt;&gt;"",IF(VLOOKUP(tblHorasDez[Evento 
(2º Período)],tblEvento[],Tabelas!$E$1,FALSE)="Sim",FALSE,TRUE),TRUE)),
              IF(VLOOKUP(tblHorasDez[Dia],tblDiaUtil[[Abreviatura]:[1º Período]],3,FALSE)&gt;0,VLOOKUP(tblHorasDez[Dia],tblDiaUtil[[Abreviatura]:[1º Período]],3,FALSE),JORNADA),
              ""),
         "")</f>
        <v/>
      </c>
      <c r="N14" s="14">
        <f>IF(OR(tblHorasDez[Horas Trabalhadas (1º Período)]&lt;&gt;0,tblHorasDez[Horas Trabalhadas (2º Período)]&lt;&gt;0),
        IF(ISNUMBER(tblHorasDez[Jornada Diária]),
              IF(tblHorasDez[Jornada Diária]&gt;(tblHorasDez[Horas Trabalhadas (2º Período)]+tblHorasDez[Horas Trabalhadas (1º Período)]),
                     IF(ROUND((tblHorasDez[Jornada Diária]-(tblHorasDez[Horas Trabalhadas (2º Período)]+tblHorasDez[Horas Trabalhadas (1º Período)])),6)&gt;ROUND(CARENCIA,6),
                           -tblHorasDez[Jornada Diária]+(tblHorasDez[Horas Trabalhadas (2º Período)]+tblHorasDez[Horas Trabalhadas (1º Período)]),
                           0),
                      IF(ROUND((tblHorasDez[Jornada Diária]-(tblHorasDez[Horas Trabalhadas (2º Período)]+tblHorasDez[Horas Trabalhadas (1º Período)])),6)&lt;ROUND(-CARENCIA,6),
                           -tblHorasDez[Jornada Diária]+(tblHorasDez[Horas Trabalhadas (2º Período)]+tblHorasDez[Horas Trabalhadas (1º Período)]),
                           0)),
              tblHorasDez[Horas Trabalhadas (2º Período)]+tblHorasDez[Horas Trabalhadas (1º Período)]),
         IF(AND(IF(ISERROR(VLOOKUP(tblHorasDez[Evento 
(1º Período)],tblEvento[[Evento]:[Libera o Período]],4,FALSE)),FALSE,IF(VLOOKUP(tblHorasDez[Evento 
(1º Período)],tblEvento[[Evento]:[Libera o Período]],4,FALSE)="Não",TRUE,FALSE)),IF(ISERROR(VLOOKUP(tblHorasDez[Evento 
(2º Período)],tblEvento[[Evento]:[Libera o Período]],4,FALSE)),FALSE,IF(VLOOKUP(tblHorasDez[Evento 
(2º Período)],tblEvento[[Evento]:[Libera o Período]],4,FALSE)="Não",TRUE,FALSE))),
-IF(VLOOKUP(tblHorasDez[Dia],tblDiaUtil[[Abreviatura]:[Total Jornada]],5,FALSE)&lt;&gt;"",VLOOKUP(tblHorasDez[Dia],tblDiaUtil[[Abreviatura]:[Total Jornada]],5,FALSE),JORNADA),
IF(IF(ISERROR(VLOOKUP(tblHorasDez[Evento 
(1º Período)],tblEvento[[Evento]:[Libera o Período]],4,FALSE)),FALSE,
IF(VLOOKUP(tblHorasDez[Evento 
(1º Período)],tblEvento[[Evento]:[Libera o Período]],4,FALSE)="Não",TRUE,FALSE)
),
-IF(VLOOKUP(tblHorasDez[Dia],tblDiaUtil[[Abreviatura]:[1º Período]],3,FALSE)&lt;&gt;"",VLOOKUP(tblHorasDez[Dia],tblDiaUtil[[Abreviatura]:[1º Período]],3,FALSE),JORNADA_PERIODO_1),
IF(IF(ISERROR(VLOOKUP(tblHorasDez[Evento 
(2º Período)],tblEvento[[Evento]:[Libera o Período]],4,FALSE)),FALSE,IF(VLOOKUP(tblHorasDez[Evento 
(2º Período)],tblEvento[[Evento]:[Libera o Período]],4,FALSE)="Não",TRUE,FALSE)),
-IF(VLOOKUP(tblHorasDez[Dia],tblDiaUtil[[Abreviatura]:[2º Período]],4,FALSE)&lt;&gt;"",VLOOKUP(tblHorasDez[Dia],tblDiaUtil[[Abreviatura]:[2º Período]],4,FALSE),JORNADA_PERIODO_2),0))))</f>
        <v>0</v>
      </c>
      <c r="O14" s="14">
        <f>IF(tblHorasDez[Horas Trabalhadas Além Jornada]&gt;0,
        IF(ISNUMBER(tblHorasDez[Jornada Diária]),
              IF(HOUR(tblHorasDez[Horas Trabalhadas Além Jornada])&gt;=VLOOKUP(LIMITE,tblLimiteHora[],Tabelas!$I$1,FALSE),
                    VLOOKUP(LIMITE,tblLimiteHora[],Tabelas!$J$1,FALSE),
                    tblHorasDez[Horas Trabalhadas Além Jornada]),
              tblHorasDez[Horas Trabalhadas Além Jornada]),
        tblHorasDez[Horas Trabalhadas Além Jornada])+O13</f>
        <v>0</v>
      </c>
      <c r="P14" s="14" t="str">
        <f>IF(tblHorasDez[Horas Trabalhadas Além Jornada]&lt;0,IF(OR(tblHorasDez[Evento 
(1º Período)]="",tblHorasDez[Evento 
(2º Período)]=""),tblHorasDez[Horas Trabalhadas Além Jornada],""),"")</f>
        <v/>
      </c>
      <c r="Q14" s="14" t="str">
        <f>IF(tblHorasDez[Jornada Diária]&lt;&gt;"",IF((N(tblHorasDez[Jornada Diária])-ABS(N(tblHorasDez[Horas Trabalhadas Além Jornada])))=0,1,""),"")</f>
        <v/>
      </c>
      <c r="R14" s="14" t="str">
        <f>IF(tblHorasDez[Horas Trabalhadas Além Jornada]&gt;0,
IF(AND(VLOOKUP(TEXT(tblHorasDez[Data],"dddd"),tblDiaUtil[],3,FALSE)="Sim",IF(tblHorasDez[Evento 
(1º Período)]&lt;&gt;"",IF(VLOOKUP(tblHorasDez[Evento 
(1º Período)],tblEvento[],Tabelas!$E$1,FALSE)="Sim",FALSE,TRUE),TRUE),IF(tblHorasDez[Evento 
(2º Período)]&lt;&gt;"",IF(VLOOKUP(tblHorasDez[Evento 
(2º Período)],tblEvento[],Tabelas!$E$1,FALSE)="Sim",FALSE,TRUE),TRUE)),
tblHorasDez[Horas Trabalhadas Além Jornada],""),"")</f>
        <v/>
      </c>
      <c r="S14" s="14" t="str">
        <f>IF(tblHorasDez[Horas Trabalhadas Além Jornada]&gt;0,
IF(OR(VLOOKUP(TEXT(tblHorasDez[Data],"dddd"),tblDiaUtil[],3,FALSE)="Não",IF(tblHorasDez[Evento 
(1º Período)]&lt;&gt;"",IF(VLOOKUP(tblHorasDez[Evento 
(1º Período)],tblEvento[],Tabelas!$E$1,FALSE)="Sim",TRUE,FALSE),FALSE),IF(tblHorasDez[Evento 
(2º Período)]&lt;&gt;"",IF(VLOOKUP(tblHorasDez[Evento 
(2º Período)],tblEvento[],Tabelas!$E$1,FALSE)="Sim",TRUE,FALSE),FALSE)),
tblHorasDez[Horas Trabalhadas Além Jornada],""),"")</f>
        <v/>
      </c>
      <c r="T14" s="15" t="str">
        <f>IF(tblHorasDez[Evento 
(1º Período)]&lt;&gt;""," - " &amp;VLOOKUP(tblHorasDez[Evento 
(1º Período)],tblEvento[],Tabelas!$F$1,FALSE),"")&amp;IF(AND(tblHorasDez[Evento 
(2º Período)]&lt;&gt;"",tblHorasDez[Evento 
(2º Período)]&lt;&gt;tblHorasDez[Evento 
(1º Período)])," - " &amp; VLOOKUP(tblHorasDez[Evento 
(2º Período)],tblEvento[],Tabelas!$F$1,FALSE),"")</f>
        <v/>
      </c>
      <c r="X14" s="18"/>
      <c r="Y14" s="18"/>
    </row>
    <row r="15" spans="2:25" x14ac:dyDescent="0.25">
      <c r="B15" s="11" t="str">
        <f t="shared" si="0"/>
        <v/>
      </c>
      <c r="C15" s="12" t="str">
        <f>TEXT(tblHorasDez[Data],"ddd")</f>
        <v/>
      </c>
      <c r="D15" s="25"/>
      <c r="E15" s="1"/>
      <c r="F15" s="1"/>
      <c r="G15" s="1"/>
      <c r="H15" s="1"/>
      <c r="I15" s="53"/>
      <c r="J15" s="4">
        <f>IF($B$6&lt;&gt;"",
IF(AND(tblHorasDez[Evento 
(1º Período)]&lt;&gt;"",IF(ISERROR(VLOOKUP(tblHorasDez[Evento 
(1º Período)],tblEvento[],Tabelas!$D$1,FALSE)),FALSE,VLOOKUP(tblHorasDez[Evento 
(1º Período)],tblEvento[],Tabelas!$D$1,FALSE)="Sim")),
        IF(JORNADA_PERIODO_1&lt;&gt;"",
IF(VLOOKUP(tblHorasDez[Dia],tblDiaUtil[[Abreviatura]:[1º Período]],3,FALSE)&gt;0,VLOOKUP(tblHorasDez[Dia],tblDiaUtil[[Abreviatura]:[1º Período]],3,FALSE),JORNADA_PERIODO_1),
IF(VLOOKUP(tblHorasDez[Dia],tblDiaUtil[[Abreviatura]:[1º Período]],3,FALSE)&gt;0,VLOOKUP(tblHorasDez[Dia],tblDiaUtil[[Abreviatura]:[1º Período]],3,FALSE),JORNADA/2)),
        IF(AND(ISNUMBER(tblHorasDez[Saída - 1 (Almoço)]),ISNUMBER(tblHorasDez[Entrada - 1])),
              IF(OR(AND(tblHorasDez[Evento 
(1º Período)]&lt;&gt;"",IF(ISERROR(VLOOKUP(tblHorasDez[Evento 
(1º Período)],tblEvento[],Tabelas!$E$1,FALSE)),FALSE,VLOOKUP(tblHorasDez[Evento 
(1º Período)],tblEvento[],Tabelas!$E$1,FALSE)="Sim")),IF(VLOOKUP(TEXT(tblHorasDez[Data],"dddd"),tblDiaUtil[],2,FALSE)="Não",TRUE,FALSE)),
                   tblHorasDez[Saída - 1 (Almoço)]-tblHorasDez[Entrada - 1],
                   IF(OR(HOUR(tblHorasDez[Saída - 1 (Almoço)]-tblHorasDez[Entrada - 1])&gt;0,ROUND(tblHorasDez[Saída - 1 (Almoço)]-tblHorasDez[Entrada - 1],6)&gt;ROUND(CARENCIA,6)),
                          tblHorasDez[Saída - 1 (Almoço)]-tblHorasDez[Entrada - 1],
                          0)),
                    0)),0)</f>
        <v>0</v>
      </c>
      <c r="K15" s="4">
        <f>IF($B$6&lt;&gt;"",
IF(AND(tblHorasDez[Evento 
(2º Período)]&lt;&gt;"",IF(ISERROR(VLOOKUP(tblHorasDez[Evento 
(2º Período)],tblEvento[],Tabelas!$D$1,FALSE)),FALSE,VLOOKUP(tblHorasDez[Evento 
(2º Período)],tblEvento[],Tabelas!$D$1,FALSE)="Sim")),
        IF(JORNADA_PERIODO_2&lt;&gt;"",
IF(VLOOKUP(tblHorasDez[Dia],tblDiaUtil[[Abreviatura]:[2º Período]],4,FALSE)&gt;0,VLOOKUP(tblHorasDez[Dia],tblDiaUtil[[Abreviatura]:[2º Período]],4,FALSE),JORNADA_PERIODO_2),
IF(VLOOKUP(tblHorasDez[Dia],tblDiaUtil[[Abreviatura]:[2º Período]],4,FALSE)&gt;0,VLOOKUP(tblHorasDez[Dia],tblDiaUtil[[Abreviatura]:[2º Período]],4,FALSE),JORNADA/2)),
        IF(AND(ISNUMBER(tblHorasDez[Saída - 2]),ISNUMBER(tblHorasDez[Entrada - 2 (Almoço)])),
              IF(OR(AND(tblHorasDez[Evento 
(2º Período)]&lt;&gt;"",IF(ISERROR(VLOOKUP(tblHorasDez[Evento 
(2º Período)],tblEvento[],Tabelas!$E$1,FALSE)),FALSE,VLOOKUP(tblHorasDez[Evento 
(2º Período)],tblEvento[],Tabelas!$E$1,FALSE)="Sim")),IF(VLOOKUP(TEXT(tblHorasDez[Data],"dddd"),tblDiaUtil[],2,FALSE)="Não",TRUE,FALSE)),
                   tblHorasDez[Saída - 2]-tblHorasDez[Entrada - 2 (Almoço)],
                   IF(OR(HOUR(tblHorasDez[Saída - 2]-tblHorasDez[Entrada - 2 (Almoço)])&gt;0,MINUTE(tblHorasDez[Saída - 2]-tblHorasDez[Entrada - 2 (Almoço)])&gt;CARENCIA),
                         tblHorasDez[Saída - 2]-tblHorasDez[Entrada - 2 (Almoço)],
                         0)),
       0)),0)</f>
        <v>0</v>
      </c>
      <c r="L15" s="4">
        <f>tblHorasDez[Horas Trabalhadas (1º Período)]+tblHorasDez[Horas Trabalhadas (2º Período)]</f>
        <v>0</v>
      </c>
      <c r="M15" s="4" t="str">
        <f>IF(tblHorasDez[Data]&lt;&gt;"",
        IF(
AND(VLOOKUP(TEXT(tblHorasDez[Data],"dddd"),tblDiaUtil[],3,FALSE)="Sim",IF(tblHorasDez[Evento 
(1º Período)]&lt;&gt;"",IF(VLOOKUP(tblHorasDez[Evento 
(1º Período)],tblEvento[],Tabelas!$E$1,FALSE)="Sim",FALSE,TRUE),TRUE),IF(tblHorasDez[Evento 
(2º Período)]&lt;&gt;"",IF(VLOOKUP(tblHorasDez[Evento 
(2º Período)],tblEvento[],Tabelas!$E$1,FALSE)="Sim",FALSE,TRUE),TRUE)),
              IF(VLOOKUP(tblHorasDez[Dia],tblDiaUtil[[Abreviatura]:[1º Período]],3,FALSE)&gt;0,VLOOKUP(tblHorasDez[Dia],tblDiaUtil[[Abreviatura]:[1º Período]],3,FALSE),JORNADA),
              ""),
         "")</f>
        <v/>
      </c>
      <c r="N15" s="14">
        <f>IF(OR(tblHorasDez[Horas Trabalhadas (1º Período)]&lt;&gt;0,tblHorasDez[Horas Trabalhadas (2º Período)]&lt;&gt;0),
        IF(ISNUMBER(tblHorasDez[Jornada Diária]),
              IF(tblHorasDez[Jornada Diária]&gt;(tblHorasDez[Horas Trabalhadas (2º Período)]+tblHorasDez[Horas Trabalhadas (1º Período)]),
                     IF(ROUND((tblHorasDez[Jornada Diária]-(tblHorasDez[Horas Trabalhadas (2º Período)]+tblHorasDez[Horas Trabalhadas (1º Período)])),6)&gt;ROUND(CARENCIA,6),
                           -tblHorasDez[Jornada Diária]+(tblHorasDez[Horas Trabalhadas (2º Período)]+tblHorasDez[Horas Trabalhadas (1º Período)]),
                           0),
                      IF(ROUND((tblHorasDez[Jornada Diária]-(tblHorasDez[Horas Trabalhadas (2º Período)]+tblHorasDez[Horas Trabalhadas (1º Período)])),6)&lt;ROUND(-CARENCIA,6),
                           -tblHorasDez[Jornada Diária]+(tblHorasDez[Horas Trabalhadas (2º Período)]+tblHorasDez[Horas Trabalhadas (1º Período)]),
                           0)),
              tblHorasDez[Horas Trabalhadas (2º Período)]+tblHorasDez[Horas Trabalhadas (1º Período)]),
         IF(AND(IF(ISERROR(VLOOKUP(tblHorasDez[Evento 
(1º Período)],tblEvento[[Evento]:[Libera o Período]],4,FALSE)),FALSE,IF(VLOOKUP(tblHorasDez[Evento 
(1º Período)],tblEvento[[Evento]:[Libera o Período]],4,FALSE)="Não",TRUE,FALSE)),IF(ISERROR(VLOOKUP(tblHorasDez[Evento 
(2º Período)],tblEvento[[Evento]:[Libera o Período]],4,FALSE)),FALSE,IF(VLOOKUP(tblHorasDez[Evento 
(2º Período)],tblEvento[[Evento]:[Libera o Período]],4,FALSE)="Não",TRUE,FALSE))),
-IF(VLOOKUP(tblHorasDez[Dia],tblDiaUtil[[Abreviatura]:[Total Jornada]],5,FALSE)&lt;&gt;"",VLOOKUP(tblHorasDez[Dia],tblDiaUtil[[Abreviatura]:[Total Jornada]],5,FALSE),JORNADA),
IF(IF(ISERROR(VLOOKUP(tblHorasDez[Evento 
(1º Período)],tblEvento[[Evento]:[Libera o Período]],4,FALSE)),FALSE,
IF(VLOOKUP(tblHorasDez[Evento 
(1º Período)],tblEvento[[Evento]:[Libera o Período]],4,FALSE)="Não",TRUE,FALSE)
),
-IF(VLOOKUP(tblHorasDez[Dia],tblDiaUtil[[Abreviatura]:[1º Período]],3,FALSE)&lt;&gt;"",VLOOKUP(tblHorasDez[Dia],tblDiaUtil[[Abreviatura]:[1º Período]],3,FALSE),JORNADA_PERIODO_1),
IF(IF(ISERROR(VLOOKUP(tblHorasDez[Evento 
(2º Período)],tblEvento[[Evento]:[Libera o Período]],4,FALSE)),FALSE,IF(VLOOKUP(tblHorasDez[Evento 
(2º Período)],tblEvento[[Evento]:[Libera o Período]],4,FALSE)="Não",TRUE,FALSE)),
-IF(VLOOKUP(tblHorasDez[Dia],tblDiaUtil[[Abreviatura]:[2º Período]],4,FALSE)&lt;&gt;"",VLOOKUP(tblHorasDez[Dia],tblDiaUtil[[Abreviatura]:[2º Período]],4,FALSE),JORNADA_PERIODO_2),0))))</f>
        <v>0</v>
      </c>
      <c r="O15" s="14">
        <f>IF(tblHorasDez[Horas Trabalhadas Além Jornada]&gt;0,
        IF(ISNUMBER(tblHorasDez[Jornada Diária]),
              IF(HOUR(tblHorasDez[Horas Trabalhadas Além Jornada])&gt;=VLOOKUP(LIMITE,tblLimiteHora[],Tabelas!$I$1,FALSE),
                    VLOOKUP(LIMITE,tblLimiteHora[],Tabelas!$J$1,FALSE),
                    tblHorasDez[Horas Trabalhadas Além Jornada]),
              tblHorasDez[Horas Trabalhadas Além Jornada]),
        tblHorasDez[Horas Trabalhadas Além Jornada])+O14</f>
        <v>0</v>
      </c>
      <c r="P15" s="14" t="str">
        <f>IF(tblHorasDez[Horas Trabalhadas Além Jornada]&lt;0,IF(OR(tblHorasDez[Evento 
(1º Período)]="",tblHorasDez[Evento 
(2º Período)]=""),tblHorasDez[Horas Trabalhadas Além Jornada],""),"")</f>
        <v/>
      </c>
      <c r="Q15" s="14" t="str">
        <f>IF(tblHorasDez[Jornada Diária]&lt;&gt;"",IF((N(tblHorasDez[Jornada Diária])-ABS(N(tblHorasDez[Horas Trabalhadas Além Jornada])))=0,1,""),"")</f>
        <v/>
      </c>
      <c r="R15" s="14" t="str">
        <f>IF(tblHorasDez[Horas Trabalhadas Além Jornada]&gt;0,
IF(AND(VLOOKUP(TEXT(tblHorasDez[Data],"dddd"),tblDiaUtil[],3,FALSE)="Sim",IF(tblHorasDez[Evento 
(1º Período)]&lt;&gt;"",IF(VLOOKUP(tblHorasDez[Evento 
(1º Período)],tblEvento[],Tabelas!$E$1,FALSE)="Sim",FALSE,TRUE),TRUE),IF(tblHorasDez[Evento 
(2º Período)]&lt;&gt;"",IF(VLOOKUP(tblHorasDez[Evento 
(2º Período)],tblEvento[],Tabelas!$E$1,FALSE)="Sim",FALSE,TRUE),TRUE)),
tblHorasDez[Horas Trabalhadas Além Jornada],""),"")</f>
        <v/>
      </c>
      <c r="S15" s="14" t="str">
        <f>IF(tblHorasDez[Horas Trabalhadas Além Jornada]&gt;0,
IF(OR(VLOOKUP(TEXT(tblHorasDez[Data],"dddd"),tblDiaUtil[],3,FALSE)="Não",IF(tblHorasDez[Evento 
(1º Período)]&lt;&gt;"",IF(VLOOKUP(tblHorasDez[Evento 
(1º Período)],tblEvento[],Tabelas!$E$1,FALSE)="Sim",TRUE,FALSE),FALSE),IF(tblHorasDez[Evento 
(2º Período)]&lt;&gt;"",IF(VLOOKUP(tblHorasDez[Evento 
(2º Período)],tblEvento[],Tabelas!$E$1,FALSE)="Sim",TRUE,FALSE),FALSE)),
tblHorasDez[Horas Trabalhadas Além Jornada],""),"")</f>
        <v/>
      </c>
      <c r="T15" s="15" t="str">
        <f>IF(tblHorasDez[Evento 
(1º Período)]&lt;&gt;""," - " &amp;VLOOKUP(tblHorasDez[Evento 
(1º Período)],tblEvento[],Tabelas!$F$1,FALSE),"")&amp;IF(AND(tblHorasDez[Evento 
(2º Período)]&lt;&gt;"",tblHorasDez[Evento 
(2º Período)]&lt;&gt;tblHorasDez[Evento 
(1º Período)])," - " &amp; VLOOKUP(tblHorasDez[Evento 
(2º Período)],tblEvento[],Tabelas!$F$1,FALSE),"")</f>
        <v/>
      </c>
      <c r="X15" s="17"/>
    </row>
    <row r="16" spans="2:25" x14ac:dyDescent="0.25">
      <c r="B16" s="11" t="str">
        <f t="shared" si="0"/>
        <v/>
      </c>
      <c r="C16" s="12" t="str">
        <f>TEXT(tblHorasDez[Data],"ddd")</f>
        <v/>
      </c>
      <c r="D16" s="25"/>
      <c r="E16" s="1"/>
      <c r="F16" s="1"/>
      <c r="G16" s="1"/>
      <c r="H16" s="1"/>
      <c r="I16" s="53"/>
      <c r="J16" s="4">
        <f>IF($B$6&lt;&gt;"",
IF(AND(tblHorasDez[Evento 
(1º Período)]&lt;&gt;"",IF(ISERROR(VLOOKUP(tblHorasDez[Evento 
(1º Período)],tblEvento[],Tabelas!$D$1,FALSE)),FALSE,VLOOKUP(tblHorasDez[Evento 
(1º Período)],tblEvento[],Tabelas!$D$1,FALSE)="Sim")),
        IF(JORNADA_PERIODO_1&lt;&gt;"",
IF(VLOOKUP(tblHorasDez[Dia],tblDiaUtil[[Abreviatura]:[1º Período]],3,FALSE)&gt;0,VLOOKUP(tblHorasDez[Dia],tblDiaUtil[[Abreviatura]:[1º Período]],3,FALSE),JORNADA_PERIODO_1),
IF(VLOOKUP(tblHorasDez[Dia],tblDiaUtil[[Abreviatura]:[1º Período]],3,FALSE)&gt;0,VLOOKUP(tblHorasDez[Dia],tblDiaUtil[[Abreviatura]:[1º Período]],3,FALSE),JORNADA/2)),
        IF(AND(ISNUMBER(tblHorasDez[Saída - 1 (Almoço)]),ISNUMBER(tblHorasDez[Entrada - 1])),
              IF(OR(AND(tblHorasDez[Evento 
(1º Período)]&lt;&gt;"",IF(ISERROR(VLOOKUP(tblHorasDez[Evento 
(1º Período)],tblEvento[],Tabelas!$E$1,FALSE)),FALSE,VLOOKUP(tblHorasDez[Evento 
(1º Período)],tblEvento[],Tabelas!$E$1,FALSE)="Sim")),IF(VLOOKUP(TEXT(tblHorasDez[Data],"dddd"),tblDiaUtil[],2,FALSE)="Não",TRUE,FALSE)),
                   tblHorasDez[Saída - 1 (Almoço)]-tblHorasDez[Entrada - 1],
                   IF(OR(HOUR(tblHorasDez[Saída - 1 (Almoço)]-tblHorasDez[Entrada - 1])&gt;0,ROUND(tblHorasDez[Saída - 1 (Almoço)]-tblHorasDez[Entrada - 1],6)&gt;ROUND(CARENCIA,6)),
                          tblHorasDez[Saída - 1 (Almoço)]-tblHorasDez[Entrada - 1],
                          0)),
                    0)),0)</f>
        <v>0</v>
      </c>
      <c r="K16" s="4">
        <f>IF($B$6&lt;&gt;"",
IF(AND(tblHorasDez[Evento 
(2º Período)]&lt;&gt;"",IF(ISERROR(VLOOKUP(tblHorasDez[Evento 
(2º Período)],tblEvento[],Tabelas!$D$1,FALSE)),FALSE,VLOOKUP(tblHorasDez[Evento 
(2º Período)],tblEvento[],Tabelas!$D$1,FALSE)="Sim")),
        IF(JORNADA_PERIODO_2&lt;&gt;"",
IF(VLOOKUP(tblHorasDez[Dia],tblDiaUtil[[Abreviatura]:[2º Período]],4,FALSE)&gt;0,VLOOKUP(tblHorasDez[Dia],tblDiaUtil[[Abreviatura]:[2º Período]],4,FALSE),JORNADA_PERIODO_2),
IF(VLOOKUP(tblHorasDez[Dia],tblDiaUtil[[Abreviatura]:[2º Período]],4,FALSE)&gt;0,VLOOKUP(tblHorasDez[Dia],tblDiaUtil[[Abreviatura]:[2º Período]],4,FALSE),JORNADA/2)),
        IF(AND(ISNUMBER(tblHorasDez[Saída - 2]),ISNUMBER(tblHorasDez[Entrada - 2 (Almoço)])),
              IF(OR(AND(tblHorasDez[Evento 
(2º Período)]&lt;&gt;"",IF(ISERROR(VLOOKUP(tblHorasDez[Evento 
(2º Período)],tblEvento[],Tabelas!$E$1,FALSE)),FALSE,VLOOKUP(tblHorasDez[Evento 
(2º Período)],tblEvento[],Tabelas!$E$1,FALSE)="Sim")),IF(VLOOKUP(TEXT(tblHorasDez[Data],"dddd"),tblDiaUtil[],2,FALSE)="Não",TRUE,FALSE)),
                   tblHorasDez[Saída - 2]-tblHorasDez[Entrada - 2 (Almoço)],
                   IF(OR(HOUR(tblHorasDez[Saída - 2]-tblHorasDez[Entrada - 2 (Almoço)])&gt;0,MINUTE(tblHorasDez[Saída - 2]-tblHorasDez[Entrada - 2 (Almoço)])&gt;CARENCIA),
                         tblHorasDez[Saída - 2]-tblHorasDez[Entrada - 2 (Almoço)],
                         0)),
       0)),0)</f>
        <v>0</v>
      </c>
      <c r="L16" s="4">
        <f>tblHorasDez[Horas Trabalhadas (1º Período)]+tblHorasDez[Horas Trabalhadas (2º Período)]</f>
        <v>0</v>
      </c>
      <c r="M16" s="4" t="str">
        <f>IF(tblHorasDez[Data]&lt;&gt;"",
        IF(
AND(VLOOKUP(TEXT(tblHorasDez[Data],"dddd"),tblDiaUtil[],3,FALSE)="Sim",IF(tblHorasDez[Evento 
(1º Período)]&lt;&gt;"",IF(VLOOKUP(tblHorasDez[Evento 
(1º Período)],tblEvento[],Tabelas!$E$1,FALSE)="Sim",FALSE,TRUE),TRUE),IF(tblHorasDez[Evento 
(2º Período)]&lt;&gt;"",IF(VLOOKUP(tblHorasDez[Evento 
(2º Período)],tblEvento[],Tabelas!$E$1,FALSE)="Sim",FALSE,TRUE),TRUE)),
              IF(VLOOKUP(tblHorasDez[Dia],tblDiaUtil[[Abreviatura]:[1º Período]],3,FALSE)&gt;0,VLOOKUP(tblHorasDez[Dia],tblDiaUtil[[Abreviatura]:[1º Período]],3,FALSE),JORNADA),
              ""),
         "")</f>
        <v/>
      </c>
      <c r="N16" s="14">
        <f>IF(OR(tblHorasDez[Horas Trabalhadas (1º Período)]&lt;&gt;0,tblHorasDez[Horas Trabalhadas (2º Período)]&lt;&gt;0),
        IF(ISNUMBER(tblHorasDez[Jornada Diária]),
              IF(tblHorasDez[Jornada Diária]&gt;(tblHorasDez[Horas Trabalhadas (2º Período)]+tblHorasDez[Horas Trabalhadas (1º Período)]),
                     IF(ROUND((tblHorasDez[Jornada Diária]-(tblHorasDez[Horas Trabalhadas (2º Período)]+tblHorasDez[Horas Trabalhadas (1º Período)])),6)&gt;ROUND(CARENCIA,6),
                           -tblHorasDez[Jornada Diária]+(tblHorasDez[Horas Trabalhadas (2º Período)]+tblHorasDez[Horas Trabalhadas (1º Período)]),
                           0),
                      IF(ROUND((tblHorasDez[Jornada Diária]-(tblHorasDez[Horas Trabalhadas (2º Período)]+tblHorasDez[Horas Trabalhadas (1º Período)])),6)&lt;ROUND(-CARENCIA,6),
                           -tblHorasDez[Jornada Diária]+(tblHorasDez[Horas Trabalhadas (2º Período)]+tblHorasDez[Horas Trabalhadas (1º Período)]),
                           0)),
              tblHorasDez[Horas Trabalhadas (2º Período)]+tblHorasDez[Horas Trabalhadas (1º Período)]),
         IF(AND(IF(ISERROR(VLOOKUP(tblHorasDez[Evento 
(1º Período)],tblEvento[[Evento]:[Libera o Período]],4,FALSE)),FALSE,IF(VLOOKUP(tblHorasDez[Evento 
(1º Período)],tblEvento[[Evento]:[Libera o Período]],4,FALSE)="Não",TRUE,FALSE)),IF(ISERROR(VLOOKUP(tblHorasDez[Evento 
(2º Período)],tblEvento[[Evento]:[Libera o Período]],4,FALSE)),FALSE,IF(VLOOKUP(tblHorasDez[Evento 
(2º Período)],tblEvento[[Evento]:[Libera o Período]],4,FALSE)="Não",TRUE,FALSE))),
-IF(VLOOKUP(tblHorasDez[Dia],tblDiaUtil[[Abreviatura]:[Total Jornada]],5,FALSE)&lt;&gt;"",VLOOKUP(tblHorasDez[Dia],tblDiaUtil[[Abreviatura]:[Total Jornada]],5,FALSE),JORNADA),
IF(IF(ISERROR(VLOOKUP(tblHorasDez[Evento 
(1º Período)],tblEvento[[Evento]:[Libera o Período]],4,FALSE)),FALSE,
IF(VLOOKUP(tblHorasDez[Evento 
(1º Período)],tblEvento[[Evento]:[Libera o Período]],4,FALSE)="Não",TRUE,FALSE)
),
-IF(VLOOKUP(tblHorasDez[Dia],tblDiaUtil[[Abreviatura]:[1º Período]],3,FALSE)&lt;&gt;"",VLOOKUP(tblHorasDez[Dia],tblDiaUtil[[Abreviatura]:[1º Período]],3,FALSE),JORNADA_PERIODO_1),
IF(IF(ISERROR(VLOOKUP(tblHorasDez[Evento 
(2º Período)],tblEvento[[Evento]:[Libera o Período]],4,FALSE)),FALSE,IF(VLOOKUP(tblHorasDez[Evento 
(2º Período)],tblEvento[[Evento]:[Libera o Período]],4,FALSE)="Não",TRUE,FALSE)),
-IF(VLOOKUP(tblHorasDez[Dia],tblDiaUtil[[Abreviatura]:[2º Período]],4,FALSE)&lt;&gt;"",VLOOKUP(tblHorasDez[Dia],tblDiaUtil[[Abreviatura]:[2º Período]],4,FALSE),JORNADA_PERIODO_2),0))))</f>
        <v>0</v>
      </c>
      <c r="O16" s="14">
        <f>IF(tblHorasDez[Horas Trabalhadas Além Jornada]&gt;0,
        IF(ISNUMBER(tblHorasDez[Jornada Diária]),
              IF(HOUR(tblHorasDez[Horas Trabalhadas Além Jornada])&gt;=VLOOKUP(LIMITE,tblLimiteHora[],Tabelas!$I$1,FALSE),
                    VLOOKUP(LIMITE,tblLimiteHora[],Tabelas!$J$1,FALSE),
                    tblHorasDez[Horas Trabalhadas Além Jornada]),
              tblHorasDez[Horas Trabalhadas Além Jornada]),
        tblHorasDez[Horas Trabalhadas Além Jornada])+O15</f>
        <v>0</v>
      </c>
      <c r="P16" s="14" t="str">
        <f>IF(tblHorasDez[Horas Trabalhadas Além Jornada]&lt;0,IF(OR(tblHorasDez[Evento 
(1º Período)]="",tblHorasDez[Evento 
(2º Período)]=""),tblHorasDez[Horas Trabalhadas Além Jornada],""),"")</f>
        <v/>
      </c>
      <c r="Q16" s="14" t="str">
        <f>IF(tblHorasDez[Jornada Diária]&lt;&gt;"",IF((N(tblHorasDez[Jornada Diária])-ABS(N(tblHorasDez[Horas Trabalhadas Além Jornada])))=0,1,""),"")</f>
        <v/>
      </c>
      <c r="R16" s="14" t="str">
        <f>IF(tblHorasDez[Horas Trabalhadas Além Jornada]&gt;0,
IF(AND(VLOOKUP(TEXT(tblHorasDez[Data],"dddd"),tblDiaUtil[],3,FALSE)="Sim",IF(tblHorasDez[Evento 
(1º Período)]&lt;&gt;"",IF(VLOOKUP(tblHorasDez[Evento 
(1º Período)],tblEvento[],Tabelas!$E$1,FALSE)="Sim",FALSE,TRUE),TRUE),IF(tblHorasDez[Evento 
(2º Período)]&lt;&gt;"",IF(VLOOKUP(tblHorasDez[Evento 
(2º Período)],tblEvento[],Tabelas!$E$1,FALSE)="Sim",FALSE,TRUE),TRUE)),
tblHorasDez[Horas Trabalhadas Além Jornada],""),"")</f>
        <v/>
      </c>
      <c r="S16" s="14" t="str">
        <f>IF(tblHorasDez[Horas Trabalhadas Além Jornada]&gt;0,
IF(OR(VLOOKUP(TEXT(tblHorasDez[Data],"dddd"),tblDiaUtil[],3,FALSE)="Não",IF(tblHorasDez[Evento 
(1º Período)]&lt;&gt;"",IF(VLOOKUP(tblHorasDez[Evento 
(1º Período)],tblEvento[],Tabelas!$E$1,FALSE)="Sim",TRUE,FALSE),FALSE),IF(tblHorasDez[Evento 
(2º Período)]&lt;&gt;"",IF(VLOOKUP(tblHorasDez[Evento 
(2º Período)],tblEvento[],Tabelas!$E$1,FALSE)="Sim",TRUE,FALSE),FALSE)),
tblHorasDez[Horas Trabalhadas Além Jornada],""),"")</f>
        <v/>
      </c>
      <c r="T16" s="15" t="str">
        <f>IF(tblHorasDez[Evento 
(1º Período)]&lt;&gt;""," - " &amp;VLOOKUP(tblHorasDez[Evento 
(1º Período)],tblEvento[],Tabelas!$F$1,FALSE),"")&amp;IF(AND(tblHorasDez[Evento 
(2º Período)]&lt;&gt;"",tblHorasDez[Evento 
(2º Período)]&lt;&gt;tblHorasDez[Evento 
(1º Período)])," - " &amp; VLOOKUP(tblHorasDez[Evento 
(2º Período)],tblEvento[],Tabelas!$F$1,FALSE),"")</f>
        <v/>
      </c>
    </row>
    <row r="17" spans="2:20" x14ac:dyDescent="0.25">
      <c r="B17" s="11" t="str">
        <f t="shared" si="0"/>
        <v/>
      </c>
      <c r="C17" s="12" t="str">
        <f>TEXT(tblHorasDez[Data],"ddd")</f>
        <v/>
      </c>
      <c r="D17" s="25"/>
      <c r="E17" s="1"/>
      <c r="F17" s="1"/>
      <c r="G17" s="1"/>
      <c r="H17" s="1"/>
      <c r="I17" s="53"/>
      <c r="J17" s="4">
        <f>IF($B$6&lt;&gt;"",
IF(AND(tblHorasDez[Evento 
(1º Período)]&lt;&gt;"",IF(ISERROR(VLOOKUP(tblHorasDez[Evento 
(1º Período)],tblEvento[],Tabelas!$D$1,FALSE)),FALSE,VLOOKUP(tblHorasDez[Evento 
(1º Período)],tblEvento[],Tabelas!$D$1,FALSE)="Sim")),
        IF(JORNADA_PERIODO_1&lt;&gt;"",
IF(VLOOKUP(tblHorasDez[Dia],tblDiaUtil[[Abreviatura]:[1º Período]],3,FALSE)&gt;0,VLOOKUP(tblHorasDez[Dia],tblDiaUtil[[Abreviatura]:[1º Período]],3,FALSE),JORNADA_PERIODO_1),
IF(VLOOKUP(tblHorasDez[Dia],tblDiaUtil[[Abreviatura]:[1º Período]],3,FALSE)&gt;0,VLOOKUP(tblHorasDez[Dia],tblDiaUtil[[Abreviatura]:[1º Período]],3,FALSE),JORNADA/2)),
        IF(AND(ISNUMBER(tblHorasDez[Saída - 1 (Almoço)]),ISNUMBER(tblHorasDez[Entrada - 1])),
              IF(OR(AND(tblHorasDez[Evento 
(1º Período)]&lt;&gt;"",IF(ISERROR(VLOOKUP(tblHorasDez[Evento 
(1º Período)],tblEvento[],Tabelas!$E$1,FALSE)),FALSE,VLOOKUP(tblHorasDez[Evento 
(1º Período)],tblEvento[],Tabelas!$E$1,FALSE)="Sim")),IF(VLOOKUP(TEXT(tblHorasDez[Data],"dddd"),tblDiaUtil[],2,FALSE)="Não",TRUE,FALSE)),
                   tblHorasDez[Saída - 1 (Almoço)]-tblHorasDez[Entrada - 1],
                   IF(OR(HOUR(tblHorasDez[Saída - 1 (Almoço)]-tblHorasDez[Entrada - 1])&gt;0,ROUND(tblHorasDez[Saída - 1 (Almoço)]-tblHorasDez[Entrada - 1],6)&gt;ROUND(CARENCIA,6)),
                          tblHorasDez[Saída - 1 (Almoço)]-tblHorasDez[Entrada - 1],
                          0)),
                    0)),0)</f>
        <v>0</v>
      </c>
      <c r="K17" s="4">
        <f>IF($B$6&lt;&gt;"",
IF(AND(tblHorasDez[Evento 
(2º Período)]&lt;&gt;"",IF(ISERROR(VLOOKUP(tblHorasDez[Evento 
(2º Período)],tblEvento[],Tabelas!$D$1,FALSE)),FALSE,VLOOKUP(tblHorasDez[Evento 
(2º Período)],tblEvento[],Tabelas!$D$1,FALSE)="Sim")),
        IF(JORNADA_PERIODO_2&lt;&gt;"",
IF(VLOOKUP(tblHorasDez[Dia],tblDiaUtil[[Abreviatura]:[2º Período]],4,FALSE)&gt;0,VLOOKUP(tblHorasDez[Dia],tblDiaUtil[[Abreviatura]:[2º Período]],4,FALSE),JORNADA_PERIODO_2),
IF(VLOOKUP(tblHorasDez[Dia],tblDiaUtil[[Abreviatura]:[2º Período]],4,FALSE)&gt;0,VLOOKUP(tblHorasDez[Dia],tblDiaUtil[[Abreviatura]:[2º Período]],4,FALSE),JORNADA/2)),
        IF(AND(ISNUMBER(tblHorasDez[Saída - 2]),ISNUMBER(tblHorasDez[Entrada - 2 (Almoço)])),
              IF(OR(AND(tblHorasDez[Evento 
(2º Período)]&lt;&gt;"",IF(ISERROR(VLOOKUP(tblHorasDez[Evento 
(2º Período)],tblEvento[],Tabelas!$E$1,FALSE)),FALSE,VLOOKUP(tblHorasDez[Evento 
(2º Período)],tblEvento[],Tabelas!$E$1,FALSE)="Sim")),IF(VLOOKUP(TEXT(tblHorasDez[Data],"dddd"),tblDiaUtil[],2,FALSE)="Não",TRUE,FALSE)),
                   tblHorasDez[Saída - 2]-tblHorasDez[Entrada - 2 (Almoço)],
                   IF(OR(HOUR(tblHorasDez[Saída - 2]-tblHorasDez[Entrada - 2 (Almoço)])&gt;0,MINUTE(tblHorasDez[Saída - 2]-tblHorasDez[Entrada - 2 (Almoço)])&gt;CARENCIA),
                         tblHorasDez[Saída - 2]-tblHorasDez[Entrada - 2 (Almoço)],
                         0)),
       0)),0)</f>
        <v>0</v>
      </c>
      <c r="L17" s="4">
        <f>tblHorasDez[Horas Trabalhadas (1º Período)]+tblHorasDez[Horas Trabalhadas (2º Período)]</f>
        <v>0</v>
      </c>
      <c r="M17" s="4" t="str">
        <f>IF(tblHorasDez[Data]&lt;&gt;"",
        IF(
AND(VLOOKUP(TEXT(tblHorasDez[Data],"dddd"),tblDiaUtil[],3,FALSE)="Sim",IF(tblHorasDez[Evento 
(1º Período)]&lt;&gt;"",IF(VLOOKUP(tblHorasDez[Evento 
(1º Período)],tblEvento[],Tabelas!$E$1,FALSE)="Sim",FALSE,TRUE),TRUE),IF(tblHorasDez[Evento 
(2º Período)]&lt;&gt;"",IF(VLOOKUP(tblHorasDez[Evento 
(2º Período)],tblEvento[],Tabelas!$E$1,FALSE)="Sim",FALSE,TRUE),TRUE)),
              IF(VLOOKUP(tblHorasDez[Dia],tblDiaUtil[[Abreviatura]:[1º Período]],3,FALSE)&gt;0,VLOOKUP(tblHorasDez[Dia],tblDiaUtil[[Abreviatura]:[1º Período]],3,FALSE),JORNADA),
              ""),
         "")</f>
        <v/>
      </c>
      <c r="N17" s="14">
        <f>IF(OR(tblHorasDez[Horas Trabalhadas (1º Período)]&lt;&gt;0,tblHorasDez[Horas Trabalhadas (2º Período)]&lt;&gt;0),
        IF(ISNUMBER(tblHorasDez[Jornada Diária]),
              IF(tblHorasDez[Jornada Diária]&gt;(tblHorasDez[Horas Trabalhadas (2º Período)]+tblHorasDez[Horas Trabalhadas (1º Período)]),
                     IF(ROUND((tblHorasDez[Jornada Diária]-(tblHorasDez[Horas Trabalhadas (2º Período)]+tblHorasDez[Horas Trabalhadas (1º Período)])),6)&gt;ROUND(CARENCIA,6),
                           -tblHorasDez[Jornada Diária]+(tblHorasDez[Horas Trabalhadas (2º Período)]+tblHorasDez[Horas Trabalhadas (1º Período)]),
                           0),
                      IF(ROUND((tblHorasDez[Jornada Diária]-(tblHorasDez[Horas Trabalhadas (2º Período)]+tblHorasDez[Horas Trabalhadas (1º Período)])),6)&lt;ROUND(-CARENCIA,6),
                           -tblHorasDez[Jornada Diária]+(tblHorasDez[Horas Trabalhadas (2º Período)]+tblHorasDez[Horas Trabalhadas (1º Período)]),
                           0)),
              tblHorasDez[Horas Trabalhadas (2º Período)]+tblHorasDez[Horas Trabalhadas (1º Período)]),
         IF(AND(IF(ISERROR(VLOOKUP(tblHorasDez[Evento 
(1º Período)],tblEvento[[Evento]:[Libera o Período]],4,FALSE)),FALSE,IF(VLOOKUP(tblHorasDez[Evento 
(1º Período)],tblEvento[[Evento]:[Libera o Período]],4,FALSE)="Não",TRUE,FALSE)),IF(ISERROR(VLOOKUP(tblHorasDez[Evento 
(2º Período)],tblEvento[[Evento]:[Libera o Período]],4,FALSE)),FALSE,IF(VLOOKUP(tblHorasDez[Evento 
(2º Período)],tblEvento[[Evento]:[Libera o Período]],4,FALSE)="Não",TRUE,FALSE))),
-IF(VLOOKUP(tblHorasDez[Dia],tblDiaUtil[[Abreviatura]:[Total Jornada]],5,FALSE)&lt;&gt;"",VLOOKUP(tblHorasDez[Dia],tblDiaUtil[[Abreviatura]:[Total Jornada]],5,FALSE),JORNADA),
IF(IF(ISERROR(VLOOKUP(tblHorasDez[Evento 
(1º Período)],tblEvento[[Evento]:[Libera o Período]],4,FALSE)),FALSE,
IF(VLOOKUP(tblHorasDez[Evento 
(1º Período)],tblEvento[[Evento]:[Libera o Período]],4,FALSE)="Não",TRUE,FALSE)
),
-IF(VLOOKUP(tblHorasDez[Dia],tblDiaUtil[[Abreviatura]:[1º Período]],3,FALSE)&lt;&gt;"",VLOOKUP(tblHorasDez[Dia],tblDiaUtil[[Abreviatura]:[1º Período]],3,FALSE),JORNADA_PERIODO_1),
IF(IF(ISERROR(VLOOKUP(tblHorasDez[Evento 
(2º Período)],tblEvento[[Evento]:[Libera o Período]],4,FALSE)),FALSE,IF(VLOOKUP(tblHorasDez[Evento 
(2º Período)],tblEvento[[Evento]:[Libera o Período]],4,FALSE)="Não",TRUE,FALSE)),
-IF(VLOOKUP(tblHorasDez[Dia],tblDiaUtil[[Abreviatura]:[2º Período]],4,FALSE)&lt;&gt;"",VLOOKUP(tblHorasDez[Dia],tblDiaUtil[[Abreviatura]:[2º Período]],4,FALSE),JORNADA_PERIODO_2),0))))</f>
        <v>0</v>
      </c>
      <c r="O17" s="14">
        <f>IF(tblHorasDez[Horas Trabalhadas Além Jornada]&gt;0,
        IF(ISNUMBER(tblHorasDez[Jornada Diária]),
              IF(HOUR(tblHorasDez[Horas Trabalhadas Além Jornada])&gt;=VLOOKUP(LIMITE,tblLimiteHora[],Tabelas!$I$1,FALSE),
                    VLOOKUP(LIMITE,tblLimiteHora[],Tabelas!$J$1,FALSE),
                    tblHorasDez[Horas Trabalhadas Além Jornada]),
              tblHorasDez[Horas Trabalhadas Além Jornada]),
        tblHorasDez[Horas Trabalhadas Além Jornada])+O16</f>
        <v>0</v>
      </c>
      <c r="P17" s="14" t="str">
        <f>IF(tblHorasDez[Horas Trabalhadas Além Jornada]&lt;0,IF(OR(tblHorasDez[Evento 
(1º Período)]="",tblHorasDez[Evento 
(2º Período)]=""),tblHorasDez[Horas Trabalhadas Além Jornada],""),"")</f>
        <v/>
      </c>
      <c r="Q17" s="14" t="str">
        <f>IF(tblHorasDez[Jornada Diária]&lt;&gt;"",IF((N(tblHorasDez[Jornada Diária])-ABS(N(tblHorasDez[Horas Trabalhadas Além Jornada])))=0,1,""),"")</f>
        <v/>
      </c>
      <c r="R17" s="14" t="str">
        <f>IF(tblHorasDez[Horas Trabalhadas Além Jornada]&gt;0,
IF(AND(VLOOKUP(TEXT(tblHorasDez[Data],"dddd"),tblDiaUtil[],3,FALSE)="Sim",IF(tblHorasDez[Evento 
(1º Período)]&lt;&gt;"",IF(VLOOKUP(tblHorasDez[Evento 
(1º Período)],tblEvento[],Tabelas!$E$1,FALSE)="Sim",FALSE,TRUE),TRUE),IF(tblHorasDez[Evento 
(2º Período)]&lt;&gt;"",IF(VLOOKUP(tblHorasDez[Evento 
(2º Período)],tblEvento[],Tabelas!$E$1,FALSE)="Sim",FALSE,TRUE),TRUE)),
tblHorasDez[Horas Trabalhadas Além Jornada],""),"")</f>
        <v/>
      </c>
      <c r="S17" s="14" t="str">
        <f>IF(tblHorasDez[Horas Trabalhadas Além Jornada]&gt;0,
IF(OR(VLOOKUP(TEXT(tblHorasDez[Data],"dddd"),tblDiaUtil[],3,FALSE)="Não",IF(tblHorasDez[Evento 
(1º Período)]&lt;&gt;"",IF(VLOOKUP(tblHorasDez[Evento 
(1º Período)],tblEvento[],Tabelas!$E$1,FALSE)="Sim",TRUE,FALSE),FALSE),IF(tblHorasDez[Evento 
(2º Período)]&lt;&gt;"",IF(VLOOKUP(tblHorasDez[Evento 
(2º Período)],tblEvento[],Tabelas!$E$1,FALSE)="Sim",TRUE,FALSE),FALSE)),
tblHorasDez[Horas Trabalhadas Além Jornada],""),"")</f>
        <v/>
      </c>
      <c r="T17" s="15" t="str">
        <f>IF(tblHorasDez[Evento 
(1º Período)]&lt;&gt;""," - " &amp;VLOOKUP(tblHorasDez[Evento 
(1º Período)],tblEvento[],Tabelas!$F$1,FALSE),"")&amp;IF(AND(tblHorasDez[Evento 
(2º Período)]&lt;&gt;"",tblHorasDez[Evento 
(2º Período)]&lt;&gt;tblHorasDez[Evento 
(1º Período)])," - " &amp; VLOOKUP(tblHorasDez[Evento 
(2º Período)],tblEvento[],Tabelas!$F$1,FALSE),"")</f>
        <v/>
      </c>
    </row>
    <row r="18" spans="2:20" x14ac:dyDescent="0.25">
      <c r="B18" s="11" t="str">
        <f t="shared" si="0"/>
        <v/>
      </c>
      <c r="C18" s="12" t="str">
        <f>TEXT(tblHorasDez[Data],"ddd")</f>
        <v/>
      </c>
      <c r="D18" s="25"/>
      <c r="E18" s="1"/>
      <c r="F18" s="1"/>
      <c r="G18" s="1"/>
      <c r="H18" s="1"/>
      <c r="I18" s="53"/>
      <c r="J18" s="4">
        <f>IF($B$6&lt;&gt;"",
IF(AND(tblHorasDez[Evento 
(1º Período)]&lt;&gt;"",IF(ISERROR(VLOOKUP(tblHorasDez[Evento 
(1º Período)],tblEvento[],Tabelas!$D$1,FALSE)),FALSE,VLOOKUP(tblHorasDez[Evento 
(1º Período)],tblEvento[],Tabelas!$D$1,FALSE)="Sim")),
        IF(JORNADA_PERIODO_1&lt;&gt;"",
IF(VLOOKUP(tblHorasDez[Dia],tblDiaUtil[[Abreviatura]:[1º Período]],3,FALSE)&gt;0,VLOOKUP(tblHorasDez[Dia],tblDiaUtil[[Abreviatura]:[1º Período]],3,FALSE),JORNADA_PERIODO_1),
IF(VLOOKUP(tblHorasDez[Dia],tblDiaUtil[[Abreviatura]:[1º Período]],3,FALSE)&gt;0,VLOOKUP(tblHorasDez[Dia],tblDiaUtil[[Abreviatura]:[1º Período]],3,FALSE),JORNADA/2)),
        IF(AND(ISNUMBER(tblHorasDez[Saída - 1 (Almoço)]),ISNUMBER(tblHorasDez[Entrada - 1])),
              IF(OR(AND(tblHorasDez[Evento 
(1º Período)]&lt;&gt;"",IF(ISERROR(VLOOKUP(tblHorasDez[Evento 
(1º Período)],tblEvento[],Tabelas!$E$1,FALSE)),FALSE,VLOOKUP(tblHorasDez[Evento 
(1º Período)],tblEvento[],Tabelas!$E$1,FALSE)="Sim")),IF(VLOOKUP(TEXT(tblHorasDez[Data],"dddd"),tblDiaUtil[],2,FALSE)="Não",TRUE,FALSE)),
                   tblHorasDez[Saída - 1 (Almoço)]-tblHorasDez[Entrada - 1],
                   IF(OR(HOUR(tblHorasDez[Saída - 1 (Almoço)]-tblHorasDez[Entrada - 1])&gt;0,ROUND(tblHorasDez[Saída - 1 (Almoço)]-tblHorasDez[Entrada - 1],6)&gt;ROUND(CARENCIA,6)),
                          tblHorasDez[Saída - 1 (Almoço)]-tblHorasDez[Entrada - 1],
                          0)),
                    0)),0)</f>
        <v>0</v>
      </c>
      <c r="K18" s="4">
        <f>IF($B$6&lt;&gt;"",
IF(AND(tblHorasDez[Evento 
(2º Período)]&lt;&gt;"",IF(ISERROR(VLOOKUP(tblHorasDez[Evento 
(2º Período)],tblEvento[],Tabelas!$D$1,FALSE)),FALSE,VLOOKUP(tblHorasDez[Evento 
(2º Período)],tblEvento[],Tabelas!$D$1,FALSE)="Sim")),
        IF(JORNADA_PERIODO_2&lt;&gt;"",
IF(VLOOKUP(tblHorasDez[Dia],tblDiaUtil[[Abreviatura]:[2º Período]],4,FALSE)&gt;0,VLOOKUP(tblHorasDez[Dia],tblDiaUtil[[Abreviatura]:[2º Período]],4,FALSE),JORNADA_PERIODO_2),
IF(VLOOKUP(tblHorasDez[Dia],tblDiaUtil[[Abreviatura]:[2º Período]],4,FALSE)&gt;0,VLOOKUP(tblHorasDez[Dia],tblDiaUtil[[Abreviatura]:[2º Período]],4,FALSE),JORNADA/2)),
        IF(AND(ISNUMBER(tblHorasDez[Saída - 2]),ISNUMBER(tblHorasDez[Entrada - 2 (Almoço)])),
              IF(OR(AND(tblHorasDez[Evento 
(2º Período)]&lt;&gt;"",IF(ISERROR(VLOOKUP(tblHorasDez[Evento 
(2º Período)],tblEvento[],Tabelas!$E$1,FALSE)),FALSE,VLOOKUP(tblHorasDez[Evento 
(2º Período)],tblEvento[],Tabelas!$E$1,FALSE)="Sim")),IF(VLOOKUP(TEXT(tblHorasDez[Data],"dddd"),tblDiaUtil[],2,FALSE)="Não",TRUE,FALSE)),
                   tblHorasDez[Saída - 2]-tblHorasDez[Entrada - 2 (Almoço)],
                   IF(OR(HOUR(tblHorasDez[Saída - 2]-tblHorasDez[Entrada - 2 (Almoço)])&gt;0,MINUTE(tblHorasDez[Saída - 2]-tblHorasDez[Entrada - 2 (Almoço)])&gt;CARENCIA),
                         tblHorasDez[Saída - 2]-tblHorasDez[Entrada - 2 (Almoço)],
                         0)),
       0)),0)</f>
        <v>0</v>
      </c>
      <c r="L18" s="4">
        <f>tblHorasDez[Horas Trabalhadas (1º Período)]+tblHorasDez[Horas Trabalhadas (2º Período)]</f>
        <v>0</v>
      </c>
      <c r="M18" s="4" t="str">
        <f>IF(tblHorasDez[Data]&lt;&gt;"",
        IF(
AND(VLOOKUP(TEXT(tblHorasDez[Data],"dddd"),tblDiaUtil[],3,FALSE)="Sim",IF(tblHorasDez[Evento 
(1º Período)]&lt;&gt;"",IF(VLOOKUP(tblHorasDez[Evento 
(1º Período)],tblEvento[],Tabelas!$E$1,FALSE)="Sim",FALSE,TRUE),TRUE),IF(tblHorasDez[Evento 
(2º Período)]&lt;&gt;"",IF(VLOOKUP(tblHorasDez[Evento 
(2º Período)],tblEvento[],Tabelas!$E$1,FALSE)="Sim",FALSE,TRUE),TRUE)),
              IF(VLOOKUP(tblHorasDez[Dia],tblDiaUtil[[Abreviatura]:[1º Período]],3,FALSE)&gt;0,VLOOKUP(tblHorasDez[Dia],tblDiaUtil[[Abreviatura]:[1º Período]],3,FALSE),JORNADA),
              ""),
         "")</f>
        <v/>
      </c>
      <c r="N18" s="14">
        <f>IF(OR(tblHorasDez[Horas Trabalhadas (1º Período)]&lt;&gt;0,tblHorasDez[Horas Trabalhadas (2º Período)]&lt;&gt;0),
        IF(ISNUMBER(tblHorasDez[Jornada Diária]),
              IF(tblHorasDez[Jornada Diária]&gt;(tblHorasDez[Horas Trabalhadas (2º Período)]+tblHorasDez[Horas Trabalhadas (1º Período)]),
                     IF(ROUND((tblHorasDez[Jornada Diária]-(tblHorasDez[Horas Trabalhadas (2º Período)]+tblHorasDez[Horas Trabalhadas (1º Período)])),6)&gt;ROUND(CARENCIA,6),
                           -tblHorasDez[Jornada Diária]+(tblHorasDez[Horas Trabalhadas (2º Período)]+tblHorasDez[Horas Trabalhadas (1º Período)]),
                           0),
                      IF(ROUND((tblHorasDez[Jornada Diária]-(tblHorasDez[Horas Trabalhadas (2º Período)]+tblHorasDez[Horas Trabalhadas (1º Período)])),6)&lt;ROUND(-CARENCIA,6),
                           -tblHorasDez[Jornada Diária]+(tblHorasDez[Horas Trabalhadas (2º Período)]+tblHorasDez[Horas Trabalhadas (1º Período)]),
                           0)),
              tblHorasDez[Horas Trabalhadas (2º Período)]+tblHorasDez[Horas Trabalhadas (1º Período)]),
         IF(AND(IF(ISERROR(VLOOKUP(tblHorasDez[Evento 
(1º Período)],tblEvento[[Evento]:[Libera o Período]],4,FALSE)),FALSE,IF(VLOOKUP(tblHorasDez[Evento 
(1º Período)],tblEvento[[Evento]:[Libera o Período]],4,FALSE)="Não",TRUE,FALSE)),IF(ISERROR(VLOOKUP(tblHorasDez[Evento 
(2º Período)],tblEvento[[Evento]:[Libera o Período]],4,FALSE)),FALSE,IF(VLOOKUP(tblHorasDez[Evento 
(2º Período)],tblEvento[[Evento]:[Libera o Período]],4,FALSE)="Não",TRUE,FALSE))),
-IF(VLOOKUP(tblHorasDez[Dia],tblDiaUtil[[Abreviatura]:[Total Jornada]],5,FALSE)&lt;&gt;"",VLOOKUP(tblHorasDez[Dia],tblDiaUtil[[Abreviatura]:[Total Jornada]],5,FALSE),JORNADA),
IF(IF(ISERROR(VLOOKUP(tblHorasDez[Evento 
(1º Período)],tblEvento[[Evento]:[Libera o Período]],4,FALSE)),FALSE,
IF(VLOOKUP(tblHorasDez[Evento 
(1º Período)],tblEvento[[Evento]:[Libera o Período]],4,FALSE)="Não",TRUE,FALSE)
),
-IF(VLOOKUP(tblHorasDez[Dia],tblDiaUtil[[Abreviatura]:[1º Período]],3,FALSE)&lt;&gt;"",VLOOKUP(tblHorasDez[Dia],tblDiaUtil[[Abreviatura]:[1º Período]],3,FALSE),JORNADA_PERIODO_1),
IF(IF(ISERROR(VLOOKUP(tblHorasDez[Evento 
(2º Período)],tblEvento[[Evento]:[Libera o Período]],4,FALSE)),FALSE,IF(VLOOKUP(tblHorasDez[Evento 
(2º Período)],tblEvento[[Evento]:[Libera o Período]],4,FALSE)="Não",TRUE,FALSE)),
-IF(VLOOKUP(tblHorasDez[Dia],tblDiaUtil[[Abreviatura]:[2º Período]],4,FALSE)&lt;&gt;"",VLOOKUP(tblHorasDez[Dia],tblDiaUtil[[Abreviatura]:[2º Período]],4,FALSE),JORNADA_PERIODO_2),0))))</f>
        <v>0</v>
      </c>
      <c r="O18" s="14">
        <f>IF(tblHorasDez[Horas Trabalhadas Além Jornada]&gt;0,
        IF(ISNUMBER(tblHorasDez[Jornada Diária]),
              IF(HOUR(tblHorasDez[Horas Trabalhadas Além Jornada])&gt;=VLOOKUP(LIMITE,tblLimiteHora[],Tabelas!$I$1,FALSE),
                    VLOOKUP(LIMITE,tblLimiteHora[],Tabelas!$J$1,FALSE),
                    tblHorasDez[Horas Trabalhadas Além Jornada]),
              tblHorasDez[Horas Trabalhadas Além Jornada]),
        tblHorasDez[Horas Trabalhadas Além Jornada])+O17</f>
        <v>0</v>
      </c>
      <c r="P18" s="14" t="str">
        <f>IF(tblHorasDez[Horas Trabalhadas Além Jornada]&lt;0,IF(OR(tblHorasDez[Evento 
(1º Período)]="",tblHorasDez[Evento 
(2º Período)]=""),tblHorasDez[Horas Trabalhadas Além Jornada],""),"")</f>
        <v/>
      </c>
      <c r="Q18" s="14" t="str">
        <f>IF(tblHorasDez[Jornada Diária]&lt;&gt;"",IF((N(tblHorasDez[Jornada Diária])-ABS(N(tblHorasDez[Horas Trabalhadas Além Jornada])))=0,1,""),"")</f>
        <v/>
      </c>
      <c r="R18" s="14" t="str">
        <f>IF(tblHorasDez[Horas Trabalhadas Além Jornada]&gt;0,
IF(AND(VLOOKUP(TEXT(tblHorasDez[Data],"dddd"),tblDiaUtil[],3,FALSE)="Sim",IF(tblHorasDez[Evento 
(1º Período)]&lt;&gt;"",IF(VLOOKUP(tblHorasDez[Evento 
(1º Período)],tblEvento[],Tabelas!$E$1,FALSE)="Sim",FALSE,TRUE),TRUE),IF(tblHorasDez[Evento 
(2º Período)]&lt;&gt;"",IF(VLOOKUP(tblHorasDez[Evento 
(2º Período)],tblEvento[],Tabelas!$E$1,FALSE)="Sim",FALSE,TRUE),TRUE)),
tblHorasDez[Horas Trabalhadas Além Jornada],""),"")</f>
        <v/>
      </c>
      <c r="S18" s="14" t="str">
        <f>IF(tblHorasDez[Horas Trabalhadas Além Jornada]&gt;0,
IF(OR(VLOOKUP(TEXT(tblHorasDez[Data],"dddd"),tblDiaUtil[],3,FALSE)="Não",IF(tblHorasDez[Evento 
(1º Período)]&lt;&gt;"",IF(VLOOKUP(tblHorasDez[Evento 
(1º Período)],tblEvento[],Tabelas!$E$1,FALSE)="Sim",TRUE,FALSE),FALSE),IF(tblHorasDez[Evento 
(2º Período)]&lt;&gt;"",IF(VLOOKUP(tblHorasDez[Evento 
(2º Período)],tblEvento[],Tabelas!$E$1,FALSE)="Sim",TRUE,FALSE),FALSE)),
tblHorasDez[Horas Trabalhadas Além Jornada],""),"")</f>
        <v/>
      </c>
      <c r="T18" s="15" t="str">
        <f>IF(tblHorasDez[Evento 
(1º Período)]&lt;&gt;""," - " &amp;VLOOKUP(tblHorasDez[Evento 
(1º Período)],tblEvento[],Tabelas!$F$1,FALSE),"")&amp;IF(AND(tblHorasDez[Evento 
(2º Período)]&lt;&gt;"",tblHorasDez[Evento 
(2º Período)]&lt;&gt;tblHorasDez[Evento 
(1º Período)])," - " &amp; VLOOKUP(tblHorasDez[Evento 
(2º Período)],tblEvento[],Tabelas!$F$1,FALSE),"")</f>
        <v/>
      </c>
    </row>
    <row r="19" spans="2:20" x14ac:dyDescent="0.25">
      <c r="B19" s="11" t="str">
        <f t="shared" si="0"/>
        <v/>
      </c>
      <c r="C19" s="12" t="str">
        <f>TEXT(tblHorasDez[Data],"ddd")</f>
        <v/>
      </c>
      <c r="D19" s="25"/>
      <c r="E19" s="1"/>
      <c r="F19" s="1"/>
      <c r="G19" s="1"/>
      <c r="H19" s="1"/>
      <c r="I19" s="53"/>
      <c r="J19" s="4">
        <f>IF($B$6&lt;&gt;"",
IF(AND(tblHorasDez[Evento 
(1º Período)]&lt;&gt;"",IF(ISERROR(VLOOKUP(tblHorasDez[Evento 
(1º Período)],tblEvento[],Tabelas!$D$1,FALSE)),FALSE,VLOOKUP(tblHorasDez[Evento 
(1º Período)],tblEvento[],Tabelas!$D$1,FALSE)="Sim")),
        IF(JORNADA_PERIODO_1&lt;&gt;"",
IF(VLOOKUP(tblHorasDez[Dia],tblDiaUtil[[Abreviatura]:[1º Período]],3,FALSE)&gt;0,VLOOKUP(tblHorasDez[Dia],tblDiaUtil[[Abreviatura]:[1º Período]],3,FALSE),JORNADA_PERIODO_1),
IF(VLOOKUP(tblHorasDez[Dia],tblDiaUtil[[Abreviatura]:[1º Período]],3,FALSE)&gt;0,VLOOKUP(tblHorasDez[Dia],tblDiaUtil[[Abreviatura]:[1º Período]],3,FALSE),JORNADA/2)),
        IF(AND(ISNUMBER(tblHorasDez[Saída - 1 (Almoço)]),ISNUMBER(tblHorasDez[Entrada - 1])),
              IF(OR(AND(tblHorasDez[Evento 
(1º Período)]&lt;&gt;"",IF(ISERROR(VLOOKUP(tblHorasDez[Evento 
(1º Período)],tblEvento[],Tabelas!$E$1,FALSE)),FALSE,VLOOKUP(tblHorasDez[Evento 
(1º Período)],tblEvento[],Tabelas!$E$1,FALSE)="Sim")),IF(VLOOKUP(TEXT(tblHorasDez[Data],"dddd"),tblDiaUtil[],2,FALSE)="Não",TRUE,FALSE)),
                   tblHorasDez[Saída - 1 (Almoço)]-tblHorasDez[Entrada - 1],
                   IF(OR(HOUR(tblHorasDez[Saída - 1 (Almoço)]-tblHorasDez[Entrada - 1])&gt;0,ROUND(tblHorasDez[Saída - 1 (Almoço)]-tblHorasDez[Entrada - 1],6)&gt;ROUND(CARENCIA,6)),
                          tblHorasDez[Saída - 1 (Almoço)]-tblHorasDez[Entrada - 1],
                          0)),
                    0)),0)</f>
        <v>0</v>
      </c>
      <c r="K19" s="4">
        <f>IF($B$6&lt;&gt;"",
IF(AND(tblHorasDez[Evento 
(2º Período)]&lt;&gt;"",IF(ISERROR(VLOOKUP(tblHorasDez[Evento 
(2º Período)],tblEvento[],Tabelas!$D$1,FALSE)),FALSE,VLOOKUP(tblHorasDez[Evento 
(2º Período)],tblEvento[],Tabelas!$D$1,FALSE)="Sim")),
        IF(JORNADA_PERIODO_2&lt;&gt;"",
IF(VLOOKUP(tblHorasDez[Dia],tblDiaUtil[[Abreviatura]:[2º Período]],4,FALSE)&gt;0,VLOOKUP(tblHorasDez[Dia],tblDiaUtil[[Abreviatura]:[2º Período]],4,FALSE),JORNADA_PERIODO_2),
IF(VLOOKUP(tblHorasDez[Dia],tblDiaUtil[[Abreviatura]:[2º Período]],4,FALSE)&gt;0,VLOOKUP(tblHorasDez[Dia],tblDiaUtil[[Abreviatura]:[2º Período]],4,FALSE),JORNADA/2)),
        IF(AND(ISNUMBER(tblHorasDez[Saída - 2]),ISNUMBER(tblHorasDez[Entrada - 2 (Almoço)])),
              IF(OR(AND(tblHorasDez[Evento 
(2º Período)]&lt;&gt;"",IF(ISERROR(VLOOKUP(tblHorasDez[Evento 
(2º Período)],tblEvento[],Tabelas!$E$1,FALSE)),FALSE,VLOOKUP(tblHorasDez[Evento 
(2º Período)],tblEvento[],Tabelas!$E$1,FALSE)="Sim")),IF(VLOOKUP(TEXT(tblHorasDez[Data],"dddd"),tblDiaUtil[],2,FALSE)="Não",TRUE,FALSE)),
                   tblHorasDez[Saída - 2]-tblHorasDez[Entrada - 2 (Almoço)],
                   IF(OR(HOUR(tblHorasDez[Saída - 2]-tblHorasDez[Entrada - 2 (Almoço)])&gt;0,MINUTE(tblHorasDez[Saída - 2]-tblHorasDez[Entrada - 2 (Almoço)])&gt;CARENCIA),
                         tblHorasDez[Saída - 2]-tblHorasDez[Entrada - 2 (Almoço)],
                         0)),
       0)),0)</f>
        <v>0</v>
      </c>
      <c r="L19" s="4">
        <f>tblHorasDez[Horas Trabalhadas (1º Período)]+tblHorasDez[Horas Trabalhadas (2º Período)]</f>
        <v>0</v>
      </c>
      <c r="M19" s="4" t="str">
        <f>IF(tblHorasDez[Data]&lt;&gt;"",
        IF(
AND(VLOOKUP(TEXT(tblHorasDez[Data],"dddd"),tblDiaUtil[],3,FALSE)="Sim",IF(tblHorasDez[Evento 
(1º Período)]&lt;&gt;"",IF(VLOOKUP(tblHorasDez[Evento 
(1º Período)],tblEvento[],Tabelas!$E$1,FALSE)="Sim",FALSE,TRUE),TRUE),IF(tblHorasDez[Evento 
(2º Período)]&lt;&gt;"",IF(VLOOKUP(tblHorasDez[Evento 
(2º Período)],tblEvento[],Tabelas!$E$1,FALSE)="Sim",FALSE,TRUE),TRUE)),
              IF(VLOOKUP(tblHorasDez[Dia],tblDiaUtil[[Abreviatura]:[1º Período]],3,FALSE)&gt;0,VLOOKUP(tblHorasDez[Dia],tblDiaUtil[[Abreviatura]:[1º Período]],3,FALSE),JORNADA),
              ""),
         "")</f>
        <v/>
      </c>
      <c r="N19" s="14">
        <f>IF(OR(tblHorasDez[Horas Trabalhadas (1º Período)]&lt;&gt;0,tblHorasDez[Horas Trabalhadas (2º Período)]&lt;&gt;0),
        IF(ISNUMBER(tblHorasDez[Jornada Diária]),
              IF(tblHorasDez[Jornada Diária]&gt;(tblHorasDez[Horas Trabalhadas (2º Período)]+tblHorasDez[Horas Trabalhadas (1º Período)]),
                     IF(ROUND((tblHorasDez[Jornada Diária]-(tblHorasDez[Horas Trabalhadas (2º Período)]+tblHorasDez[Horas Trabalhadas (1º Período)])),6)&gt;ROUND(CARENCIA,6),
                           -tblHorasDez[Jornada Diária]+(tblHorasDez[Horas Trabalhadas (2º Período)]+tblHorasDez[Horas Trabalhadas (1º Período)]),
                           0),
                      IF(ROUND((tblHorasDez[Jornada Diária]-(tblHorasDez[Horas Trabalhadas (2º Período)]+tblHorasDez[Horas Trabalhadas (1º Período)])),6)&lt;ROUND(-CARENCIA,6),
                           -tblHorasDez[Jornada Diária]+(tblHorasDez[Horas Trabalhadas (2º Período)]+tblHorasDez[Horas Trabalhadas (1º Período)]),
                           0)),
              tblHorasDez[Horas Trabalhadas (2º Período)]+tblHorasDez[Horas Trabalhadas (1º Período)]),
         IF(AND(IF(ISERROR(VLOOKUP(tblHorasDez[Evento 
(1º Período)],tblEvento[[Evento]:[Libera o Período]],4,FALSE)),FALSE,IF(VLOOKUP(tblHorasDez[Evento 
(1º Período)],tblEvento[[Evento]:[Libera o Período]],4,FALSE)="Não",TRUE,FALSE)),IF(ISERROR(VLOOKUP(tblHorasDez[Evento 
(2º Período)],tblEvento[[Evento]:[Libera o Período]],4,FALSE)),FALSE,IF(VLOOKUP(tblHorasDez[Evento 
(2º Período)],tblEvento[[Evento]:[Libera o Período]],4,FALSE)="Não",TRUE,FALSE))),
-IF(VLOOKUP(tblHorasDez[Dia],tblDiaUtil[[Abreviatura]:[Total Jornada]],5,FALSE)&lt;&gt;"",VLOOKUP(tblHorasDez[Dia],tblDiaUtil[[Abreviatura]:[Total Jornada]],5,FALSE),JORNADA),
IF(IF(ISERROR(VLOOKUP(tblHorasDez[Evento 
(1º Período)],tblEvento[[Evento]:[Libera o Período]],4,FALSE)),FALSE,
IF(VLOOKUP(tblHorasDez[Evento 
(1º Período)],tblEvento[[Evento]:[Libera o Período]],4,FALSE)="Não",TRUE,FALSE)
),
-IF(VLOOKUP(tblHorasDez[Dia],tblDiaUtil[[Abreviatura]:[1º Período]],3,FALSE)&lt;&gt;"",VLOOKUP(tblHorasDez[Dia],tblDiaUtil[[Abreviatura]:[1º Período]],3,FALSE),JORNADA_PERIODO_1),
IF(IF(ISERROR(VLOOKUP(tblHorasDez[Evento 
(2º Período)],tblEvento[[Evento]:[Libera o Período]],4,FALSE)),FALSE,IF(VLOOKUP(tblHorasDez[Evento 
(2º Período)],tblEvento[[Evento]:[Libera o Período]],4,FALSE)="Não",TRUE,FALSE)),
-IF(VLOOKUP(tblHorasDez[Dia],tblDiaUtil[[Abreviatura]:[2º Período]],4,FALSE)&lt;&gt;"",VLOOKUP(tblHorasDez[Dia],tblDiaUtil[[Abreviatura]:[2º Período]],4,FALSE),JORNADA_PERIODO_2),0))))</f>
        <v>0</v>
      </c>
      <c r="O19" s="14">
        <f>IF(tblHorasDez[Horas Trabalhadas Além Jornada]&gt;0,
        IF(ISNUMBER(tblHorasDez[Jornada Diária]),
              IF(HOUR(tblHorasDez[Horas Trabalhadas Além Jornada])&gt;=VLOOKUP(LIMITE,tblLimiteHora[],Tabelas!$I$1,FALSE),
                    VLOOKUP(LIMITE,tblLimiteHora[],Tabelas!$J$1,FALSE),
                    tblHorasDez[Horas Trabalhadas Além Jornada]),
              tblHorasDez[Horas Trabalhadas Além Jornada]),
        tblHorasDez[Horas Trabalhadas Além Jornada])+O18</f>
        <v>0</v>
      </c>
      <c r="P19" s="14" t="str">
        <f>IF(tblHorasDez[Horas Trabalhadas Além Jornada]&lt;0,IF(OR(tblHorasDez[Evento 
(1º Período)]="",tblHorasDez[Evento 
(2º Período)]=""),tblHorasDez[Horas Trabalhadas Além Jornada],""),"")</f>
        <v/>
      </c>
      <c r="Q19" s="14" t="str">
        <f>IF(tblHorasDez[Jornada Diária]&lt;&gt;"",IF((N(tblHorasDez[Jornada Diária])-ABS(N(tblHorasDez[Horas Trabalhadas Além Jornada])))=0,1,""),"")</f>
        <v/>
      </c>
      <c r="R19" s="14" t="str">
        <f>IF(tblHorasDez[Horas Trabalhadas Além Jornada]&gt;0,
IF(AND(VLOOKUP(TEXT(tblHorasDez[Data],"dddd"),tblDiaUtil[],3,FALSE)="Sim",IF(tblHorasDez[Evento 
(1º Período)]&lt;&gt;"",IF(VLOOKUP(tblHorasDez[Evento 
(1º Período)],tblEvento[],Tabelas!$E$1,FALSE)="Sim",FALSE,TRUE),TRUE),IF(tblHorasDez[Evento 
(2º Período)]&lt;&gt;"",IF(VLOOKUP(tblHorasDez[Evento 
(2º Período)],tblEvento[],Tabelas!$E$1,FALSE)="Sim",FALSE,TRUE),TRUE)),
tblHorasDez[Horas Trabalhadas Além Jornada],""),"")</f>
        <v/>
      </c>
      <c r="S19" s="14" t="str">
        <f>IF(tblHorasDez[Horas Trabalhadas Além Jornada]&gt;0,
IF(OR(VLOOKUP(TEXT(tblHorasDez[Data],"dddd"),tblDiaUtil[],3,FALSE)="Não",IF(tblHorasDez[Evento 
(1º Período)]&lt;&gt;"",IF(VLOOKUP(tblHorasDez[Evento 
(1º Período)],tblEvento[],Tabelas!$E$1,FALSE)="Sim",TRUE,FALSE),FALSE),IF(tblHorasDez[Evento 
(2º Período)]&lt;&gt;"",IF(VLOOKUP(tblHorasDez[Evento 
(2º Período)],tblEvento[],Tabelas!$E$1,FALSE)="Sim",TRUE,FALSE),FALSE)),
tblHorasDez[Horas Trabalhadas Além Jornada],""),"")</f>
        <v/>
      </c>
      <c r="T19" s="15" t="str">
        <f>IF(tblHorasDez[Evento 
(1º Período)]&lt;&gt;""," - " &amp;VLOOKUP(tblHorasDez[Evento 
(1º Período)],tblEvento[],Tabelas!$F$1,FALSE),"")&amp;IF(AND(tblHorasDez[Evento 
(2º Período)]&lt;&gt;"",tblHorasDez[Evento 
(2º Período)]&lt;&gt;tblHorasDez[Evento 
(1º Período)])," - " &amp; VLOOKUP(tblHorasDez[Evento 
(2º Período)],tblEvento[],Tabelas!$F$1,FALSE),"")</f>
        <v/>
      </c>
    </row>
    <row r="20" spans="2:20" x14ac:dyDescent="0.25">
      <c r="B20" s="11" t="str">
        <f t="shared" si="0"/>
        <v/>
      </c>
      <c r="C20" s="12" t="str">
        <f>TEXT(tblHorasDez[Data],"ddd")</f>
        <v/>
      </c>
      <c r="D20" s="25"/>
      <c r="E20" s="1"/>
      <c r="F20" s="1"/>
      <c r="G20" s="1"/>
      <c r="H20" s="1"/>
      <c r="I20" s="53"/>
      <c r="J20" s="4">
        <f>IF($B$6&lt;&gt;"",
IF(AND(tblHorasDez[Evento 
(1º Período)]&lt;&gt;"",IF(ISERROR(VLOOKUP(tblHorasDez[Evento 
(1º Período)],tblEvento[],Tabelas!$D$1,FALSE)),FALSE,VLOOKUP(tblHorasDez[Evento 
(1º Período)],tblEvento[],Tabelas!$D$1,FALSE)="Sim")),
        IF(JORNADA_PERIODO_1&lt;&gt;"",
IF(VLOOKUP(tblHorasDez[Dia],tblDiaUtil[[Abreviatura]:[1º Período]],3,FALSE)&gt;0,VLOOKUP(tblHorasDez[Dia],tblDiaUtil[[Abreviatura]:[1º Período]],3,FALSE),JORNADA_PERIODO_1),
IF(VLOOKUP(tblHorasDez[Dia],tblDiaUtil[[Abreviatura]:[1º Período]],3,FALSE)&gt;0,VLOOKUP(tblHorasDez[Dia],tblDiaUtil[[Abreviatura]:[1º Período]],3,FALSE),JORNADA/2)),
        IF(AND(ISNUMBER(tblHorasDez[Saída - 1 (Almoço)]),ISNUMBER(tblHorasDez[Entrada - 1])),
              IF(OR(AND(tblHorasDez[Evento 
(1º Período)]&lt;&gt;"",IF(ISERROR(VLOOKUP(tblHorasDez[Evento 
(1º Período)],tblEvento[],Tabelas!$E$1,FALSE)),FALSE,VLOOKUP(tblHorasDez[Evento 
(1º Período)],tblEvento[],Tabelas!$E$1,FALSE)="Sim")),IF(VLOOKUP(TEXT(tblHorasDez[Data],"dddd"),tblDiaUtil[],2,FALSE)="Não",TRUE,FALSE)),
                   tblHorasDez[Saída - 1 (Almoço)]-tblHorasDez[Entrada - 1],
                   IF(OR(HOUR(tblHorasDez[Saída - 1 (Almoço)]-tblHorasDez[Entrada - 1])&gt;0,ROUND(tblHorasDez[Saída - 1 (Almoço)]-tblHorasDez[Entrada - 1],6)&gt;ROUND(CARENCIA,6)),
                          tblHorasDez[Saída - 1 (Almoço)]-tblHorasDez[Entrada - 1],
                          0)),
                    0)),0)</f>
        <v>0</v>
      </c>
      <c r="K20" s="4">
        <f>IF($B$6&lt;&gt;"",
IF(AND(tblHorasDez[Evento 
(2º Período)]&lt;&gt;"",IF(ISERROR(VLOOKUP(tblHorasDez[Evento 
(2º Período)],tblEvento[],Tabelas!$D$1,FALSE)),FALSE,VLOOKUP(tblHorasDez[Evento 
(2º Período)],tblEvento[],Tabelas!$D$1,FALSE)="Sim")),
        IF(JORNADA_PERIODO_2&lt;&gt;"",
IF(VLOOKUP(tblHorasDez[Dia],tblDiaUtil[[Abreviatura]:[2º Período]],4,FALSE)&gt;0,VLOOKUP(tblHorasDez[Dia],tblDiaUtil[[Abreviatura]:[2º Período]],4,FALSE),JORNADA_PERIODO_2),
IF(VLOOKUP(tblHorasDez[Dia],tblDiaUtil[[Abreviatura]:[2º Período]],4,FALSE)&gt;0,VLOOKUP(tblHorasDez[Dia],tblDiaUtil[[Abreviatura]:[2º Período]],4,FALSE),JORNADA/2)),
        IF(AND(ISNUMBER(tblHorasDez[Saída - 2]),ISNUMBER(tblHorasDez[Entrada - 2 (Almoço)])),
              IF(OR(AND(tblHorasDez[Evento 
(2º Período)]&lt;&gt;"",IF(ISERROR(VLOOKUP(tblHorasDez[Evento 
(2º Período)],tblEvento[],Tabelas!$E$1,FALSE)),FALSE,VLOOKUP(tblHorasDez[Evento 
(2º Período)],tblEvento[],Tabelas!$E$1,FALSE)="Sim")),IF(VLOOKUP(TEXT(tblHorasDez[Data],"dddd"),tblDiaUtil[],2,FALSE)="Não",TRUE,FALSE)),
                   tblHorasDez[Saída - 2]-tblHorasDez[Entrada - 2 (Almoço)],
                   IF(OR(HOUR(tblHorasDez[Saída - 2]-tblHorasDez[Entrada - 2 (Almoço)])&gt;0,MINUTE(tblHorasDez[Saída - 2]-tblHorasDez[Entrada - 2 (Almoço)])&gt;CARENCIA),
                         tblHorasDez[Saída - 2]-tblHorasDez[Entrada - 2 (Almoço)],
                         0)),
       0)),0)</f>
        <v>0</v>
      </c>
      <c r="L20" s="4">
        <f>tblHorasDez[Horas Trabalhadas (1º Período)]+tblHorasDez[Horas Trabalhadas (2º Período)]</f>
        <v>0</v>
      </c>
      <c r="M20" s="4" t="str">
        <f>IF(tblHorasDez[Data]&lt;&gt;"",
        IF(
AND(VLOOKUP(TEXT(tblHorasDez[Data],"dddd"),tblDiaUtil[],3,FALSE)="Sim",IF(tblHorasDez[Evento 
(1º Período)]&lt;&gt;"",IF(VLOOKUP(tblHorasDez[Evento 
(1º Período)],tblEvento[],Tabelas!$E$1,FALSE)="Sim",FALSE,TRUE),TRUE),IF(tblHorasDez[Evento 
(2º Período)]&lt;&gt;"",IF(VLOOKUP(tblHorasDez[Evento 
(2º Período)],tblEvento[],Tabelas!$E$1,FALSE)="Sim",FALSE,TRUE),TRUE)),
              IF(VLOOKUP(tblHorasDez[Dia],tblDiaUtil[[Abreviatura]:[1º Período]],3,FALSE)&gt;0,VLOOKUP(tblHorasDez[Dia],tblDiaUtil[[Abreviatura]:[1º Período]],3,FALSE),JORNADA),
              ""),
         "")</f>
        <v/>
      </c>
      <c r="N20" s="14">
        <f>IF(OR(tblHorasDez[Horas Trabalhadas (1º Período)]&lt;&gt;0,tblHorasDez[Horas Trabalhadas (2º Período)]&lt;&gt;0),
        IF(ISNUMBER(tblHorasDez[Jornada Diária]),
              IF(tblHorasDez[Jornada Diária]&gt;(tblHorasDez[Horas Trabalhadas (2º Período)]+tblHorasDez[Horas Trabalhadas (1º Período)]),
                     IF(ROUND((tblHorasDez[Jornada Diária]-(tblHorasDez[Horas Trabalhadas (2º Período)]+tblHorasDez[Horas Trabalhadas (1º Período)])),6)&gt;ROUND(CARENCIA,6),
                           -tblHorasDez[Jornada Diária]+(tblHorasDez[Horas Trabalhadas (2º Período)]+tblHorasDez[Horas Trabalhadas (1º Período)]),
                           0),
                      IF(ROUND((tblHorasDez[Jornada Diária]-(tblHorasDez[Horas Trabalhadas (2º Período)]+tblHorasDez[Horas Trabalhadas (1º Período)])),6)&lt;ROUND(-CARENCIA,6),
                           -tblHorasDez[Jornada Diária]+(tblHorasDez[Horas Trabalhadas (2º Período)]+tblHorasDez[Horas Trabalhadas (1º Período)]),
                           0)),
              tblHorasDez[Horas Trabalhadas (2º Período)]+tblHorasDez[Horas Trabalhadas (1º Período)]),
         IF(AND(IF(ISERROR(VLOOKUP(tblHorasDez[Evento 
(1º Período)],tblEvento[[Evento]:[Libera o Período]],4,FALSE)),FALSE,IF(VLOOKUP(tblHorasDez[Evento 
(1º Período)],tblEvento[[Evento]:[Libera o Período]],4,FALSE)="Não",TRUE,FALSE)),IF(ISERROR(VLOOKUP(tblHorasDez[Evento 
(2º Período)],tblEvento[[Evento]:[Libera o Período]],4,FALSE)),FALSE,IF(VLOOKUP(tblHorasDez[Evento 
(2º Período)],tblEvento[[Evento]:[Libera o Período]],4,FALSE)="Não",TRUE,FALSE))),
-IF(VLOOKUP(tblHorasDez[Dia],tblDiaUtil[[Abreviatura]:[Total Jornada]],5,FALSE)&lt;&gt;"",VLOOKUP(tblHorasDez[Dia],tblDiaUtil[[Abreviatura]:[Total Jornada]],5,FALSE),JORNADA),
IF(IF(ISERROR(VLOOKUP(tblHorasDez[Evento 
(1º Período)],tblEvento[[Evento]:[Libera o Período]],4,FALSE)),FALSE,
IF(VLOOKUP(tblHorasDez[Evento 
(1º Período)],tblEvento[[Evento]:[Libera o Período]],4,FALSE)="Não",TRUE,FALSE)
),
-IF(VLOOKUP(tblHorasDez[Dia],tblDiaUtil[[Abreviatura]:[1º Período]],3,FALSE)&lt;&gt;"",VLOOKUP(tblHorasDez[Dia],tblDiaUtil[[Abreviatura]:[1º Período]],3,FALSE),JORNADA_PERIODO_1),
IF(IF(ISERROR(VLOOKUP(tblHorasDez[Evento 
(2º Período)],tblEvento[[Evento]:[Libera o Período]],4,FALSE)),FALSE,IF(VLOOKUP(tblHorasDez[Evento 
(2º Período)],tblEvento[[Evento]:[Libera o Período]],4,FALSE)="Não",TRUE,FALSE)),
-IF(VLOOKUP(tblHorasDez[Dia],tblDiaUtil[[Abreviatura]:[2º Período]],4,FALSE)&lt;&gt;"",VLOOKUP(tblHorasDez[Dia],tblDiaUtil[[Abreviatura]:[2º Período]],4,FALSE),JORNADA_PERIODO_2),0))))</f>
        <v>0</v>
      </c>
      <c r="O20" s="14">
        <f>IF(tblHorasDez[Horas Trabalhadas Além Jornada]&gt;0,
        IF(ISNUMBER(tblHorasDez[Jornada Diária]),
              IF(HOUR(tblHorasDez[Horas Trabalhadas Além Jornada])&gt;=VLOOKUP(LIMITE,tblLimiteHora[],Tabelas!$I$1,FALSE),
                    VLOOKUP(LIMITE,tblLimiteHora[],Tabelas!$J$1,FALSE),
                    tblHorasDez[Horas Trabalhadas Além Jornada]),
              tblHorasDez[Horas Trabalhadas Além Jornada]),
        tblHorasDez[Horas Trabalhadas Além Jornada])+O19</f>
        <v>0</v>
      </c>
      <c r="P20" s="14" t="str">
        <f>IF(tblHorasDez[Horas Trabalhadas Além Jornada]&lt;0,IF(OR(tblHorasDez[Evento 
(1º Período)]="",tblHorasDez[Evento 
(2º Período)]=""),tblHorasDez[Horas Trabalhadas Além Jornada],""),"")</f>
        <v/>
      </c>
      <c r="Q20" s="14" t="str">
        <f>IF(tblHorasDez[Jornada Diária]&lt;&gt;"",IF((N(tblHorasDez[Jornada Diária])-ABS(N(tblHorasDez[Horas Trabalhadas Além Jornada])))=0,1,""),"")</f>
        <v/>
      </c>
      <c r="R20" s="14" t="str">
        <f>IF(tblHorasDez[Horas Trabalhadas Além Jornada]&gt;0,
IF(AND(VLOOKUP(TEXT(tblHorasDez[Data],"dddd"),tblDiaUtil[],3,FALSE)="Sim",IF(tblHorasDez[Evento 
(1º Período)]&lt;&gt;"",IF(VLOOKUP(tblHorasDez[Evento 
(1º Período)],tblEvento[],Tabelas!$E$1,FALSE)="Sim",FALSE,TRUE),TRUE),IF(tblHorasDez[Evento 
(2º Período)]&lt;&gt;"",IF(VLOOKUP(tblHorasDez[Evento 
(2º Período)],tblEvento[],Tabelas!$E$1,FALSE)="Sim",FALSE,TRUE),TRUE)),
tblHorasDez[Horas Trabalhadas Além Jornada],""),"")</f>
        <v/>
      </c>
      <c r="S20" s="14" t="str">
        <f>IF(tblHorasDez[Horas Trabalhadas Além Jornada]&gt;0,
IF(OR(VLOOKUP(TEXT(tblHorasDez[Data],"dddd"),tblDiaUtil[],3,FALSE)="Não",IF(tblHorasDez[Evento 
(1º Período)]&lt;&gt;"",IF(VLOOKUP(tblHorasDez[Evento 
(1º Período)],tblEvento[],Tabelas!$E$1,FALSE)="Sim",TRUE,FALSE),FALSE),IF(tblHorasDez[Evento 
(2º Período)]&lt;&gt;"",IF(VLOOKUP(tblHorasDez[Evento 
(2º Período)],tblEvento[],Tabelas!$E$1,FALSE)="Sim",TRUE,FALSE),FALSE)),
tblHorasDez[Horas Trabalhadas Além Jornada],""),"")</f>
        <v/>
      </c>
      <c r="T20" s="15" t="str">
        <f>IF(tblHorasDez[Evento 
(1º Período)]&lt;&gt;""," - " &amp;VLOOKUP(tblHorasDez[Evento 
(1º Período)],tblEvento[],Tabelas!$F$1,FALSE),"")&amp;IF(AND(tblHorasDez[Evento 
(2º Período)]&lt;&gt;"",tblHorasDez[Evento 
(2º Período)]&lt;&gt;tblHorasDez[Evento 
(1º Período)])," - " &amp; VLOOKUP(tblHorasDez[Evento 
(2º Período)],tblEvento[],Tabelas!$F$1,FALSE),"")</f>
        <v/>
      </c>
    </row>
    <row r="21" spans="2:20" x14ac:dyDescent="0.25">
      <c r="B21" s="11" t="str">
        <f t="shared" si="0"/>
        <v/>
      </c>
      <c r="C21" s="12" t="str">
        <f>TEXT(tblHorasDez[Data],"ddd")</f>
        <v/>
      </c>
      <c r="D21" s="25"/>
      <c r="E21" s="1"/>
      <c r="F21" s="1"/>
      <c r="G21" s="1"/>
      <c r="H21" s="1"/>
      <c r="I21" s="53"/>
      <c r="J21" s="4">
        <f>IF($B$6&lt;&gt;"",
IF(AND(tblHorasDez[Evento 
(1º Período)]&lt;&gt;"",IF(ISERROR(VLOOKUP(tblHorasDez[Evento 
(1º Período)],tblEvento[],Tabelas!$D$1,FALSE)),FALSE,VLOOKUP(tblHorasDez[Evento 
(1º Período)],tblEvento[],Tabelas!$D$1,FALSE)="Sim")),
        IF(JORNADA_PERIODO_1&lt;&gt;"",
IF(VLOOKUP(tblHorasDez[Dia],tblDiaUtil[[Abreviatura]:[1º Período]],3,FALSE)&gt;0,VLOOKUP(tblHorasDez[Dia],tblDiaUtil[[Abreviatura]:[1º Período]],3,FALSE),JORNADA_PERIODO_1),
IF(VLOOKUP(tblHorasDez[Dia],tblDiaUtil[[Abreviatura]:[1º Período]],3,FALSE)&gt;0,VLOOKUP(tblHorasDez[Dia],tblDiaUtil[[Abreviatura]:[1º Período]],3,FALSE),JORNADA/2)),
        IF(AND(ISNUMBER(tblHorasDez[Saída - 1 (Almoço)]),ISNUMBER(tblHorasDez[Entrada - 1])),
              IF(OR(AND(tblHorasDez[Evento 
(1º Período)]&lt;&gt;"",IF(ISERROR(VLOOKUP(tblHorasDez[Evento 
(1º Período)],tblEvento[],Tabelas!$E$1,FALSE)),FALSE,VLOOKUP(tblHorasDez[Evento 
(1º Período)],tblEvento[],Tabelas!$E$1,FALSE)="Sim")),IF(VLOOKUP(TEXT(tblHorasDez[Data],"dddd"),tblDiaUtil[],2,FALSE)="Não",TRUE,FALSE)),
                   tblHorasDez[Saída - 1 (Almoço)]-tblHorasDez[Entrada - 1],
                   IF(OR(HOUR(tblHorasDez[Saída - 1 (Almoço)]-tblHorasDez[Entrada - 1])&gt;0,ROUND(tblHorasDez[Saída - 1 (Almoço)]-tblHorasDez[Entrada - 1],6)&gt;ROUND(CARENCIA,6)),
                          tblHorasDez[Saída - 1 (Almoço)]-tblHorasDez[Entrada - 1],
                          0)),
                    0)),0)</f>
        <v>0</v>
      </c>
      <c r="K21" s="4">
        <f>IF($B$6&lt;&gt;"",
IF(AND(tblHorasDez[Evento 
(2º Período)]&lt;&gt;"",IF(ISERROR(VLOOKUP(tblHorasDez[Evento 
(2º Período)],tblEvento[],Tabelas!$D$1,FALSE)),FALSE,VLOOKUP(tblHorasDez[Evento 
(2º Período)],tblEvento[],Tabelas!$D$1,FALSE)="Sim")),
        IF(JORNADA_PERIODO_2&lt;&gt;"",
IF(VLOOKUP(tblHorasDez[Dia],tblDiaUtil[[Abreviatura]:[2º Período]],4,FALSE)&gt;0,VLOOKUP(tblHorasDez[Dia],tblDiaUtil[[Abreviatura]:[2º Período]],4,FALSE),JORNADA_PERIODO_2),
IF(VLOOKUP(tblHorasDez[Dia],tblDiaUtil[[Abreviatura]:[2º Período]],4,FALSE)&gt;0,VLOOKUP(tblHorasDez[Dia],tblDiaUtil[[Abreviatura]:[2º Período]],4,FALSE),JORNADA/2)),
        IF(AND(ISNUMBER(tblHorasDez[Saída - 2]),ISNUMBER(tblHorasDez[Entrada - 2 (Almoço)])),
              IF(OR(AND(tblHorasDez[Evento 
(2º Período)]&lt;&gt;"",IF(ISERROR(VLOOKUP(tblHorasDez[Evento 
(2º Período)],tblEvento[],Tabelas!$E$1,FALSE)),FALSE,VLOOKUP(tblHorasDez[Evento 
(2º Período)],tblEvento[],Tabelas!$E$1,FALSE)="Sim")),IF(VLOOKUP(TEXT(tblHorasDez[Data],"dddd"),tblDiaUtil[],2,FALSE)="Não",TRUE,FALSE)),
                   tblHorasDez[Saída - 2]-tblHorasDez[Entrada - 2 (Almoço)],
                   IF(OR(HOUR(tblHorasDez[Saída - 2]-tblHorasDez[Entrada - 2 (Almoço)])&gt;0,MINUTE(tblHorasDez[Saída - 2]-tblHorasDez[Entrada - 2 (Almoço)])&gt;CARENCIA),
                         tblHorasDez[Saída - 2]-tblHorasDez[Entrada - 2 (Almoço)],
                         0)),
       0)),0)</f>
        <v>0</v>
      </c>
      <c r="L21" s="4">
        <f>tblHorasDez[Horas Trabalhadas (1º Período)]+tblHorasDez[Horas Trabalhadas (2º Período)]</f>
        <v>0</v>
      </c>
      <c r="M21" s="4" t="str">
        <f>IF(tblHorasDez[Data]&lt;&gt;"",
        IF(
AND(VLOOKUP(TEXT(tblHorasDez[Data],"dddd"),tblDiaUtil[],3,FALSE)="Sim",IF(tblHorasDez[Evento 
(1º Período)]&lt;&gt;"",IF(VLOOKUP(tblHorasDez[Evento 
(1º Período)],tblEvento[],Tabelas!$E$1,FALSE)="Sim",FALSE,TRUE),TRUE),IF(tblHorasDez[Evento 
(2º Período)]&lt;&gt;"",IF(VLOOKUP(tblHorasDez[Evento 
(2º Período)],tblEvento[],Tabelas!$E$1,FALSE)="Sim",FALSE,TRUE),TRUE)),
              IF(VLOOKUP(tblHorasDez[Dia],tblDiaUtil[[Abreviatura]:[1º Período]],3,FALSE)&gt;0,VLOOKUP(tblHorasDez[Dia],tblDiaUtil[[Abreviatura]:[1º Período]],3,FALSE),JORNADA),
              ""),
         "")</f>
        <v/>
      </c>
      <c r="N21" s="14">
        <f>IF(OR(tblHorasDez[Horas Trabalhadas (1º Período)]&lt;&gt;0,tblHorasDez[Horas Trabalhadas (2º Período)]&lt;&gt;0),
        IF(ISNUMBER(tblHorasDez[Jornada Diária]),
              IF(tblHorasDez[Jornada Diária]&gt;(tblHorasDez[Horas Trabalhadas (2º Período)]+tblHorasDez[Horas Trabalhadas (1º Período)]),
                     IF(ROUND((tblHorasDez[Jornada Diária]-(tblHorasDez[Horas Trabalhadas (2º Período)]+tblHorasDez[Horas Trabalhadas (1º Período)])),6)&gt;ROUND(CARENCIA,6),
                           -tblHorasDez[Jornada Diária]+(tblHorasDez[Horas Trabalhadas (2º Período)]+tblHorasDez[Horas Trabalhadas (1º Período)]),
                           0),
                      IF(ROUND((tblHorasDez[Jornada Diária]-(tblHorasDez[Horas Trabalhadas (2º Período)]+tblHorasDez[Horas Trabalhadas (1º Período)])),6)&lt;ROUND(-CARENCIA,6),
                           -tblHorasDez[Jornada Diária]+(tblHorasDez[Horas Trabalhadas (2º Período)]+tblHorasDez[Horas Trabalhadas (1º Período)]),
                           0)),
              tblHorasDez[Horas Trabalhadas (2º Período)]+tblHorasDez[Horas Trabalhadas (1º Período)]),
         IF(AND(IF(ISERROR(VLOOKUP(tblHorasDez[Evento 
(1º Período)],tblEvento[[Evento]:[Libera o Período]],4,FALSE)),FALSE,IF(VLOOKUP(tblHorasDez[Evento 
(1º Período)],tblEvento[[Evento]:[Libera o Período]],4,FALSE)="Não",TRUE,FALSE)),IF(ISERROR(VLOOKUP(tblHorasDez[Evento 
(2º Período)],tblEvento[[Evento]:[Libera o Período]],4,FALSE)),FALSE,IF(VLOOKUP(tblHorasDez[Evento 
(2º Período)],tblEvento[[Evento]:[Libera o Período]],4,FALSE)="Não",TRUE,FALSE))),
-IF(VLOOKUP(tblHorasDez[Dia],tblDiaUtil[[Abreviatura]:[Total Jornada]],5,FALSE)&lt;&gt;"",VLOOKUP(tblHorasDez[Dia],tblDiaUtil[[Abreviatura]:[Total Jornada]],5,FALSE),JORNADA),
IF(IF(ISERROR(VLOOKUP(tblHorasDez[Evento 
(1º Período)],tblEvento[[Evento]:[Libera o Período]],4,FALSE)),FALSE,
IF(VLOOKUP(tblHorasDez[Evento 
(1º Período)],tblEvento[[Evento]:[Libera o Período]],4,FALSE)="Não",TRUE,FALSE)
),
-IF(VLOOKUP(tblHorasDez[Dia],tblDiaUtil[[Abreviatura]:[1º Período]],3,FALSE)&lt;&gt;"",VLOOKUP(tblHorasDez[Dia],tblDiaUtil[[Abreviatura]:[1º Período]],3,FALSE),JORNADA_PERIODO_1),
IF(IF(ISERROR(VLOOKUP(tblHorasDez[Evento 
(2º Período)],tblEvento[[Evento]:[Libera o Período]],4,FALSE)),FALSE,IF(VLOOKUP(tblHorasDez[Evento 
(2º Período)],tblEvento[[Evento]:[Libera o Período]],4,FALSE)="Não",TRUE,FALSE)),
-IF(VLOOKUP(tblHorasDez[Dia],tblDiaUtil[[Abreviatura]:[2º Período]],4,FALSE)&lt;&gt;"",VLOOKUP(tblHorasDez[Dia],tblDiaUtil[[Abreviatura]:[2º Período]],4,FALSE),JORNADA_PERIODO_2),0))))</f>
        <v>0</v>
      </c>
      <c r="O21" s="14">
        <f>IF(tblHorasDez[Horas Trabalhadas Além Jornada]&gt;0,
        IF(ISNUMBER(tblHorasDez[Jornada Diária]),
              IF(HOUR(tblHorasDez[Horas Trabalhadas Além Jornada])&gt;=VLOOKUP(LIMITE,tblLimiteHora[],Tabelas!$I$1,FALSE),
                    VLOOKUP(LIMITE,tblLimiteHora[],Tabelas!$J$1,FALSE),
                    tblHorasDez[Horas Trabalhadas Além Jornada]),
              tblHorasDez[Horas Trabalhadas Além Jornada]),
        tblHorasDez[Horas Trabalhadas Além Jornada])+O20</f>
        <v>0</v>
      </c>
      <c r="P21" s="14" t="str">
        <f>IF(tblHorasDez[Horas Trabalhadas Além Jornada]&lt;0,IF(OR(tblHorasDez[Evento 
(1º Período)]="",tblHorasDez[Evento 
(2º Período)]=""),tblHorasDez[Horas Trabalhadas Além Jornada],""),"")</f>
        <v/>
      </c>
      <c r="Q21" s="14" t="str">
        <f>IF(tblHorasDez[Jornada Diária]&lt;&gt;"",IF((N(tblHorasDez[Jornada Diária])-ABS(N(tblHorasDez[Horas Trabalhadas Além Jornada])))=0,1,""),"")</f>
        <v/>
      </c>
      <c r="R21" s="14" t="str">
        <f>IF(tblHorasDez[Horas Trabalhadas Além Jornada]&gt;0,
IF(AND(VLOOKUP(TEXT(tblHorasDez[Data],"dddd"),tblDiaUtil[],3,FALSE)="Sim",IF(tblHorasDez[Evento 
(1º Período)]&lt;&gt;"",IF(VLOOKUP(tblHorasDez[Evento 
(1º Período)],tblEvento[],Tabelas!$E$1,FALSE)="Sim",FALSE,TRUE),TRUE),IF(tblHorasDez[Evento 
(2º Período)]&lt;&gt;"",IF(VLOOKUP(tblHorasDez[Evento 
(2º Período)],tblEvento[],Tabelas!$E$1,FALSE)="Sim",FALSE,TRUE),TRUE)),
tblHorasDez[Horas Trabalhadas Além Jornada],""),"")</f>
        <v/>
      </c>
      <c r="S21" s="14" t="str">
        <f>IF(tblHorasDez[Horas Trabalhadas Além Jornada]&gt;0,
IF(OR(VLOOKUP(TEXT(tblHorasDez[Data],"dddd"),tblDiaUtil[],3,FALSE)="Não",IF(tblHorasDez[Evento 
(1º Período)]&lt;&gt;"",IF(VLOOKUP(tblHorasDez[Evento 
(1º Período)],tblEvento[],Tabelas!$E$1,FALSE)="Sim",TRUE,FALSE),FALSE),IF(tblHorasDez[Evento 
(2º Período)]&lt;&gt;"",IF(VLOOKUP(tblHorasDez[Evento 
(2º Período)],tblEvento[],Tabelas!$E$1,FALSE)="Sim",TRUE,FALSE),FALSE)),
tblHorasDez[Horas Trabalhadas Além Jornada],""),"")</f>
        <v/>
      </c>
      <c r="T21" s="15" t="str">
        <f>IF(tblHorasDez[Evento 
(1º Período)]&lt;&gt;""," - " &amp;VLOOKUP(tblHorasDez[Evento 
(1º Período)],tblEvento[],Tabelas!$F$1,FALSE),"")&amp;IF(AND(tblHorasDez[Evento 
(2º Período)]&lt;&gt;"",tblHorasDez[Evento 
(2º Período)]&lt;&gt;tblHorasDez[Evento 
(1º Período)])," - " &amp; VLOOKUP(tblHorasDez[Evento 
(2º Período)],tblEvento[],Tabelas!$F$1,FALSE),"")</f>
        <v/>
      </c>
    </row>
    <row r="22" spans="2:20" x14ac:dyDescent="0.25">
      <c r="B22" s="11" t="str">
        <f t="shared" si="0"/>
        <v/>
      </c>
      <c r="C22" s="12" t="str">
        <f>TEXT(tblHorasDez[Data],"ddd")</f>
        <v/>
      </c>
      <c r="D22" s="25"/>
      <c r="E22" s="1"/>
      <c r="F22" s="1"/>
      <c r="G22" s="1"/>
      <c r="H22" s="1"/>
      <c r="I22" s="53"/>
      <c r="J22" s="4">
        <f>IF($B$6&lt;&gt;"",
IF(AND(tblHorasDez[Evento 
(1º Período)]&lt;&gt;"",IF(ISERROR(VLOOKUP(tblHorasDez[Evento 
(1º Período)],tblEvento[],Tabelas!$D$1,FALSE)),FALSE,VLOOKUP(tblHorasDez[Evento 
(1º Período)],tblEvento[],Tabelas!$D$1,FALSE)="Sim")),
        IF(JORNADA_PERIODO_1&lt;&gt;"",
IF(VLOOKUP(tblHorasDez[Dia],tblDiaUtil[[Abreviatura]:[1º Período]],3,FALSE)&gt;0,VLOOKUP(tblHorasDez[Dia],tblDiaUtil[[Abreviatura]:[1º Período]],3,FALSE),JORNADA_PERIODO_1),
IF(VLOOKUP(tblHorasDez[Dia],tblDiaUtil[[Abreviatura]:[1º Período]],3,FALSE)&gt;0,VLOOKUP(tblHorasDez[Dia],tblDiaUtil[[Abreviatura]:[1º Período]],3,FALSE),JORNADA/2)),
        IF(AND(ISNUMBER(tblHorasDez[Saída - 1 (Almoço)]),ISNUMBER(tblHorasDez[Entrada - 1])),
              IF(OR(AND(tblHorasDez[Evento 
(1º Período)]&lt;&gt;"",IF(ISERROR(VLOOKUP(tblHorasDez[Evento 
(1º Período)],tblEvento[],Tabelas!$E$1,FALSE)),FALSE,VLOOKUP(tblHorasDez[Evento 
(1º Período)],tblEvento[],Tabelas!$E$1,FALSE)="Sim")),IF(VLOOKUP(TEXT(tblHorasDez[Data],"dddd"),tblDiaUtil[],2,FALSE)="Não",TRUE,FALSE)),
                   tblHorasDez[Saída - 1 (Almoço)]-tblHorasDez[Entrada - 1],
                   IF(OR(HOUR(tblHorasDez[Saída - 1 (Almoço)]-tblHorasDez[Entrada - 1])&gt;0,ROUND(tblHorasDez[Saída - 1 (Almoço)]-tblHorasDez[Entrada - 1],6)&gt;ROUND(CARENCIA,6)),
                          tblHorasDez[Saída - 1 (Almoço)]-tblHorasDez[Entrada - 1],
                          0)),
                    0)),0)</f>
        <v>0</v>
      </c>
      <c r="K22" s="4">
        <f>IF($B$6&lt;&gt;"",
IF(AND(tblHorasDez[Evento 
(2º Período)]&lt;&gt;"",IF(ISERROR(VLOOKUP(tblHorasDez[Evento 
(2º Período)],tblEvento[],Tabelas!$D$1,FALSE)),FALSE,VLOOKUP(tblHorasDez[Evento 
(2º Período)],tblEvento[],Tabelas!$D$1,FALSE)="Sim")),
        IF(JORNADA_PERIODO_2&lt;&gt;"",
IF(VLOOKUP(tblHorasDez[Dia],tblDiaUtil[[Abreviatura]:[2º Período]],4,FALSE)&gt;0,VLOOKUP(tblHorasDez[Dia],tblDiaUtil[[Abreviatura]:[2º Período]],4,FALSE),JORNADA_PERIODO_2),
IF(VLOOKUP(tblHorasDez[Dia],tblDiaUtil[[Abreviatura]:[2º Período]],4,FALSE)&gt;0,VLOOKUP(tblHorasDez[Dia],tblDiaUtil[[Abreviatura]:[2º Período]],4,FALSE),JORNADA/2)),
        IF(AND(ISNUMBER(tblHorasDez[Saída - 2]),ISNUMBER(tblHorasDez[Entrada - 2 (Almoço)])),
              IF(OR(AND(tblHorasDez[Evento 
(2º Período)]&lt;&gt;"",IF(ISERROR(VLOOKUP(tblHorasDez[Evento 
(2º Período)],tblEvento[],Tabelas!$E$1,FALSE)),FALSE,VLOOKUP(tblHorasDez[Evento 
(2º Período)],tblEvento[],Tabelas!$E$1,FALSE)="Sim")),IF(VLOOKUP(TEXT(tblHorasDez[Data],"dddd"),tblDiaUtil[],2,FALSE)="Não",TRUE,FALSE)),
                   tblHorasDez[Saída - 2]-tblHorasDez[Entrada - 2 (Almoço)],
                   IF(OR(HOUR(tblHorasDez[Saída - 2]-tblHorasDez[Entrada - 2 (Almoço)])&gt;0,MINUTE(tblHorasDez[Saída - 2]-tblHorasDez[Entrada - 2 (Almoço)])&gt;CARENCIA),
                         tblHorasDez[Saída - 2]-tblHorasDez[Entrada - 2 (Almoço)],
                         0)),
       0)),0)</f>
        <v>0</v>
      </c>
      <c r="L22" s="4">
        <f>tblHorasDez[Horas Trabalhadas (1º Período)]+tblHorasDez[Horas Trabalhadas (2º Período)]</f>
        <v>0</v>
      </c>
      <c r="M22" s="4" t="str">
        <f>IF(tblHorasDez[Data]&lt;&gt;"",
        IF(
AND(VLOOKUP(TEXT(tblHorasDez[Data],"dddd"),tblDiaUtil[],3,FALSE)="Sim",IF(tblHorasDez[Evento 
(1º Período)]&lt;&gt;"",IF(VLOOKUP(tblHorasDez[Evento 
(1º Período)],tblEvento[],Tabelas!$E$1,FALSE)="Sim",FALSE,TRUE),TRUE),IF(tblHorasDez[Evento 
(2º Período)]&lt;&gt;"",IF(VLOOKUP(tblHorasDez[Evento 
(2º Período)],tblEvento[],Tabelas!$E$1,FALSE)="Sim",FALSE,TRUE),TRUE)),
              IF(VLOOKUP(tblHorasDez[Dia],tblDiaUtil[[Abreviatura]:[1º Período]],3,FALSE)&gt;0,VLOOKUP(tblHorasDez[Dia],tblDiaUtil[[Abreviatura]:[1º Período]],3,FALSE),JORNADA),
              ""),
         "")</f>
        <v/>
      </c>
      <c r="N22" s="14">
        <f>IF(OR(tblHorasDez[Horas Trabalhadas (1º Período)]&lt;&gt;0,tblHorasDez[Horas Trabalhadas (2º Período)]&lt;&gt;0),
        IF(ISNUMBER(tblHorasDez[Jornada Diária]),
              IF(tblHorasDez[Jornada Diária]&gt;(tblHorasDez[Horas Trabalhadas (2º Período)]+tblHorasDez[Horas Trabalhadas (1º Período)]),
                     IF(ROUND((tblHorasDez[Jornada Diária]-(tblHorasDez[Horas Trabalhadas (2º Período)]+tblHorasDez[Horas Trabalhadas (1º Período)])),6)&gt;ROUND(CARENCIA,6),
                           -tblHorasDez[Jornada Diária]+(tblHorasDez[Horas Trabalhadas (2º Período)]+tblHorasDez[Horas Trabalhadas (1º Período)]),
                           0),
                      IF(ROUND((tblHorasDez[Jornada Diária]-(tblHorasDez[Horas Trabalhadas (2º Período)]+tblHorasDez[Horas Trabalhadas (1º Período)])),6)&lt;ROUND(-CARENCIA,6),
                           -tblHorasDez[Jornada Diária]+(tblHorasDez[Horas Trabalhadas (2º Período)]+tblHorasDez[Horas Trabalhadas (1º Período)]),
                           0)),
              tblHorasDez[Horas Trabalhadas (2º Período)]+tblHorasDez[Horas Trabalhadas (1º Período)]),
         IF(AND(IF(ISERROR(VLOOKUP(tblHorasDez[Evento 
(1º Período)],tblEvento[[Evento]:[Libera o Período]],4,FALSE)),FALSE,IF(VLOOKUP(tblHorasDez[Evento 
(1º Período)],tblEvento[[Evento]:[Libera o Período]],4,FALSE)="Não",TRUE,FALSE)),IF(ISERROR(VLOOKUP(tblHorasDez[Evento 
(2º Período)],tblEvento[[Evento]:[Libera o Período]],4,FALSE)),FALSE,IF(VLOOKUP(tblHorasDez[Evento 
(2º Período)],tblEvento[[Evento]:[Libera o Período]],4,FALSE)="Não",TRUE,FALSE))),
-IF(VLOOKUP(tblHorasDez[Dia],tblDiaUtil[[Abreviatura]:[Total Jornada]],5,FALSE)&lt;&gt;"",VLOOKUP(tblHorasDez[Dia],tblDiaUtil[[Abreviatura]:[Total Jornada]],5,FALSE),JORNADA),
IF(IF(ISERROR(VLOOKUP(tblHorasDez[Evento 
(1º Período)],tblEvento[[Evento]:[Libera o Período]],4,FALSE)),FALSE,
IF(VLOOKUP(tblHorasDez[Evento 
(1º Período)],tblEvento[[Evento]:[Libera o Período]],4,FALSE)="Não",TRUE,FALSE)
),
-IF(VLOOKUP(tblHorasDez[Dia],tblDiaUtil[[Abreviatura]:[1º Período]],3,FALSE)&lt;&gt;"",VLOOKUP(tblHorasDez[Dia],tblDiaUtil[[Abreviatura]:[1º Período]],3,FALSE),JORNADA_PERIODO_1),
IF(IF(ISERROR(VLOOKUP(tblHorasDez[Evento 
(2º Período)],tblEvento[[Evento]:[Libera o Período]],4,FALSE)),FALSE,IF(VLOOKUP(tblHorasDez[Evento 
(2º Período)],tblEvento[[Evento]:[Libera o Período]],4,FALSE)="Não",TRUE,FALSE)),
-IF(VLOOKUP(tblHorasDez[Dia],tblDiaUtil[[Abreviatura]:[2º Período]],4,FALSE)&lt;&gt;"",VLOOKUP(tblHorasDez[Dia],tblDiaUtil[[Abreviatura]:[2º Período]],4,FALSE),JORNADA_PERIODO_2),0))))</f>
        <v>0</v>
      </c>
      <c r="O22" s="14">
        <f>IF(tblHorasDez[Horas Trabalhadas Além Jornada]&gt;0,
        IF(ISNUMBER(tblHorasDez[Jornada Diária]),
              IF(HOUR(tblHorasDez[Horas Trabalhadas Além Jornada])&gt;=VLOOKUP(LIMITE,tblLimiteHora[],Tabelas!$I$1,FALSE),
                    VLOOKUP(LIMITE,tblLimiteHora[],Tabelas!$J$1,FALSE),
                    tblHorasDez[Horas Trabalhadas Além Jornada]),
              tblHorasDez[Horas Trabalhadas Além Jornada]),
        tblHorasDez[Horas Trabalhadas Além Jornada])+O21</f>
        <v>0</v>
      </c>
      <c r="P22" s="14" t="str">
        <f>IF(tblHorasDez[Horas Trabalhadas Além Jornada]&lt;0,IF(OR(tblHorasDez[Evento 
(1º Período)]="",tblHorasDez[Evento 
(2º Período)]=""),tblHorasDez[Horas Trabalhadas Além Jornada],""),"")</f>
        <v/>
      </c>
      <c r="Q22" s="14" t="str">
        <f>IF(tblHorasDez[Jornada Diária]&lt;&gt;"",IF((N(tblHorasDez[Jornada Diária])-ABS(N(tblHorasDez[Horas Trabalhadas Além Jornada])))=0,1,""),"")</f>
        <v/>
      </c>
      <c r="R22" s="14" t="str">
        <f>IF(tblHorasDez[Horas Trabalhadas Além Jornada]&gt;0,
IF(AND(VLOOKUP(TEXT(tblHorasDez[Data],"dddd"),tblDiaUtil[],3,FALSE)="Sim",IF(tblHorasDez[Evento 
(1º Período)]&lt;&gt;"",IF(VLOOKUP(tblHorasDez[Evento 
(1º Período)],tblEvento[],Tabelas!$E$1,FALSE)="Sim",FALSE,TRUE),TRUE),IF(tblHorasDez[Evento 
(2º Período)]&lt;&gt;"",IF(VLOOKUP(tblHorasDez[Evento 
(2º Período)],tblEvento[],Tabelas!$E$1,FALSE)="Sim",FALSE,TRUE),TRUE)),
tblHorasDez[Horas Trabalhadas Além Jornada],""),"")</f>
        <v/>
      </c>
      <c r="S22" s="14" t="str">
        <f>IF(tblHorasDez[Horas Trabalhadas Além Jornada]&gt;0,
IF(OR(VLOOKUP(TEXT(tblHorasDez[Data],"dddd"),tblDiaUtil[],3,FALSE)="Não",IF(tblHorasDez[Evento 
(1º Período)]&lt;&gt;"",IF(VLOOKUP(tblHorasDez[Evento 
(1º Período)],tblEvento[],Tabelas!$E$1,FALSE)="Sim",TRUE,FALSE),FALSE),IF(tblHorasDez[Evento 
(2º Período)]&lt;&gt;"",IF(VLOOKUP(tblHorasDez[Evento 
(2º Período)],tblEvento[],Tabelas!$E$1,FALSE)="Sim",TRUE,FALSE),FALSE)),
tblHorasDez[Horas Trabalhadas Além Jornada],""),"")</f>
        <v/>
      </c>
      <c r="T22" s="15" t="str">
        <f>IF(tblHorasDez[Evento 
(1º Período)]&lt;&gt;""," - " &amp;VLOOKUP(tblHorasDez[Evento 
(1º Período)],tblEvento[],Tabelas!$F$1,FALSE),"")&amp;IF(AND(tblHorasDez[Evento 
(2º Período)]&lt;&gt;"",tblHorasDez[Evento 
(2º Período)]&lt;&gt;tblHorasDez[Evento 
(1º Período)])," - " &amp; VLOOKUP(tblHorasDez[Evento 
(2º Período)],tblEvento[],Tabelas!$F$1,FALSE),"")</f>
        <v/>
      </c>
    </row>
    <row r="23" spans="2:20" x14ac:dyDescent="0.25">
      <c r="B23" s="11" t="str">
        <f t="shared" si="0"/>
        <v/>
      </c>
      <c r="C23" s="12" t="str">
        <f>TEXT(tblHorasDez[Data],"ddd")</f>
        <v/>
      </c>
      <c r="D23" s="25"/>
      <c r="E23" s="1"/>
      <c r="F23" s="1"/>
      <c r="G23" s="1"/>
      <c r="H23" s="1"/>
      <c r="I23" s="53"/>
      <c r="J23" s="4">
        <f>IF($B$6&lt;&gt;"",
IF(AND(tblHorasDez[Evento 
(1º Período)]&lt;&gt;"",IF(ISERROR(VLOOKUP(tblHorasDez[Evento 
(1º Período)],tblEvento[],Tabelas!$D$1,FALSE)),FALSE,VLOOKUP(tblHorasDez[Evento 
(1º Período)],tblEvento[],Tabelas!$D$1,FALSE)="Sim")),
        IF(JORNADA_PERIODO_1&lt;&gt;"",
IF(VLOOKUP(tblHorasDez[Dia],tblDiaUtil[[Abreviatura]:[1º Período]],3,FALSE)&gt;0,VLOOKUP(tblHorasDez[Dia],tblDiaUtil[[Abreviatura]:[1º Período]],3,FALSE),JORNADA_PERIODO_1),
IF(VLOOKUP(tblHorasDez[Dia],tblDiaUtil[[Abreviatura]:[1º Período]],3,FALSE)&gt;0,VLOOKUP(tblHorasDez[Dia],tblDiaUtil[[Abreviatura]:[1º Período]],3,FALSE),JORNADA/2)),
        IF(AND(ISNUMBER(tblHorasDez[Saída - 1 (Almoço)]),ISNUMBER(tblHorasDez[Entrada - 1])),
              IF(OR(AND(tblHorasDez[Evento 
(1º Período)]&lt;&gt;"",IF(ISERROR(VLOOKUP(tblHorasDez[Evento 
(1º Período)],tblEvento[],Tabelas!$E$1,FALSE)),FALSE,VLOOKUP(tblHorasDez[Evento 
(1º Período)],tblEvento[],Tabelas!$E$1,FALSE)="Sim")),IF(VLOOKUP(TEXT(tblHorasDez[Data],"dddd"),tblDiaUtil[],2,FALSE)="Não",TRUE,FALSE)),
                   tblHorasDez[Saída - 1 (Almoço)]-tblHorasDez[Entrada - 1],
                   IF(OR(HOUR(tblHorasDez[Saída - 1 (Almoço)]-tblHorasDez[Entrada - 1])&gt;0,ROUND(tblHorasDez[Saída - 1 (Almoço)]-tblHorasDez[Entrada - 1],6)&gt;ROUND(CARENCIA,6)),
                          tblHorasDez[Saída - 1 (Almoço)]-tblHorasDez[Entrada - 1],
                          0)),
                    0)),0)</f>
        <v>0</v>
      </c>
      <c r="K23" s="4">
        <f>IF($B$6&lt;&gt;"",
IF(AND(tblHorasDez[Evento 
(2º Período)]&lt;&gt;"",IF(ISERROR(VLOOKUP(tblHorasDez[Evento 
(2º Período)],tblEvento[],Tabelas!$D$1,FALSE)),FALSE,VLOOKUP(tblHorasDez[Evento 
(2º Período)],tblEvento[],Tabelas!$D$1,FALSE)="Sim")),
        IF(JORNADA_PERIODO_2&lt;&gt;"",
IF(VLOOKUP(tblHorasDez[Dia],tblDiaUtil[[Abreviatura]:[2º Período]],4,FALSE)&gt;0,VLOOKUP(tblHorasDez[Dia],tblDiaUtil[[Abreviatura]:[2º Período]],4,FALSE),JORNADA_PERIODO_2),
IF(VLOOKUP(tblHorasDez[Dia],tblDiaUtil[[Abreviatura]:[2º Período]],4,FALSE)&gt;0,VLOOKUP(tblHorasDez[Dia],tblDiaUtil[[Abreviatura]:[2º Período]],4,FALSE),JORNADA/2)),
        IF(AND(ISNUMBER(tblHorasDez[Saída - 2]),ISNUMBER(tblHorasDez[Entrada - 2 (Almoço)])),
              IF(OR(AND(tblHorasDez[Evento 
(2º Período)]&lt;&gt;"",IF(ISERROR(VLOOKUP(tblHorasDez[Evento 
(2º Período)],tblEvento[],Tabelas!$E$1,FALSE)),FALSE,VLOOKUP(tblHorasDez[Evento 
(2º Período)],tblEvento[],Tabelas!$E$1,FALSE)="Sim")),IF(VLOOKUP(TEXT(tblHorasDez[Data],"dddd"),tblDiaUtil[],2,FALSE)="Não",TRUE,FALSE)),
                   tblHorasDez[Saída - 2]-tblHorasDez[Entrada - 2 (Almoço)],
                   IF(OR(HOUR(tblHorasDez[Saída - 2]-tblHorasDez[Entrada - 2 (Almoço)])&gt;0,MINUTE(tblHorasDez[Saída - 2]-tblHorasDez[Entrada - 2 (Almoço)])&gt;CARENCIA),
                         tblHorasDez[Saída - 2]-tblHorasDez[Entrada - 2 (Almoço)],
                         0)),
       0)),0)</f>
        <v>0</v>
      </c>
      <c r="L23" s="4">
        <f>tblHorasDez[Horas Trabalhadas (1º Período)]+tblHorasDez[Horas Trabalhadas (2º Período)]</f>
        <v>0</v>
      </c>
      <c r="M23" s="4" t="str">
        <f>IF(tblHorasDez[Data]&lt;&gt;"",
        IF(
AND(VLOOKUP(TEXT(tblHorasDez[Data],"dddd"),tblDiaUtil[],3,FALSE)="Sim",IF(tblHorasDez[Evento 
(1º Período)]&lt;&gt;"",IF(VLOOKUP(tblHorasDez[Evento 
(1º Período)],tblEvento[],Tabelas!$E$1,FALSE)="Sim",FALSE,TRUE),TRUE),IF(tblHorasDez[Evento 
(2º Período)]&lt;&gt;"",IF(VLOOKUP(tblHorasDez[Evento 
(2º Período)],tblEvento[],Tabelas!$E$1,FALSE)="Sim",FALSE,TRUE),TRUE)),
              IF(VLOOKUP(tblHorasDez[Dia],tblDiaUtil[[Abreviatura]:[1º Período]],3,FALSE)&gt;0,VLOOKUP(tblHorasDez[Dia],tblDiaUtil[[Abreviatura]:[1º Período]],3,FALSE),JORNADA),
              ""),
         "")</f>
        <v/>
      </c>
      <c r="N23" s="14">
        <f>IF(OR(tblHorasDez[Horas Trabalhadas (1º Período)]&lt;&gt;0,tblHorasDez[Horas Trabalhadas (2º Período)]&lt;&gt;0),
        IF(ISNUMBER(tblHorasDez[Jornada Diária]),
              IF(tblHorasDez[Jornada Diária]&gt;(tblHorasDez[Horas Trabalhadas (2º Período)]+tblHorasDez[Horas Trabalhadas (1º Período)]),
                     IF(ROUND((tblHorasDez[Jornada Diária]-(tblHorasDez[Horas Trabalhadas (2º Período)]+tblHorasDez[Horas Trabalhadas (1º Período)])),6)&gt;ROUND(CARENCIA,6),
                           -tblHorasDez[Jornada Diária]+(tblHorasDez[Horas Trabalhadas (2º Período)]+tblHorasDez[Horas Trabalhadas (1º Período)]),
                           0),
                      IF(ROUND((tblHorasDez[Jornada Diária]-(tblHorasDez[Horas Trabalhadas (2º Período)]+tblHorasDez[Horas Trabalhadas (1º Período)])),6)&lt;ROUND(-CARENCIA,6),
                           -tblHorasDez[Jornada Diária]+(tblHorasDez[Horas Trabalhadas (2º Período)]+tblHorasDez[Horas Trabalhadas (1º Período)]),
                           0)),
              tblHorasDez[Horas Trabalhadas (2º Período)]+tblHorasDez[Horas Trabalhadas (1º Período)]),
         IF(AND(IF(ISERROR(VLOOKUP(tblHorasDez[Evento 
(1º Período)],tblEvento[[Evento]:[Libera o Período]],4,FALSE)),FALSE,IF(VLOOKUP(tblHorasDez[Evento 
(1º Período)],tblEvento[[Evento]:[Libera o Período]],4,FALSE)="Não",TRUE,FALSE)),IF(ISERROR(VLOOKUP(tblHorasDez[Evento 
(2º Período)],tblEvento[[Evento]:[Libera o Período]],4,FALSE)),FALSE,IF(VLOOKUP(tblHorasDez[Evento 
(2º Período)],tblEvento[[Evento]:[Libera o Período]],4,FALSE)="Não",TRUE,FALSE))),
-IF(VLOOKUP(tblHorasDez[Dia],tblDiaUtil[[Abreviatura]:[Total Jornada]],5,FALSE)&lt;&gt;"",VLOOKUP(tblHorasDez[Dia],tblDiaUtil[[Abreviatura]:[Total Jornada]],5,FALSE),JORNADA),
IF(IF(ISERROR(VLOOKUP(tblHorasDez[Evento 
(1º Período)],tblEvento[[Evento]:[Libera o Período]],4,FALSE)),FALSE,
IF(VLOOKUP(tblHorasDez[Evento 
(1º Período)],tblEvento[[Evento]:[Libera o Período]],4,FALSE)="Não",TRUE,FALSE)
),
-IF(VLOOKUP(tblHorasDez[Dia],tblDiaUtil[[Abreviatura]:[1º Período]],3,FALSE)&lt;&gt;"",VLOOKUP(tblHorasDez[Dia],tblDiaUtil[[Abreviatura]:[1º Período]],3,FALSE),JORNADA_PERIODO_1),
IF(IF(ISERROR(VLOOKUP(tblHorasDez[Evento 
(2º Período)],tblEvento[[Evento]:[Libera o Período]],4,FALSE)),FALSE,IF(VLOOKUP(tblHorasDez[Evento 
(2º Período)],tblEvento[[Evento]:[Libera o Período]],4,FALSE)="Não",TRUE,FALSE)),
-IF(VLOOKUP(tblHorasDez[Dia],tblDiaUtil[[Abreviatura]:[2º Período]],4,FALSE)&lt;&gt;"",VLOOKUP(tblHorasDez[Dia],tblDiaUtil[[Abreviatura]:[2º Período]],4,FALSE),JORNADA_PERIODO_2),0))))</f>
        <v>0</v>
      </c>
      <c r="O23" s="14">
        <f>IF(tblHorasDez[Horas Trabalhadas Além Jornada]&gt;0,
        IF(ISNUMBER(tblHorasDez[Jornada Diária]),
              IF(HOUR(tblHorasDez[Horas Trabalhadas Além Jornada])&gt;=VLOOKUP(LIMITE,tblLimiteHora[],Tabelas!$I$1,FALSE),
                    VLOOKUP(LIMITE,tblLimiteHora[],Tabelas!$J$1,FALSE),
                    tblHorasDez[Horas Trabalhadas Além Jornada]),
              tblHorasDez[Horas Trabalhadas Além Jornada]),
        tblHorasDez[Horas Trabalhadas Além Jornada])+O22</f>
        <v>0</v>
      </c>
      <c r="P23" s="14" t="str">
        <f>IF(tblHorasDez[Horas Trabalhadas Além Jornada]&lt;0,IF(OR(tblHorasDez[Evento 
(1º Período)]="",tblHorasDez[Evento 
(2º Período)]=""),tblHorasDez[Horas Trabalhadas Além Jornada],""),"")</f>
        <v/>
      </c>
      <c r="Q23" s="14" t="str">
        <f>IF(tblHorasDez[Jornada Diária]&lt;&gt;"",IF((N(tblHorasDez[Jornada Diária])-ABS(N(tblHorasDez[Horas Trabalhadas Além Jornada])))=0,1,""),"")</f>
        <v/>
      </c>
      <c r="R23" s="14" t="str">
        <f>IF(tblHorasDez[Horas Trabalhadas Além Jornada]&gt;0,
IF(AND(VLOOKUP(TEXT(tblHorasDez[Data],"dddd"),tblDiaUtil[],3,FALSE)="Sim",IF(tblHorasDez[Evento 
(1º Período)]&lt;&gt;"",IF(VLOOKUP(tblHorasDez[Evento 
(1º Período)],tblEvento[],Tabelas!$E$1,FALSE)="Sim",FALSE,TRUE),TRUE),IF(tblHorasDez[Evento 
(2º Período)]&lt;&gt;"",IF(VLOOKUP(tblHorasDez[Evento 
(2º Período)],tblEvento[],Tabelas!$E$1,FALSE)="Sim",FALSE,TRUE),TRUE)),
tblHorasDez[Horas Trabalhadas Além Jornada],""),"")</f>
        <v/>
      </c>
      <c r="S23" s="14" t="str">
        <f>IF(tblHorasDez[Horas Trabalhadas Além Jornada]&gt;0,
IF(OR(VLOOKUP(TEXT(tblHorasDez[Data],"dddd"),tblDiaUtil[],3,FALSE)="Não",IF(tblHorasDez[Evento 
(1º Período)]&lt;&gt;"",IF(VLOOKUP(tblHorasDez[Evento 
(1º Período)],tblEvento[],Tabelas!$E$1,FALSE)="Sim",TRUE,FALSE),FALSE),IF(tblHorasDez[Evento 
(2º Período)]&lt;&gt;"",IF(VLOOKUP(tblHorasDez[Evento 
(2º Período)],tblEvento[],Tabelas!$E$1,FALSE)="Sim",TRUE,FALSE),FALSE)),
tblHorasDez[Horas Trabalhadas Além Jornada],""),"")</f>
        <v/>
      </c>
      <c r="T23" s="15" t="str">
        <f>IF(tblHorasDez[Evento 
(1º Período)]&lt;&gt;""," - " &amp;VLOOKUP(tblHorasDez[Evento 
(1º Período)],tblEvento[],Tabelas!$F$1,FALSE),"")&amp;IF(AND(tblHorasDez[Evento 
(2º Período)]&lt;&gt;"",tblHorasDez[Evento 
(2º Período)]&lt;&gt;tblHorasDez[Evento 
(1º Período)])," - " &amp; VLOOKUP(tblHorasDez[Evento 
(2º Período)],tblEvento[],Tabelas!$F$1,FALSE),"")</f>
        <v/>
      </c>
    </row>
    <row r="24" spans="2:20" x14ac:dyDescent="0.25">
      <c r="B24" s="11" t="str">
        <f t="shared" si="0"/>
        <v/>
      </c>
      <c r="C24" s="12" t="str">
        <f>TEXT(tblHorasDez[Data],"ddd")</f>
        <v/>
      </c>
      <c r="D24" s="25"/>
      <c r="E24" s="1"/>
      <c r="F24" s="1"/>
      <c r="G24" s="1"/>
      <c r="H24" s="1"/>
      <c r="I24" s="53"/>
      <c r="J24" s="4">
        <f>IF($B$6&lt;&gt;"",
IF(AND(tblHorasDez[Evento 
(1º Período)]&lt;&gt;"",IF(ISERROR(VLOOKUP(tblHorasDez[Evento 
(1º Período)],tblEvento[],Tabelas!$D$1,FALSE)),FALSE,VLOOKUP(tblHorasDez[Evento 
(1º Período)],tblEvento[],Tabelas!$D$1,FALSE)="Sim")),
        IF(JORNADA_PERIODO_1&lt;&gt;"",
IF(VLOOKUP(tblHorasDez[Dia],tblDiaUtil[[Abreviatura]:[1º Período]],3,FALSE)&gt;0,VLOOKUP(tblHorasDez[Dia],tblDiaUtil[[Abreviatura]:[1º Período]],3,FALSE),JORNADA_PERIODO_1),
IF(VLOOKUP(tblHorasDez[Dia],tblDiaUtil[[Abreviatura]:[1º Período]],3,FALSE)&gt;0,VLOOKUP(tblHorasDez[Dia],tblDiaUtil[[Abreviatura]:[1º Período]],3,FALSE),JORNADA/2)),
        IF(AND(ISNUMBER(tblHorasDez[Saída - 1 (Almoço)]),ISNUMBER(tblHorasDez[Entrada - 1])),
              IF(OR(AND(tblHorasDez[Evento 
(1º Período)]&lt;&gt;"",IF(ISERROR(VLOOKUP(tblHorasDez[Evento 
(1º Período)],tblEvento[],Tabelas!$E$1,FALSE)),FALSE,VLOOKUP(tblHorasDez[Evento 
(1º Período)],tblEvento[],Tabelas!$E$1,FALSE)="Sim")),IF(VLOOKUP(TEXT(tblHorasDez[Data],"dddd"),tblDiaUtil[],2,FALSE)="Não",TRUE,FALSE)),
                   tblHorasDez[Saída - 1 (Almoço)]-tblHorasDez[Entrada - 1],
                   IF(OR(HOUR(tblHorasDez[Saída - 1 (Almoço)]-tblHorasDez[Entrada - 1])&gt;0,ROUND(tblHorasDez[Saída - 1 (Almoço)]-tblHorasDez[Entrada - 1],6)&gt;ROUND(CARENCIA,6)),
                          tblHorasDez[Saída - 1 (Almoço)]-tblHorasDez[Entrada - 1],
                          0)),
                    0)),0)</f>
        <v>0</v>
      </c>
      <c r="K24" s="4">
        <f>IF($B$6&lt;&gt;"",
IF(AND(tblHorasDez[Evento 
(2º Período)]&lt;&gt;"",IF(ISERROR(VLOOKUP(tblHorasDez[Evento 
(2º Período)],tblEvento[],Tabelas!$D$1,FALSE)),FALSE,VLOOKUP(tblHorasDez[Evento 
(2º Período)],tblEvento[],Tabelas!$D$1,FALSE)="Sim")),
        IF(JORNADA_PERIODO_2&lt;&gt;"",
IF(VLOOKUP(tblHorasDez[Dia],tblDiaUtil[[Abreviatura]:[2º Período]],4,FALSE)&gt;0,VLOOKUP(tblHorasDez[Dia],tblDiaUtil[[Abreviatura]:[2º Período]],4,FALSE),JORNADA_PERIODO_2),
IF(VLOOKUP(tblHorasDez[Dia],tblDiaUtil[[Abreviatura]:[2º Período]],4,FALSE)&gt;0,VLOOKUP(tblHorasDez[Dia],tblDiaUtil[[Abreviatura]:[2º Período]],4,FALSE),JORNADA/2)),
        IF(AND(ISNUMBER(tblHorasDez[Saída - 2]),ISNUMBER(tblHorasDez[Entrada - 2 (Almoço)])),
              IF(OR(AND(tblHorasDez[Evento 
(2º Período)]&lt;&gt;"",IF(ISERROR(VLOOKUP(tblHorasDez[Evento 
(2º Período)],tblEvento[],Tabelas!$E$1,FALSE)),FALSE,VLOOKUP(tblHorasDez[Evento 
(2º Período)],tblEvento[],Tabelas!$E$1,FALSE)="Sim")),IF(VLOOKUP(TEXT(tblHorasDez[Data],"dddd"),tblDiaUtil[],2,FALSE)="Não",TRUE,FALSE)),
                   tblHorasDez[Saída - 2]-tblHorasDez[Entrada - 2 (Almoço)],
                   IF(OR(HOUR(tblHorasDez[Saída - 2]-tblHorasDez[Entrada - 2 (Almoço)])&gt;0,MINUTE(tblHorasDez[Saída - 2]-tblHorasDez[Entrada - 2 (Almoço)])&gt;CARENCIA),
                         tblHorasDez[Saída - 2]-tblHorasDez[Entrada - 2 (Almoço)],
                         0)),
       0)),0)</f>
        <v>0</v>
      </c>
      <c r="L24" s="4">
        <f>tblHorasDez[Horas Trabalhadas (1º Período)]+tblHorasDez[Horas Trabalhadas (2º Período)]</f>
        <v>0</v>
      </c>
      <c r="M24" s="4" t="str">
        <f>IF(tblHorasDez[Data]&lt;&gt;"",
        IF(
AND(VLOOKUP(TEXT(tblHorasDez[Data],"dddd"),tblDiaUtil[],3,FALSE)="Sim",IF(tblHorasDez[Evento 
(1º Período)]&lt;&gt;"",IF(VLOOKUP(tblHorasDez[Evento 
(1º Período)],tblEvento[],Tabelas!$E$1,FALSE)="Sim",FALSE,TRUE),TRUE),IF(tblHorasDez[Evento 
(2º Período)]&lt;&gt;"",IF(VLOOKUP(tblHorasDez[Evento 
(2º Período)],tblEvento[],Tabelas!$E$1,FALSE)="Sim",FALSE,TRUE),TRUE)),
              IF(VLOOKUP(tblHorasDez[Dia],tblDiaUtil[[Abreviatura]:[1º Período]],3,FALSE)&gt;0,VLOOKUP(tblHorasDez[Dia],tblDiaUtil[[Abreviatura]:[1º Período]],3,FALSE),JORNADA),
              ""),
         "")</f>
        <v/>
      </c>
      <c r="N24" s="14">
        <f>IF(OR(tblHorasDez[Horas Trabalhadas (1º Período)]&lt;&gt;0,tblHorasDez[Horas Trabalhadas (2º Período)]&lt;&gt;0),
        IF(ISNUMBER(tblHorasDez[Jornada Diária]),
              IF(tblHorasDez[Jornada Diária]&gt;(tblHorasDez[Horas Trabalhadas (2º Período)]+tblHorasDez[Horas Trabalhadas (1º Período)]),
                     IF(ROUND((tblHorasDez[Jornada Diária]-(tblHorasDez[Horas Trabalhadas (2º Período)]+tblHorasDez[Horas Trabalhadas (1º Período)])),6)&gt;ROUND(CARENCIA,6),
                           -tblHorasDez[Jornada Diária]+(tblHorasDez[Horas Trabalhadas (2º Período)]+tblHorasDez[Horas Trabalhadas (1º Período)]),
                           0),
                      IF(ROUND((tblHorasDez[Jornada Diária]-(tblHorasDez[Horas Trabalhadas (2º Período)]+tblHorasDez[Horas Trabalhadas (1º Período)])),6)&lt;ROUND(-CARENCIA,6),
                           -tblHorasDez[Jornada Diária]+(tblHorasDez[Horas Trabalhadas (2º Período)]+tblHorasDez[Horas Trabalhadas (1º Período)]),
                           0)),
              tblHorasDez[Horas Trabalhadas (2º Período)]+tblHorasDez[Horas Trabalhadas (1º Período)]),
         IF(AND(IF(ISERROR(VLOOKUP(tblHorasDez[Evento 
(1º Período)],tblEvento[[Evento]:[Libera o Período]],4,FALSE)),FALSE,IF(VLOOKUP(tblHorasDez[Evento 
(1º Período)],tblEvento[[Evento]:[Libera o Período]],4,FALSE)="Não",TRUE,FALSE)),IF(ISERROR(VLOOKUP(tblHorasDez[Evento 
(2º Período)],tblEvento[[Evento]:[Libera o Período]],4,FALSE)),FALSE,IF(VLOOKUP(tblHorasDez[Evento 
(2º Período)],tblEvento[[Evento]:[Libera o Período]],4,FALSE)="Não",TRUE,FALSE))),
-IF(VLOOKUP(tblHorasDez[Dia],tblDiaUtil[[Abreviatura]:[Total Jornada]],5,FALSE)&lt;&gt;"",VLOOKUP(tblHorasDez[Dia],tblDiaUtil[[Abreviatura]:[Total Jornada]],5,FALSE),JORNADA),
IF(IF(ISERROR(VLOOKUP(tblHorasDez[Evento 
(1º Período)],tblEvento[[Evento]:[Libera o Período]],4,FALSE)),FALSE,
IF(VLOOKUP(tblHorasDez[Evento 
(1º Período)],tblEvento[[Evento]:[Libera o Período]],4,FALSE)="Não",TRUE,FALSE)
),
-IF(VLOOKUP(tblHorasDez[Dia],tblDiaUtil[[Abreviatura]:[1º Período]],3,FALSE)&lt;&gt;"",VLOOKUP(tblHorasDez[Dia],tblDiaUtil[[Abreviatura]:[1º Período]],3,FALSE),JORNADA_PERIODO_1),
IF(IF(ISERROR(VLOOKUP(tblHorasDez[Evento 
(2º Período)],tblEvento[[Evento]:[Libera o Período]],4,FALSE)),FALSE,IF(VLOOKUP(tblHorasDez[Evento 
(2º Período)],tblEvento[[Evento]:[Libera o Período]],4,FALSE)="Não",TRUE,FALSE)),
-IF(VLOOKUP(tblHorasDez[Dia],tblDiaUtil[[Abreviatura]:[2º Período]],4,FALSE)&lt;&gt;"",VLOOKUP(tblHorasDez[Dia],tblDiaUtil[[Abreviatura]:[2º Período]],4,FALSE),JORNADA_PERIODO_2),0))))</f>
        <v>0</v>
      </c>
      <c r="O24" s="14">
        <f>IF(tblHorasDez[Horas Trabalhadas Além Jornada]&gt;0,
        IF(ISNUMBER(tblHorasDez[Jornada Diária]),
              IF(HOUR(tblHorasDez[Horas Trabalhadas Além Jornada])&gt;=VLOOKUP(LIMITE,tblLimiteHora[],Tabelas!$I$1,FALSE),
                    VLOOKUP(LIMITE,tblLimiteHora[],Tabelas!$J$1,FALSE),
                    tblHorasDez[Horas Trabalhadas Além Jornada]),
              tblHorasDez[Horas Trabalhadas Além Jornada]),
        tblHorasDez[Horas Trabalhadas Além Jornada])+O23</f>
        <v>0</v>
      </c>
      <c r="P24" s="14" t="str">
        <f>IF(tblHorasDez[Horas Trabalhadas Além Jornada]&lt;0,IF(OR(tblHorasDez[Evento 
(1º Período)]="",tblHorasDez[Evento 
(2º Período)]=""),tblHorasDez[Horas Trabalhadas Além Jornada],""),"")</f>
        <v/>
      </c>
      <c r="Q24" s="14" t="str">
        <f>IF(tblHorasDez[Jornada Diária]&lt;&gt;"",IF((N(tblHorasDez[Jornada Diária])-ABS(N(tblHorasDez[Horas Trabalhadas Além Jornada])))=0,1,""),"")</f>
        <v/>
      </c>
      <c r="R24" s="14" t="str">
        <f>IF(tblHorasDez[Horas Trabalhadas Além Jornada]&gt;0,
IF(AND(VLOOKUP(TEXT(tblHorasDez[Data],"dddd"),tblDiaUtil[],3,FALSE)="Sim",IF(tblHorasDez[Evento 
(1º Período)]&lt;&gt;"",IF(VLOOKUP(tblHorasDez[Evento 
(1º Período)],tblEvento[],Tabelas!$E$1,FALSE)="Sim",FALSE,TRUE),TRUE),IF(tblHorasDez[Evento 
(2º Período)]&lt;&gt;"",IF(VLOOKUP(tblHorasDez[Evento 
(2º Período)],tblEvento[],Tabelas!$E$1,FALSE)="Sim",FALSE,TRUE),TRUE)),
tblHorasDez[Horas Trabalhadas Além Jornada],""),"")</f>
        <v/>
      </c>
      <c r="S24" s="14" t="str">
        <f>IF(tblHorasDez[Horas Trabalhadas Além Jornada]&gt;0,
IF(OR(VLOOKUP(TEXT(tblHorasDez[Data],"dddd"),tblDiaUtil[],3,FALSE)="Não",IF(tblHorasDez[Evento 
(1º Período)]&lt;&gt;"",IF(VLOOKUP(tblHorasDez[Evento 
(1º Período)],tblEvento[],Tabelas!$E$1,FALSE)="Sim",TRUE,FALSE),FALSE),IF(tblHorasDez[Evento 
(2º Período)]&lt;&gt;"",IF(VLOOKUP(tblHorasDez[Evento 
(2º Período)],tblEvento[],Tabelas!$E$1,FALSE)="Sim",TRUE,FALSE),FALSE)),
tblHorasDez[Horas Trabalhadas Além Jornada],""),"")</f>
        <v/>
      </c>
      <c r="T24" s="15" t="str">
        <f>IF(tblHorasDez[Evento 
(1º Período)]&lt;&gt;""," - " &amp;VLOOKUP(tblHorasDez[Evento 
(1º Período)],tblEvento[],Tabelas!$F$1,FALSE),"")&amp;IF(AND(tblHorasDez[Evento 
(2º Período)]&lt;&gt;"",tblHorasDez[Evento 
(2º Período)]&lt;&gt;tblHorasDez[Evento 
(1º Período)])," - " &amp; VLOOKUP(tblHorasDez[Evento 
(2º Período)],tblEvento[],Tabelas!$F$1,FALSE),"")</f>
        <v/>
      </c>
    </row>
    <row r="25" spans="2:20" x14ac:dyDescent="0.25">
      <c r="B25" s="11" t="str">
        <f t="shared" si="0"/>
        <v/>
      </c>
      <c r="C25" s="12" t="str">
        <f>TEXT(tblHorasDez[Data],"ddd")</f>
        <v/>
      </c>
      <c r="D25" s="25"/>
      <c r="E25" s="1"/>
      <c r="F25" s="1"/>
      <c r="G25" s="1"/>
      <c r="H25" s="1"/>
      <c r="I25" s="53"/>
      <c r="J25" s="4">
        <f>IF($B$6&lt;&gt;"",
IF(AND(tblHorasDez[Evento 
(1º Período)]&lt;&gt;"",IF(ISERROR(VLOOKUP(tblHorasDez[Evento 
(1º Período)],tblEvento[],Tabelas!$D$1,FALSE)),FALSE,VLOOKUP(tblHorasDez[Evento 
(1º Período)],tblEvento[],Tabelas!$D$1,FALSE)="Sim")),
        IF(JORNADA_PERIODO_1&lt;&gt;"",
IF(VLOOKUP(tblHorasDez[Dia],tblDiaUtil[[Abreviatura]:[1º Período]],3,FALSE)&gt;0,VLOOKUP(tblHorasDez[Dia],tblDiaUtil[[Abreviatura]:[1º Período]],3,FALSE),JORNADA_PERIODO_1),
IF(VLOOKUP(tblHorasDez[Dia],tblDiaUtil[[Abreviatura]:[1º Período]],3,FALSE)&gt;0,VLOOKUP(tblHorasDez[Dia],tblDiaUtil[[Abreviatura]:[1º Período]],3,FALSE),JORNADA/2)),
        IF(AND(ISNUMBER(tblHorasDez[Saída - 1 (Almoço)]),ISNUMBER(tblHorasDez[Entrada - 1])),
              IF(OR(AND(tblHorasDez[Evento 
(1º Período)]&lt;&gt;"",IF(ISERROR(VLOOKUP(tblHorasDez[Evento 
(1º Período)],tblEvento[],Tabelas!$E$1,FALSE)),FALSE,VLOOKUP(tblHorasDez[Evento 
(1º Período)],tblEvento[],Tabelas!$E$1,FALSE)="Sim")),IF(VLOOKUP(TEXT(tblHorasDez[Data],"dddd"),tblDiaUtil[],2,FALSE)="Não",TRUE,FALSE)),
                   tblHorasDez[Saída - 1 (Almoço)]-tblHorasDez[Entrada - 1],
                   IF(OR(HOUR(tblHorasDez[Saída - 1 (Almoço)]-tblHorasDez[Entrada - 1])&gt;0,ROUND(tblHorasDez[Saída - 1 (Almoço)]-tblHorasDez[Entrada - 1],6)&gt;ROUND(CARENCIA,6)),
                          tblHorasDez[Saída - 1 (Almoço)]-tblHorasDez[Entrada - 1],
                          0)),
                    0)),0)</f>
        <v>0</v>
      </c>
      <c r="K25" s="4">
        <f>IF($B$6&lt;&gt;"",
IF(AND(tblHorasDez[Evento 
(2º Período)]&lt;&gt;"",IF(ISERROR(VLOOKUP(tblHorasDez[Evento 
(2º Período)],tblEvento[],Tabelas!$D$1,FALSE)),FALSE,VLOOKUP(tblHorasDez[Evento 
(2º Período)],tblEvento[],Tabelas!$D$1,FALSE)="Sim")),
        IF(JORNADA_PERIODO_2&lt;&gt;"",
IF(VLOOKUP(tblHorasDez[Dia],tblDiaUtil[[Abreviatura]:[2º Período]],4,FALSE)&gt;0,VLOOKUP(tblHorasDez[Dia],tblDiaUtil[[Abreviatura]:[2º Período]],4,FALSE),JORNADA_PERIODO_2),
IF(VLOOKUP(tblHorasDez[Dia],tblDiaUtil[[Abreviatura]:[2º Período]],4,FALSE)&gt;0,VLOOKUP(tblHorasDez[Dia],tblDiaUtil[[Abreviatura]:[2º Período]],4,FALSE),JORNADA/2)),
        IF(AND(ISNUMBER(tblHorasDez[Saída - 2]),ISNUMBER(tblHorasDez[Entrada - 2 (Almoço)])),
              IF(OR(AND(tblHorasDez[Evento 
(2º Período)]&lt;&gt;"",IF(ISERROR(VLOOKUP(tblHorasDez[Evento 
(2º Período)],tblEvento[],Tabelas!$E$1,FALSE)),FALSE,VLOOKUP(tblHorasDez[Evento 
(2º Período)],tblEvento[],Tabelas!$E$1,FALSE)="Sim")),IF(VLOOKUP(TEXT(tblHorasDez[Data],"dddd"),tblDiaUtil[],2,FALSE)="Não",TRUE,FALSE)),
                   tblHorasDez[Saída - 2]-tblHorasDez[Entrada - 2 (Almoço)],
                   IF(OR(HOUR(tblHorasDez[Saída - 2]-tblHorasDez[Entrada - 2 (Almoço)])&gt;0,MINUTE(tblHorasDez[Saída - 2]-tblHorasDez[Entrada - 2 (Almoço)])&gt;CARENCIA),
                         tblHorasDez[Saída - 2]-tblHorasDez[Entrada - 2 (Almoço)],
                         0)),
       0)),0)</f>
        <v>0</v>
      </c>
      <c r="L25" s="4">
        <f>tblHorasDez[Horas Trabalhadas (1º Período)]+tblHorasDez[Horas Trabalhadas (2º Período)]</f>
        <v>0</v>
      </c>
      <c r="M25" s="4" t="str">
        <f>IF(tblHorasDez[Data]&lt;&gt;"",
        IF(
AND(VLOOKUP(TEXT(tblHorasDez[Data],"dddd"),tblDiaUtil[],3,FALSE)="Sim",IF(tblHorasDez[Evento 
(1º Período)]&lt;&gt;"",IF(VLOOKUP(tblHorasDez[Evento 
(1º Período)],tblEvento[],Tabelas!$E$1,FALSE)="Sim",FALSE,TRUE),TRUE),IF(tblHorasDez[Evento 
(2º Período)]&lt;&gt;"",IF(VLOOKUP(tblHorasDez[Evento 
(2º Período)],tblEvento[],Tabelas!$E$1,FALSE)="Sim",FALSE,TRUE),TRUE)),
              IF(VLOOKUP(tblHorasDez[Dia],tblDiaUtil[[Abreviatura]:[1º Período]],3,FALSE)&gt;0,VLOOKUP(tblHorasDez[Dia],tblDiaUtil[[Abreviatura]:[1º Período]],3,FALSE),JORNADA),
              ""),
         "")</f>
        <v/>
      </c>
      <c r="N25" s="14">
        <f>IF(OR(tblHorasDez[Horas Trabalhadas (1º Período)]&lt;&gt;0,tblHorasDez[Horas Trabalhadas (2º Período)]&lt;&gt;0),
        IF(ISNUMBER(tblHorasDez[Jornada Diária]),
              IF(tblHorasDez[Jornada Diária]&gt;(tblHorasDez[Horas Trabalhadas (2º Período)]+tblHorasDez[Horas Trabalhadas (1º Período)]),
                     IF(ROUND((tblHorasDez[Jornada Diária]-(tblHorasDez[Horas Trabalhadas (2º Período)]+tblHorasDez[Horas Trabalhadas (1º Período)])),6)&gt;ROUND(CARENCIA,6),
                           -tblHorasDez[Jornada Diária]+(tblHorasDez[Horas Trabalhadas (2º Período)]+tblHorasDez[Horas Trabalhadas (1º Período)]),
                           0),
                      IF(ROUND((tblHorasDez[Jornada Diária]-(tblHorasDez[Horas Trabalhadas (2º Período)]+tblHorasDez[Horas Trabalhadas (1º Período)])),6)&lt;ROUND(-CARENCIA,6),
                           -tblHorasDez[Jornada Diária]+(tblHorasDez[Horas Trabalhadas (2º Período)]+tblHorasDez[Horas Trabalhadas (1º Período)]),
                           0)),
              tblHorasDez[Horas Trabalhadas (2º Período)]+tblHorasDez[Horas Trabalhadas (1º Período)]),
         IF(AND(IF(ISERROR(VLOOKUP(tblHorasDez[Evento 
(1º Período)],tblEvento[[Evento]:[Libera o Período]],4,FALSE)),FALSE,IF(VLOOKUP(tblHorasDez[Evento 
(1º Período)],tblEvento[[Evento]:[Libera o Período]],4,FALSE)="Não",TRUE,FALSE)),IF(ISERROR(VLOOKUP(tblHorasDez[Evento 
(2º Período)],tblEvento[[Evento]:[Libera o Período]],4,FALSE)),FALSE,IF(VLOOKUP(tblHorasDez[Evento 
(2º Período)],tblEvento[[Evento]:[Libera o Período]],4,FALSE)="Não",TRUE,FALSE))),
-IF(VLOOKUP(tblHorasDez[Dia],tblDiaUtil[[Abreviatura]:[Total Jornada]],5,FALSE)&lt;&gt;"",VLOOKUP(tblHorasDez[Dia],tblDiaUtil[[Abreviatura]:[Total Jornada]],5,FALSE),JORNADA),
IF(IF(ISERROR(VLOOKUP(tblHorasDez[Evento 
(1º Período)],tblEvento[[Evento]:[Libera o Período]],4,FALSE)),FALSE,
IF(VLOOKUP(tblHorasDez[Evento 
(1º Período)],tblEvento[[Evento]:[Libera o Período]],4,FALSE)="Não",TRUE,FALSE)
),
-IF(VLOOKUP(tblHorasDez[Dia],tblDiaUtil[[Abreviatura]:[1º Período]],3,FALSE)&lt;&gt;"",VLOOKUP(tblHorasDez[Dia],tblDiaUtil[[Abreviatura]:[1º Período]],3,FALSE),JORNADA_PERIODO_1),
IF(IF(ISERROR(VLOOKUP(tblHorasDez[Evento 
(2º Período)],tblEvento[[Evento]:[Libera o Período]],4,FALSE)),FALSE,IF(VLOOKUP(tblHorasDez[Evento 
(2º Período)],tblEvento[[Evento]:[Libera o Período]],4,FALSE)="Não",TRUE,FALSE)),
-IF(VLOOKUP(tblHorasDez[Dia],tblDiaUtil[[Abreviatura]:[2º Período]],4,FALSE)&lt;&gt;"",VLOOKUP(tblHorasDez[Dia],tblDiaUtil[[Abreviatura]:[2º Período]],4,FALSE),JORNADA_PERIODO_2),0))))</f>
        <v>0</v>
      </c>
      <c r="O25" s="14">
        <f>IF(tblHorasDez[Horas Trabalhadas Além Jornada]&gt;0,
        IF(ISNUMBER(tblHorasDez[Jornada Diária]),
              IF(HOUR(tblHorasDez[Horas Trabalhadas Além Jornada])&gt;=VLOOKUP(LIMITE,tblLimiteHora[],Tabelas!$I$1,FALSE),
                    VLOOKUP(LIMITE,tblLimiteHora[],Tabelas!$J$1,FALSE),
                    tblHorasDez[Horas Trabalhadas Além Jornada]),
              tblHorasDez[Horas Trabalhadas Além Jornada]),
        tblHorasDez[Horas Trabalhadas Além Jornada])+O24</f>
        <v>0</v>
      </c>
      <c r="P25" s="14" t="str">
        <f>IF(tblHorasDez[Horas Trabalhadas Além Jornada]&lt;0,IF(OR(tblHorasDez[Evento 
(1º Período)]="",tblHorasDez[Evento 
(2º Período)]=""),tblHorasDez[Horas Trabalhadas Além Jornada],""),"")</f>
        <v/>
      </c>
      <c r="Q25" s="14" t="str">
        <f>IF(tblHorasDez[Jornada Diária]&lt;&gt;"",IF((N(tblHorasDez[Jornada Diária])-ABS(N(tblHorasDez[Horas Trabalhadas Além Jornada])))=0,1,""),"")</f>
        <v/>
      </c>
      <c r="R25" s="14" t="str">
        <f>IF(tblHorasDez[Horas Trabalhadas Além Jornada]&gt;0,
IF(AND(VLOOKUP(TEXT(tblHorasDez[Data],"dddd"),tblDiaUtil[],3,FALSE)="Sim",IF(tblHorasDez[Evento 
(1º Período)]&lt;&gt;"",IF(VLOOKUP(tblHorasDez[Evento 
(1º Período)],tblEvento[],Tabelas!$E$1,FALSE)="Sim",FALSE,TRUE),TRUE),IF(tblHorasDez[Evento 
(2º Período)]&lt;&gt;"",IF(VLOOKUP(tblHorasDez[Evento 
(2º Período)],tblEvento[],Tabelas!$E$1,FALSE)="Sim",FALSE,TRUE),TRUE)),
tblHorasDez[Horas Trabalhadas Além Jornada],""),"")</f>
        <v/>
      </c>
      <c r="S25" s="14" t="str">
        <f>IF(tblHorasDez[Horas Trabalhadas Além Jornada]&gt;0,
IF(OR(VLOOKUP(TEXT(tblHorasDez[Data],"dddd"),tblDiaUtil[],3,FALSE)="Não",IF(tblHorasDez[Evento 
(1º Período)]&lt;&gt;"",IF(VLOOKUP(tblHorasDez[Evento 
(1º Período)],tblEvento[],Tabelas!$E$1,FALSE)="Sim",TRUE,FALSE),FALSE),IF(tblHorasDez[Evento 
(2º Período)]&lt;&gt;"",IF(VLOOKUP(tblHorasDez[Evento 
(2º Período)],tblEvento[],Tabelas!$E$1,FALSE)="Sim",TRUE,FALSE),FALSE)),
tblHorasDez[Horas Trabalhadas Além Jornada],""),"")</f>
        <v/>
      </c>
      <c r="T25" s="15" t="str">
        <f>IF(tblHorasDez[Evento 
(1º Período)]&lt;&gt;""," - " &amp;VLOOKUP(tblHorasDez[Evento 
(1º Período)],tblEvento[],Tabelas!$F$1,FALSE),"")&amp;IF(AND(tblHorasDez[Evento 
(2º Período)]&lt;&gt;"",tblHorasDez[Evento 
(2º Período)]&lt;&gt;tblHorasDez[Evento 
(1º Período)])," - " &amp; VLOOKUP(tblHorasDez[Evento 
(2º Período)],tblEvento[],Tabelas!$F$1,FALSE),"")</f>
        <v/>
      </c>
    </row>
    <row r="26" spans="2:20" x14ac:dyDescent="0.25">
      <c r="B26" s="11" t="str">
        <f t="shared" si="0"/>
        <v/>
      </c>
      <c r="C26" s="12" t="str">
        <f>TEXT(tblHorasDez[Data],"ddd")</f>
        <v/>
      </c>
      <c r="D26" s="25"/>
      <c r="E26" s="1"/>
      <c r="F26" s="1"/>
      <c r="G26" s="1"/>
      <c r="H26" s="1"/>
      <c r="I26" s="53"/>
      <c r="J26" s="4">
        <f>IF($B$6&lt;&gt;"",
IF(AND(tblHorasDez[Evento 
(1º Período)]&lt;&gt;"",IF(ISERROR(VLOOKUP(tblHorasDez[Evento 
(1º Período)],tblEvento[],Tabelas!$D$1,FALSE)),FALSE,VLOOKUP(tblHorasDez[Evento 
(1º Período)],tblEvento[],Tabelas!$D$1,FALSE)="Sim")),
        IF(JORNADA_PERIODO_1&lt;&gt;"",
IF(VLOOKUP(tblHorasDez[Dia],tblDiaUtil[[Abreviatura]:[1º Período]],3,FALSE)&gt;0,VLOOKUP(tblHorasDez[Dia],tblDiaUtil[[Abreviatura]:[1º Período]],3,FALSE),JORNADA_PERIODO_1),
IF(VLOOKUP(tblHorasDez[Dia],tblDiaUtil[[Abreviatura]:[1º Período]],3,FALSE)&gt;0,VLOOKUP(tblHorasDez[Dia],tblDiaUtil[[Abreviatura]:[1º Período]],3,FALSE),JORNADA/2)),
        IF(AND(ISNUMBER(tblHorasDez[Saída - 1 (Almoço)]),ISNUMBER(tblHorasDez[Entrada - 1])),
              IF(OR(AND(tblHorasDez[Evento 
(1º Período)]&lt;&gt;"",IF(ISERROR(VLOOKUP(tblHorasDez[Evento 
(1º Período)],tblEvento[],Tabelas!$E$1,FALSE)),FALSE,VLOOKUP(tblHorasDez[Evento 
(1º Período)],tblEvento[],Tabelas!$E$1,FALSE)="Sim")),IF(VLOOKUP(TEXT(tblHorasDez[Data],"dddd"),tblDiaUtil[],2,FALSE)="Não",TRUE,FALSE)),
                   tblHorasDez[Saída - 1 (Almoço)]-tblHorasDez[Entrada - 1],
                   IF(OR(HOUR(tblHorasDez[Saída - 1 (Almoço)]-tblHorasDez[Entrada - 1])&gt;0,ROUND(tblHorasDez[Saída - 1 (Almoço)]-tblHorasDez[Entrada - 1],6)&gt;ROUND(CARENCIA,6)),
                          tblHorasDez[Saída - 1 (Almoço)]-tblHorasDez[Entrada - 1],
                          0)),
                    0)),0)</f>
        <v>0</v>
      </c>
      <c r="K26" s="4">
        <f>IF($B$6&lt;&gt;"",
IF(AND(tblHorasDez[Evento 
(2º Período)]&lt;&gt;"",IF(ISERROR(VLOOKUP(tblHorasDez[Evento 
(2º Período)],tblEvento[],Tabelas!$D$1,FALSE)),FALSE,VLOOKUP(tblHorasDez[Evento 
(2º Período)],tblEvento[],Tabelas!$D$1,FALSE)="Sim")),
        IF(JORNADA_PERIODO_2&lt;&gt;"",
IF(VLOOKUP(tblHorasDez[Dia],tblDiaUtil[[Abreviatura]:[2º Período]],4,FALSE)&gt;0,VLOOKUP(tblHorasDez[Dia],tblDiaUtil[[Abreviatura]:[2º Período]],4,FALSE),JORNADA_PERIODO_2),
IF(VLOOKUP(tblHorasDez[Dia],tblDiaUtil[[Abreviatura]:[2º Período]],4,FALSE)&gt;0,VLOOKUP(tblHorasDez[Dia],tblDiaUtil[[Abreviatura]:[2º Período]],4,FALSE),JORNADA/2)),
        IF(AND(ISNUMBER(tblHorasDez[Saída - 2]),ISNUMBER(tblHorasDez[Entrada - 2 (Almoço)])),
              IF(OR(AND(tblHorasDez[Evento 
(2º Período)]&lt;&gt;"",IF(ISERROR(VLOOKUP(tblHorasDez[Evento 
(2º Período)],tblEvento[],Tabelas!$E$1,FALSE)),FALSE,VLOOKUP(tblHorasDez[Evento 
(2º Período)],tblEvento[],Tabelas!$E$1,FALSE)="Sim")),IF(VLOOKUP(TEXT(tblHorasDez[Data],"dddd"),tblDiaUtil[],2,FALSE)="Não",TRUE,FALSE)),
                   tblHorasDez[Saída - 2]-tblHorasDez[Entrada - 2 (Almoço)],
                   IF(OR(HOUR(tblHorasDez[Saída - 2]-tblHorasDez[Entrada - 2 (Almoço)])&gt;0,MINUTE(tblHorasDez[Saída - 2]-tblHorasDez[Entrada - 2 (Almoço)])&gt;CARENCIA),
                         tblHorasDez[Saída - 2]-tblHorasDez[Entrada - 2 (Almoço)],
                         0)),
       0)),0)</f>
        <v>0</v>
      </c>
      <c r="L26" s="4">
        <f>tblHorasDez[Horas Trabalhadas (1º Período)]+tblHorasDez[Horas Trabalhadas (2º Período)]</f>
        <v>0</v>
      </c>
      <c r="M26" s="4" t="str">
        <f>IF(tblHorasDez[Data]&lt;&gt;"",
        IF(
AND(VLOOKUP(TEXT(tblHorasDez[Data],"dddd"),tblDiaUtil[],3,FALSE)="Sim",IF(tblHorasDez[Evento 
(1º Período)]&lt;&gt;"",IF(VLOOKUP(tblHorasDez[Evento 
(1º Período)],tblEvento[],Tabelas!$E$1,FALSE)="Sim",FALSE,TRUE),TRUE),IF(tblHorasDez[Evento 
(2º Período)]&lt;&gt;"",IF(VLOOKUP(tblHorasDez[Evento 
(2º Período)],tblEvento[],Tabelas!$E$1,FALSE)="Sim",FALSE,TRUE),TRUE)),
              IF(VLOOKUP(tblHorasDez[Dia],tblDiaUtil[[Abreviatura]:[1º Período]],3,FALSE)&gt;0,VLOOKUP(tblHorasDez[Dia],tblDiaUtil[[Abreviatura]:[1º Período]],3,FALSE),JORNADA),
              ""),
         "")</f>
        <v/>
      </c>
      <c r="N26" s="14">
        <f>IF(OR(tblHorasDez[Horas Trabalhadas (1º Período)]&lt;&gt;0,tblHorasDez[Horas Trabalhadas (2º Período)]&lt;&gt;0),
        IF(ISNUMBER(tblHorasDez[Jornada Diária]),
              IF(tblHorasDez[Jornada Diária]&gt;(tblHorasDez[Horas Trabalhadas (2º Período)]+tblHorasDez[Horas Trabalhadas (1º Período)]),
                     IF(ROUND((tblHorasDez[Jornada Diária]-(tblHorasDez[Horas Trabalhadas (2º Período)]+tblHorasDez[Horas Trabalhadas (1º Período)])),6)&gt;ROUND(CARENCIA,6),
                           -tblHorasDez[Jornada Diária]+(tblHorasDez[Horas Trabalhadas (2º Período)]+tblHorasDez[Horas Trabalhadas (1º Período)]),
                           0),
                      IF(ROUND((tblHorasDez[Jornada Diária]-(tblHorasDez[Horas Trabalhadas (2º Período)]+tblHorasDez[Horas Trabalhadas (1º Período)])),6)&lt;ROUND(-CARENCIA,6),
                           -tblHorasDez[Jornada Diária]+(tblHorasDez[Horas Trabalhadas (2º Período)]+tblHorasDez[Horas Trabalhadas (1º Período)]),
                           0)),
              tblHorasDez[Horas Trabalhadas (2º Período)]+tblHorasDez[Horas Trabalhadas (1º Período)]),
         IF(AND(IF(ISERROR(VLOOKUP(tblHorasDez[Evento 
(1º Período)],tblEvento[[Evento]:[Libera o Período]],4,FALSE)),FALSE,IF(VLOOKUP(tblHorasDez[Evento 
(1º Período)],tblEvento[[Evento]:[Libera o Período]],4,FALSE)="Não",TRUE,FALSE)),IF(ISERROR(VLOOKUP(tblHorasDez[Evento 
(2º Período)],tblEvento[[Evento]:[Libera o Período]],4,FALSE)),FALSE,IF(VLOOKUP(tblHorasDez[Evento 
(2º Período)],tblEvento[[Evento]:[Libera o Período]],4,FALSE)="Não",TRUE,FALSE))),
-IF(VLOOKUP(tblHorasDez[Dia],tblDiaUtil[[Abreviatura]:[Total Jornada]],5,FALSE)&lt;&gt;"",VLOOKUP(tblHorasDez[Dia],tblDiaUtil[[Abreviatura]:[Total Jornada]],5,FALSE),JORNADA),
IF(IF(ISERROR(VLOOKUP(tblHorasDez[Evento 
(1º Período)],tblEvento[[Evento]:[Libera o Período]],4,FALSE)),FALSE,
IF(VLOOKUP(tblHorasDez[Evento 
(1º Período)],tblEvento[[Evento]:[Libera o Período]],4,FALSE)="Não",TRUE,FALSE)
),
-IF(VLOOKUP(tblHorasDez[Dia],tblDiaUtil[[Abreviatura]:[1º Período]],3,FALSE)&lt;&gt;"",VLOOKUP(tblHorasDez[Dia],tblDiaUtil[[Abreviatura]:[1º Período]],3,FALSE),JORNADA_PERIODO_1),
IF(IF(ISERROR(VLOOKUP(tblHorasDez[Evento 
(2º Período)],tblEvento[[Evento]:[Libera o Período]],4,FALSE)),FALSE,IF(VLOOKUP(tblHorasDez[Evento 
(2º Período)],tblEvento[[Evento]:[Libera o Período]],4,FALSE)="Não",TRUE,FALSE)),
-IF(VLOOKUP(tblHorasDez[Dia],tblDiaUtil[[Abreviatura]:[2º Período]],4,FALSE)&lt;&gt;"",VLOOKUP(tblHorasDez[Dia],tblDiaUtil[[Abreviatura]:[2º Período]],4,FALSE),JORNADA_PERIODO_2),0))))</f>
        <v>0</v>
      </c>
      <c r="O26" s="14">
        <f>IF(tblHorasDez[Horas Trabalhadas Além Jornada]&gt;0,
        IF(ISNUMBER(tblHorasDez[Jornada Diária]),
              IF(HOUR(tblHorasDez[Horas Trabalhadas Além Jornada])&gt;=VLOOKUP(LIMITE,tblLimiteHora[],Tabelas!$I$1,FALSE),
                    VLOOKUP(LIMITE,tblLimiteHora[],Tabelas!$J$1,FALSE),
                    tblHorasDez[Horas Trabalhadas Além Jornada]),
              tblHorasDez[Horas Trabalhadas Além Jornada]),
        tblHorasDez[Horas Trabalhadas Além Jornada])+O25</f>
        <v>0</v>
      </c>
      <c r="P26" s="14" t="str">
        <f>IF(tblHorasDez[Horas Trabalhadas Além Jornada]&lt;0,IF(OR(tblHorasDez[Evento 
(1º Período)]="",tblHorasDez[Evento 
(2º Período)]=""),tblHorasDez[Horas Trabalhadas Além Jornada],""),"")</f>
        <v/>
      </c>
      <c r="Q26" s="14" t="str">
        <f>IF(tblHorasDez[Jornada Diária]&lt;&gt;"",IF((N(tblHorasDez[Jornada Diária])-ABS(N(tblHorasDez[Horas Trabalhadas Além Jornada])))=0,1,""),"")</f>
        <v/>
      </c>
      <c r="R26" s="14" t="str">
        <f>IF(tblHorasDez[Horas Trabalhadas Além Jornada]&gt;0,
IF(AND(VLOOKUP(TEXT(tblHorasDez[Data],"dddd"),tblDiaUtil[],3,FALSE)="Sim",IF(tblHorasDez[Evento 
(1º Período)]&lt;&gt;"",IF(VLOOKUP(tblHorasDez[Evento 
(1º Período)],tblEvento[],Tabelas!$E$1,FALSE)="Sim",FALSE,TRUE),TRUE),IF(tblHorasDez[Evento 
(2º Período)]&lt;&gt;"",IF(VLOOKUP(tblHorasDez[Evento 
(2º Período)],tblEvento[],Tabelas!$E$1,FALSE)="Sim",FALSE,TRUE),TRUE)),
tblHorasDez[Horas Trabalhadas Além Jornada],""),"")</f>
        <v/>
      </c>
      <c r="S26" s="14" t="str">
        <f>IF(tblHorasDez[Horas Trabalhadas Além Jornada]&gt;0,
IF(OR(VLOOKUP(TEXT(tblHorasDez[Data],"dddd"),tblDiaUtil[],3,FALSE)="Não",IF(tblHorasDez[Evento 
(1º Período)]&lt;&gt;"",IF(VLOOKUP(tblHorasDez[Evento 
(1º Período)],tblEvento[],Tabelas!$E$1,FALSE)="Sim",TRUE,FALSE),FALSE),IF(tblHorasDez[Evento 
(2º Período)]&lt;&gt;"",IF(VLOOKUP(tblHorasDez[Evento 
(2º Período)],tblEvento[],Tabelas!$E$1,FALSE)="Sim",TRUE,FALSE),FALSE)),
tblHorasDez[Horas Trabalhadas Além Jornada],""),"")</f>
        <v/>
      </c>
      <c r="T26" s="15" t="str">
        <f>IF(tblHorasDez[Evento 
(1º Período)]&lt;&gt;""," - " &amp;VLOOKUP(tblHorasDez[Evento 
(1º Período)],tblEvento[],Tabelas!$F$1,FALSE),"")&amp;IF(AND(tblHorasDez[Evento 
(2º Período)]&lt;&gt;"",tblHorasDez[Evento 
(2º Período)]&lt;&gt;tblHorasDez[Evento 
(1º Período)])," - " &amp; VLOOKUP(tblHorasDez[Evento 
(2º Período)],tblEvento[],Tabelas!$F$1,FALSE),"")</f>
        <v/>
      </c>
    </row>
    <row r="27" spans="2:20" x14ac:dyDescent="0.25">
      <c r="B27" s="11" t="str">
        <f t="shared" si="0"/>
        <v/>
      </c>
      <c r="C27" s="12" t="str">
        <f>TEXT(tblHorasDez[Data],"ddd")</f>
        <v/>
      </c>
      <c r="D27" s="25"/>
      <c r="E27" s="1"/>
      <c r="F27" s="1"/>
      <c r="G27" s="1"/>
      <c r="H27" s="1"/>
      <c r="I27" s="53"/>
      <c r="J27" s="4">
        <f>IF($B$6&lt;&gt;"",
IF(AND(tblHorasDez[Evento 
(1º Período)]&lt;&gt;"",IF(ISERROR(VLOOKUP(tblHorasDez[Evento 
(1º Período)],tblEvento[],Tabelas!$D$1,FALSE)),FALSE,VLOOKUP(tblHorasDez[Evento 
(1º Período)],tblEvento[],Tabelas!$D$1,FALSE)="Sim")),
        IF(JORNADA_PERIODO_1&lt;&gt;"",
IF(VLOOKUP(tblHorasDez[Dia],tblDiaUtil[[Abreviatura]:[1º Período]],3,FALSE)&gt;0,VLOOKUP(tblHorasDez[Dia],tblDiaUtil[[Abreviatura]:[1º Período]],3,FALSE),JORNADA_PERIODO_1),
IF(VLOOKUP(tblHorasDez[Dia],tblDiaUtil[[Abreviatura]:[1º Período]],3,FALSE)&gt;0,VLOOKUP(tblHorasDez[Dia],tblDiaUtil[[Abreviatura]:[1º Período]],3,FALSE),JORNADA/2)),
        IF(AND(ISNUMBER(tblHorasDez[Saída - 1 (Almoço)]),ISNUMBER(tblHorasDez[Entrada - 1])),
              IF(OR(AND(tblHorasDez[Evento 
(1º Período)]&lt;&gt;"",IF(ISERROR(VLOOKUP(tblHorasDez[Evento 
(1º Período)],tblEvento[],Tabelas!$E$1,FALSE)),FALSE,VLOOKUP(tblHorasDez[Evento 
(1º Período)],tblEvento[],Tabelas!$E$1,FALSE)="Sim")),IF(VLOOKUP(TEXT(tblHorasDez[Data],"dddd"),tblDiaUtil[],2,FALSE)="Não",TRUE,FALSE)),
                   tblHorasDez[Saída - 1 (Almoço)]-tblHorasDez[Entrada - 1],
                   IF(OR(HOUR(tblHorasDez[Saída - 1 (Almoço)]-tblHorasDez[Entrada - 1])&gt;0,ROUND(tblHorasDez[Saída - 1 (Almoço)]-tblHorasDez[Entrada - 1],6)&gt;ROUND(CARENCIA,6)),
                          tblHorasDez[Saída - 1 (Almoço)]-tblHorasDez[Entrada - 1],
                          0)),
                    0)),0)</f>
        <v>0</v>
      </c>
      <c r="K27" s="4">
        <f>IF($B$6&lt;&gt;"",
IF(AND(tblHorasDez[Evento 
(2º Período)]&lt;&gt;"",IF(ISERROR(VLOOKUP(tblHorasDez[Evento 
(2º Período)],tblEvento[],Tabelas!$D$1,FALSE)),FALSE,VLOOKUP(tblHorasDez[Evento 
(2º Período)],tblEvento[],Tabelas!$D$1,FALSE)="Sim")),
        IF(JORNADA_PERIODO_2&lt;&gt;"",
IF(VLOOKUP(tblHorasDez[Dia],tblDiaUtil[[Abreviatura]:[2º Período]],4,FALSE)&gt;0,VLOOKUP(tblHorasDez[Dia],tblDiaUtil[[Abreviatura]:[2º Período]],4,FALSE),JORNADA_PERIODO_2),
IF(VLOOKUP(tblHorasDez[Dia],tblDiaUtil[[Abreviatura]:[2º Período]],4,FALSE)&gt;0,VLOOKUP(tblHorasDez[Dia],tblDiaUtil[[Abreviatura]:[2º Período]],4,FALSE),JORNADA/2)),
        IF(AND(ISNUMBER(tblHorasDez[Saída - 2]),ISNUMBER(tblHorasDez[Entrada - 2 (Almoço)])),
              IF(OR(AND(tblHorasDez[Evento 
(2º Período)]&lt;&gt;"",IF(ISERROR(VLOOKUP(tblHorasDez[Evento 
(2º Período)],tblEvento[],Tabelas!$E$1,FALSE)),FALSE,VLOOKUP(tblHorasDez[Evento 
(2º Período)],tblEvento[],Tabelas!$E$1,FALSE)="Sim")),IF(VLOOKUP(TEXT(tblHorasDez[Data],"dddd"),tblDiaUtil[],2,FALSE)="Não",TRUE,FALSE)),
                   tblHorasDez[Saída - 2]-tblHorasDez[Entrada - 2 (Almoço)],
                   IF(OR(HOUR(tblHorasDez[Saída - 2]-tblHorasDez[Entrada - 2 (Almoço)])&gt;0,MINUTE(tblHorasDez[Saída - 2]-tblHorasDez[Entrada - 2 (Almoço)])&gt;CARENCIA),
                         tblHorasDez[Saída - 2]-tblHorasDez[Entrada - 2 (Almoço)],
                         0)),
       0)),0)</f>
        <v>0</v>
      </c>
      <c r="L27" s="4">
        <f>tblHorasDez[Horas Trabalhadas (1º Período)]+tblHorasDez[Horas Trabalhadas (2º Período)]</f>
        <v>0</v>
      </c>
      <c r="M27" s="4" t="str">
        <f>IF(tblHorasDez[Data]&lt;&gt;"",
        IF(
AND(VLOOKUP(TEXT(tblHorasDez[Data],"dddd"),tblDiaUtil[],3,FALSE)="Sim",IF(tblHorasDez[Evento 
(1º Período)]&lt;&gt;"",IF(VLOOKUP(tblHorasDez[Evento 
(1º Período)],tblEvento[],Tabelas!$E$1,FALSE)="Sim",FALSE,TRUE),TRUE),IF(tblHorasDez[Evento 
(2º Período)]&lt;&gt;"",IF(VLOOKUP(tblHorasDez[Evento 
(2º Período)],tblEvento[],Tabelas!$E$1,FALSE)="Sim",FALSE,TRUE),TRUE)),
              IF(VLOOKUP(tblHorasDez[Dia],tblDiaUtil[[Abreviatura]:[1º Período]],3,FALSE)&gt;0,VLOOKUP(tblHorasDez[Dia],tblDiaUtil[[Abreviatura]:[1º Período]],3,FALSE),JORNADA),
              ""),
         "")</f>
        <v/>
      </c>
      <c r="N27" s="14">
        <f>IF(OR(tblHorasDez[Horas Trabalhadas (1º Período)]&lt;&gt;0,tblHorasDez[Horas Trabalhadas (2º Período)]&lt;&gt;0),
        IF(ISNUMBER(tblHorasDez[Jornada Diária]),
              IF(tblHorasDez[Jornada Diária]&gt;(tblHorasDez[Horas Trabalhadas (2º Período)]+tblHorasDez[Horas Trabalhadas (1º Período)]),
                     IF(ROUND((tblHorasDez[Jornada Diária]-(tblHorasDez[Horas Trabalhadas (2º Período)]+tblHorasDez[Horas Trabalhadas (1º Período)])),6)&gt;ROUND(CARENCIA,6),
                           -tblHorasDez[Jornada Diária]+(tblHorasDez[Horas Trabalhadas (2º Período)]+tblHorasDez[Horas Trabalhadas (1º Período)]),
                           0),
                      IF(ROUND((tblHorasDez[Jornada Diária]-(tblHorasDez[Horas Trabalhadas (2º Período)]+tblHorasDez[Horas Trabalhadas (1º Período)])),6)&lt;ROUND(-CARENCIA,6),
                           -tblHorasDez[Jornada Diária]+(tblHorasDez[Horas Trabalhadas (2º Período)]+tblHorasDez[Horas Trabalhadas (1º Período)]),
                           0)),
              tblHorasDez[Horas Trabalhadas (2º Período)]+tblHorasDez[Horas Trabalhadas (1º Período)]),
         IF(AND(IF(ISERROR(VLOOKUP(tblHorasDez[Evento 
(1º Período)],tblEvento[[Evento]:[Libera o Período]],4,FALSE)),FALSE,IF(VLOOKUP(tblHorasDez[Evento 
(1º Período)],tblEvento[[Evento]:[Libera o Período]],4,FALSE)="Não",TRUE,FALSE)),IF(ISERROR(VLOOKUP(tblHorasDez[Evento 
(2º Período)],tblEvento[[Evento]:[Libera o Período]],4,FALSE)),FALSE,IF(VLOOKUP(tblHorasDez[Evento 
(2º Período)],tblEvento[[Evento]:[Libera o Período]],4,FALSE)="Não",TRUE,FALSE))),
-IF(VLOOKUP(tblHorasDez[Dia],tblDiaUtil[[Abreviatura]:[Total Jornada]],5,FALSE)&lt;&gt;"",VLOOKUP(tblHorasDez[Dia],tblDiaUtil[[Abreviatura]:[Total Jornada]],5,FALSE),JORNADA),
IF(IF(ISERROR(VLOOKUP(tblHorasDez[Evento 
(1º Período)],tblEvento[[Evento]:[Libera o Período]],4,FALSE)),FALSE,
IF(VLOOKUP(tblHorasDez[Evento 
(1º Período)],tblEvento[[Evento]:[Libera o Período]],4,FALSE)="Não",TRUE,FALSE)
),
-IF(VLOOKUP(tblHorasDez[Dia],tblDiaUtil[[Abreviatura]:[1º Período]],3,FALSE)&lt;&gt;"",VLOOKUP(tblHorasDez[Dia],tblDiaUtil[[Abreviatura]:[1º Período]],3,FALSE),JORNADA_PERIODO_1),
IF(IF(ISERROR(VLOOKUP(tblHorasDez[Evento 
(2º Período)],tblEvento[[Evento]:[Libera o Período]],4,FALSE)),FALSE,IF(VLOOKUP(tblHorasDez[Evento 
(2º Período)],tblEvento[[Evento]:[Libera o Período]],4,FALSE)="Não",TRUE,FALSE)),
-IF(VLOOKUP(tblHorasDez[Dia],tblDiaUtil[[Abreviatura]:[2º Período]],4,FALSE)&lt;&gt;"",VLOOKUP(tblHorasDez[Dia],tblDiaUtil[[Abreviatura]:[2º Período]],4,FALSE),JORNADA_PERIODO_2),0))))</f>
        <v>0</v>
      </c>
      <c r="O27" s="14">
        <f>IF(tblHorasDez[Horas Trabalhadas Além Jornada]&gt;0,
        IF(ISNUMBER(tblHorasDez[Jornada Diária]),
              IF(HOUR(tblHorasDez[Horas Trabalhadas Além Jornada])&gt;=VLOOKUP(LIMITE,tblLimiteHora[],Tabelas!$I$1,FALSE),
                    VLOOKUP(LIMITE,tblLimiteHora[],Tabelas!$J$1,FALSE),
                    tblHorasDez[Horas Trabalhadas Além Jornada]),
              tblHorasDez[Horas Trabalhadas Além Jornada]),
        tblHorasDez[Horas Trabalhadas Além Jornada])+O26</f>
        <v>0</v>
      </c>
      <c r="P27" s="14" t="str">
        <f>IF(tblHorasDez[Horas Trabalhadas Além Jornada]&lt;0,IF(OR(tblHorasDez[Evento 
(1º Período)]="",tblHorasDez[Evento 
(2º Período)]=""),tblHorasDez[Horas Trabalhadas Além Jornada],""),"")</f>
        <v/>
      </c>
      <c r="Q27" s="14" t="str">
        <f>IF(tblHorasDez[Jornada Diária]&lt;&gt;"",IF((N(tblHorasDez[Jornada Diária])-ABS(N(tblHorasDez[Horas Trabalhadas Além Jornada])))=0,1,""),"")</f>
        <v/>
      </c>
      <c r="R27" s="14" t="str">
        <f>IF(tblHorasDez[Horas Trabalhadas Além Jornada]&gt;0,
IF(AND(VLOOKUP(TEXT(tblHorasDez[Data],"dddd"),tblDiaUtil[],3,FALSE)="Sim",IF(tblHorasDez[Evento 
(1º Período)]&lt;&gt;"",IF(VLOOKUP(tblHorasDez[Evento 
(1º Período)],tblEvento[],Tabelas!$E$1,FALSE)="Sim",FALSE,TRUE),TRUE),IF(tblHorasDez[Evento 
(2º Período)]&lt;&gt;"",IF(VLOOKUP(tblHorasDez[Evento 
(2º Período)],tblEvento[],Tabelas!$E$1,FALSE)="Sim",FALSE,TRUE),TRUE)),
tblHorasDez[Horas Trabalhadas Além Jornada],""),"")</f>
        <v/>
      </c>
      <c r="S27" s="14" t="str">
        <f>IF(tblHorasDez[Horas Trabalhadas Além Jornada]&gt;0,
IF(OR(VLOOKUP(TEXT(tblHorasDez[Data],"dddd"),tblDiaUtil[],3,FALSE)="Não",IF(tblHorasDez[Evento 
(1º Período)]&lt;&gt;"",IF(VLOOKUP(tblHorasDez[Evento 
(1º Período)],tblEvento[],Tabelas!$E$1,FALSE)="Sim",TRUE,FALSE),FALSE),IF(tblHorasDez[Evento 
(2º Período)]&lt;&gt;"",IF(VLOOKUP(tblHorasDez[Evento 
(2º Período)],tblEvento[],Tabelas!$E$1,FALSE)="Sim",TRUE,FALSE),FALSE)),
tblHorasDez[Horas Trabalhadas Além Jornada],""),"")</f>
        <v/>
      </c>
      <c r="T27" s="15" t="str">
        <f>IF(tblHorasDez[Evento 
(1º Período)]&lt;&gt;""," - " &amp;VLOOKUP(tblHorasDez[Evento 
(1º Período)],tblEvento[],Tabelas!$F$1,FALSE),"")&amp;IF(AND(tblHorasDez[Evento 
(2º Período)]&lt;&gt;"",tblHorasDez[Evento 
(2º Período)]&lt;&gt;tblHorasDez[Evento 
(1º Período)])," - " &amp; VLOOKUP(tblHorasDez[Evento 
(2º Período)],tblEvento[],Tabelas!$F$1,FALSE),"")</f>
        <v/>
      </c>
    </row>
    <row r="28" spans="2:20" x14ac:dyDescent="0.25">
      <c r="B28" s="11" t="str">
        <f t="shared" si="0"/>
        <v/>
      </c>
      <c r="C28" s="12" t="str">
        <f>TEXT(tblHorasDez[Data],"ddd")</f>
        <v/>
      </c>
      <c r="D28" s="25"/>
      <c r="E28" s="1"/>
      <c r="F28" s="1"/>
      <c r="G28" s="1"/>
      <c r="H28" s="1"/>
      <c r="I28" s="53"/>
      <c r="J28" s="4">
        <f>IF($B$6&lt;&gt;"",
IF(AND(tblHorasDez[Evento 
(1º Período)]&lt;&gt;"",IF(ISERROR(VLOOKUP(tblHorasDez[Evento 
(1º Período)],tblEvento[],Tabelas!$D$1,FALSE)),FALSE,VLOOKUP(tblHorasDez[Evento 
(1º Período)],tblEvento[],Tabelas!$D$1,FALSE)="Sim")),
        IF(JORNADA_PERIODO_1&lt;&gt;"",
IF(VLOOKUP(tblHorasDez[Dia],tblDiaUtil[[Abreviatura]:[1º Período]],3,FALSE)&gt;0,VLOOKUP(tblHorasDez[Dia],tblDiaUtil[[Abreviatura]:[1º Período]],3,FALSE),JORNADA_PERIODO_1),
IF(VLOOKUP(tblHorasDez[Dia],tblDiaUtil[[Abreviatura]:[1º Período]],3,FALSE)&gt;0,VLOOKUP(tblHorasDez[Dia],tblDiaUtil[[Abreviatura]:[1º Período]],3,FALSE),JORNADA/2)),
        IF(AND(ISNUMBER(tblHorasDez[Saída - 1 (Almoço)]),ISNUMBER(tblHorasDez[Entrada - 1])),
              IF(OR(AND(tblHorasDez[Evento 
(1º Período)]&lt;&gt;"",IF(ISERROR(VLOOKUP(tblHorasDez[Evento 
(1º Período)],tblEvento[],Tabelas!$E$1,FALSE)),FALSE,VLOOKUP(tblHorasDez[Evento 
(1º Período)],tblEvento[],Tabelas!$E$1,FALSE)="Sim")),IF(VLOOKUP(TEXT(tblHorasDez[Data],"dddd"),tblDiaUtil[],2,FALSE)="Não",TRUE,FALSE)),
                   tblHorasDez[Saída - 1 (Almoço)]-tblHorasDez[Entrada - 1],
                   IF(OR(HOUR(tblHorasDez[Saída - 1 (Almoço)]-tblHorasDez[Entrada - 1])&gt;0,ROUND(tblHorasDez[Saída - 1 (Almoço)]-tblHorasDez[Entrada - 1],6)&gt;ROUND(CARENCIA,6)),
                          tblHorasDez[Saída - 1 (Almoço)]-tblHorasDez[Entrada - 1],
                          0)),
                    0)),0)</f>
        <v>0</v>
      </c>
      <c r="K28" s="4">
        <f>IF($B$6&lt;&gt;"",
IF(AND(tblHorasDez[Evento 
(2º Período)]&lt;&gt;"",IF(ISERROR(VLOOKUP(tblHorasDez[Evento 
(2º Período)],tblEvento[],Tabelas!$D$1,FALSE)),FALSE,VLOOKUP(tblHorasDez[Evento 
(2º Período)],tblEvento[],Tabelas!$D$1,FALSE)="Sim")),
        IF(JORNADA_PERIODO_2&lt;&gt;"",
IF(VLOOKUP(tblHorasDez[Dia],tblDiaUtil[[Abreviatura]:[2º Período]],4,FALSE)&gt;0,VLOOKUP(tblHorasDez[Dia],tblDiaUtil[[Abreviatura]:[2º Período]],4,FALSE),JORNADA_PERIODO_2),
IF(VLOOKUP(tblHorasDez[Dia],tblDiaUtil[[Abreviatura]:[2º Período]],4,FALSE)&gt;0,VLOOKUP(tblHorasDez[Dia],tblDiaUtil[[Abreviatura]:[2º Período]],4,FALSE),JORNADA/2)),
        IF(AND(ISNUMBER(tblHorasDez[Saída - 2]),ISNUMBER(tblHorasDez[Entrada - 2 (Almoço)])),
              IF(OR(AND(tblHorasDez[Evento 
(2º Período)]&lt;&gt;"",IF(ISERROR(VLOOKUP(tblHorasDez[Evento 
(2º Período)],tblEvento[],Tabelas!$E$1,FALSE)),FALSE,VLOOKUP(tblHorasDez[Evento 
(2º Período)],tblEvento[],Tabelas!$E$1,FALSE)="Sim")),IF(VLOOKUP(TEXT(tblHorasDez[Data],"dddd"),tblDiaUtil[],2,FALSE)="Não",TRUE,FALSE)),
                   tblHorasDez[Saída - 2]-tblHorasDez[Entrada - 2 (Almoço)],
                   IF(OR(HOUR(tblHorasDez[Saída - 2]-tblHorasDez[Entrada - 2 (Almoço)])&gt;0,MINUTE(tblHorasDez[Saída - 2]-tblHorasDez[Entrada - 2 (Almoço)])&gt;CARENCIA),
                         tblHorasDez[Saída - 2]-tblHorasDez[Entrada - 2 (Almoço)],
                         0)),
       0)),0)</f>
        <v>0</v>
      </c>
      <c r="L28" s="4">
        <f>tblHorasDez[Horas Trabalhadas (1º Período)]+tblHorasDez[Horas Trabalhadas (2º Período)]</f>
        <v>0</v>
      </c>
      <c r="M28" s="4" t="str">
        <f>IF(tblHorasDez[Data]&lt;&gt;"",
        IF(
AND(VLOOKUP(TEXT(tblHorasDez[Data],"dddd"),tblDiaUtil[],3,FALSE)="Sim",IF(tblHorasDez[Evento 
(1º Período)]&lt;&gt;"",IF(VLOOKUP(tblHorasDez[Evento 
(1º Período)],tblEvento[],Tabelas!$E$1,FALSE)="Sim",FALSE,TRUE),TRUE),IF(tblHorasDez[Evento 
(2º Período)]&lt;&gt;"",IF(VLOOKUP(tblHorasDez[Evento 
(2º Período)],tblEvento[],Tabelas!$E$1,FALSE)="Sim",FALSE,TRUE),TRUE)),
              IF(VLOOKUP(tblHorasDez[Dia],tblDiaUtil[[Abreviatura]:[1º Período]],3,FALSE)&gt;0,VLOOKUP(tblHorasDez[Dia],tblDiaUtil[[Abreviatura]:[1º Período]],3,FALSE),JORNADA),
              ""),
         "")</f>
        <v/>
      </c>
      <c r="N28" s="14">
        <f>IF(OR(tblHorasDez[Horas Trabalhadas (1º Período)]&lt;&gt;0,tblHorasDez[Horas Trabalhadas (2º Período)]&lt;&gt;0),
        IF(ISNUMBER(tblHorasDez[Jornada Diária]),
              IF(tblHorasDez[Jornada Diária]&gt;(tblHorasDez[Horas Trabalhadas (2º Período)]+tblHorasDez[Horas Trabalhadas (1º Período)]),
                     IF(ROUND((tblHorasDez[Jornada Diária]-(tblHorasDez[Horas Trabalhadas (2º Período)]+tblHorasDez[Horas Trabalhadas (1º Período)])),6)&gt;ROUND(CARENCIA,6),
                           -tblHorasDez[Jornada Diária]+(tblHorasDez[Horas Trabalhadas (2º Período)]+tblHorasDez[Horas Trabalhadas (1º Período)]),
                           0),
                      IF(ROUND((tblHorasDez[Jornada Diária]-(tblHorasDez[Horas Trabalhadas (2º Período)]+tblHorasDez[Horas Trabalhadas (1º Período)])),6)&lt;ROUND(-CARENCIA,6),
                           -tblHorasDez[Jornada Diária]+(tblHorasDez[Horas Trabalhadas (2º Período)]+tblHorasDez[Horas Trabalhadas (1º Período)]),
                           0)),
              tblHorasDez[Horas Trabalhadas (2º Período)]+tblHorasDez[Horas Trabalhadas (1º Período)]),
         IF(AND(IF(ISERROR(VLOOKUP(tblHorasDez[Evento 
(1º Período)],tblEvento[[Evento]:[Libera o Período]],4,FALSE)),FALSE,IF(VLOOKUP(tblHorasDez[Evento 
(1º Período)],tblEvento[[Evento]:[Libera o Período]],4,FALSE)="Não",TRUE,FALSE)),IF(ISERROR(VLOOKUP(tblHorasDez[Evento 
(2º Período)],tblEvento[[Evento]:[Libera o Período]],4,FALSE)),FALSE,IF(VLOOKUP(tblHorasDez[Evento 
(2º Período)],tblEvento[[Evento]:[Libera o Período]],4,FALSE)="Não",TRUE,FALSE))),
-IF(VLOOKUP(tblHorasDez[Dia],tblDiaUtil[[Abreviatura]:[Total Jornada]],5,FALSE)&lt;&gt;"",VLOOKUP(tblHorasDez[Dia],tblDiaUtil[[Abreviatura]:[Total Jornada]],5,FALSE),JORNADA),
IF(IF(ISERROR(VLOOKUP(tblHorasDez[Evento 
(1º Período)],tblEvento[[Evento]:[Libera o Período]],4,FALSE)),FALSE,
IF(VLOOKUP(tblHorasDez[Evento 
(1º Período)],tblEvento[[Evento]:[Libera o Período]],4,FALSE)="Não",TRUE,FALSE)
),
-IF(VLOOKUP(tblHorasDez[Dia],tblDiaUtil[[Abreviatura]:[1º Período]],3,FALSE)&lt;&gt;"",VLOOKUP(tblHorasDez[Dia],tblDiaUtil[[Abreviatura]:[1º Período]],3,FALSE),JORNADA_PERIODO_1),
IF(IF(ISERROR(VLOOKUP(tblHorasDez[Evento 
(2º Período)],tblEvento[[Evento]:[Libera o Período]],4,FALSE)),FALSE,IF(VLOOKUP(tblHorasDez[Evento 
(2º Período)],tblEvento[[Evento]:[Libera o Período]],4,FALSE)="Não",TRUE,FALSE)),
-IF(VLOOKUP(tblHorasDez[Dia],tblDiaUtil[[Abreviatura]:[2º Período]],4,FALSE)&lt;&gt;"",VLOOKUP(tblHorasDez[Dia],tblDiaUtil[[Abreviatura]:[2º Período]],4,FALSE),JORNADA_PERIODO_2),0))))</f>
        <v>0</v>
      </c>
      <c r="O28" s="14">
        <f>IF(tblHorasDez[Horas Trabalhadas Além Jornada]&gt;0,
        IF(ISNUMBER(tblHorasDez[Jornada Diária]),
              IF(HOUR(tblHorasDez[Horas Trabalhadas Além Jornada])&gt;=VLOOKUP(LIMITE,tblLimiteHora[],Tabelas!$I$1,FALSE),
                    VLOOKUP(LIMITE,tblLimiteHora[],Tabelas!$J$1,FALSE),
                    tblHorasDez[Horas Trabalhadas Além Jornada]),
              tblHorasDez[Horas Trabalhadas Além Jornada]),
        tblHorasDez[Horas Trabalhadas Além Jornada])+O27</f>
        <v>0</v>
      </c>
      <c r="P28" s="14" t="str">
        <f>IF(tblHorasDez[Horas Trabalhadas Além Jornada]&lt;0,IF(OR(tblHorasDez[Evento 
(1º Período)]="",tblHorasDez[Evento 
(2º Período)]=""),tblHorasDez[Horas Trabalhadas Além Jornada],""),"")</f>
        <v/>
      </c>
      <c r="Q28" s="14" t="str">
        <f>IF(tblHorasDez[Jornada Diária]&lt;&gt;"",IF((N(tblHorasDez[Jornada Diária])-ABS(N(tblHorasDez[Horas Trabalhadas Além Jornada])))=0,1,""),"")</f>
        <v/>
      </c>
      <c r="R28" s="14" t="str">
        <f>IF(tblHorasDez[Horas Trabalhadas Além Jornada]&gt;0,
IF(AND(VLOOKUP(TEXT(tblHorasDez[Data],"dddd"),tblDiaUtil[],3,FALSE)="Sim",IF(tblHorasDez[Evento 
(1º Período)]&lt;&gt;"",IF(VLOOKUP(tblHorasDez[Evento 
(1º Período)],tblEvento[],Tabelas!$E$1,FALSE)="Sim",FALSE,TRUE),TRUE),IF(tblHorasDez[Evento 
(2º Período)]&lt;&gt;"",IF(VLOOKUP(tblHorasDez[Evento 
(2º Período)],tblEvento[],Tabelas!$E$1,FALSE)="Sim",FALSE,TRUE),TRUE)),
tblHorasDez[Horas Trabalhadas Além Jornada],""),"")</f>
        <v/>
      </c>
      <c r="S28" s="14" t="str">
        <f>IF(tblHorasDez[Horas Trabalhadas Além Jornada]&gt;0,
IF(OR(VLOOKUP(TEXT(tblHorasDez[Data],"dddd"),tblDiaUtil[],3,FALSE)="Não",IF(tblHorasDez[Evento 
(1º Período)]&lt;&gt;"",IF(VLOOKUP(tblHorasDez[Evento 
(1º Período)],tblEvento[],Tabelas!$E$1,FALSE)="Sim",TRUE,FALSE),FALSE),IF(tblHorasDez[Evento 
(2º Período)]&lt;&gt;"",IF(VLOOKUP(tblHorasDez[Evento 
(2º Período)],tblEvento[],Tabelas!$E$1,FALSE)="Sim",TRUE,FALSE),FALSE)),
tblHorasDez[Horas Trabalhadas Além Jornada],""),"")</f>
        <v/>
      </c>
      <c r="T28" s="15" t="str">
        <f>IF(tblHorasDez[Evento 
(1º Período)]&lt;&gt;""," - " &amp;VLOOKUP(tblHorasDez[Evento 
(1º Período)],tblEvento[],Tabelas!$F$1,FALSE),"")&amp;IF(AND(tblHorasDez[Evento 
(2º Período)]&lt;&gt;"",tblHorasDez[Evento 
(2º Período)]&lt;&gt;tblHorasDez[Evento 
(1º Período)])," - " &amp; VLOOKUP(tblHorasDez[Evento 
(2º Período)],tblEvento[],Tabelas!$F$1,FALSE),"")</f>
        <v/>
      </c>
    </row>
    <row r="29" spans="2:20" x14ac:dyDescent="0.25">
      <c r="B29" s="11" t="str">
        <f t="shared" si="0"/>
        <v/>
      </c>
      <c r="C29" s="12" t="str">
        <f>TEXT(tblHorasDez[Data],"ddd")</f>
        <v/>
      </c>
      <c r="D29" s="25"/>
      <c r="E29" s="1"/>
      <c r="F29" s="1"/>
      <c r="G29" s="1"/>
      <c r="H29" s="1"/>
      <c r="I29" s="53"/>
      <c r="J29" s="4">
        <f>IF($B$6&lt;&gt;"",
IF(AND(tblHorasDez[Evento 
(1º Período)]&lt;&gt;"",IF(ISERROR(VLOOKUP(tblHorasDez[Evento 
(1º Período)],tblEvento[],Tabelas!$D$1,FALSE)),FALSE,VLOOKUP(tblHorasDez[Evento 
(1º Período)],tblEvento[],Tabelas!$D$1,FALSE)="Sim")),
        IF(JORNADA_PERIODO_1&lt;&gt;"",
IF(VLOOKUP(tblHorasDez[Dia],tblDiaUtil[[Abreviatura]:[1º Período]],3,FALSE)&gt;0,VLOOKUP(tblHorasDez[Dia],tblDiaUtil[[Abreviatura]:[1º Período]],3,FALSE),JORNADA_PERIODO_1),
IF(VLOOKUP(tblHorasDez[Dia],tblDiaUtil[[Abreviatura]:[1º Período]],3,FALSE)&gt;0,VLOOKUP(tblHorasDez[Dia],tblDiaUtil[[Abreviatura]:[1º Período]],3,FALSE),JORNADA/2)),
        IF(AND(ISNUMBER(tblHorasDez[Saída - 1 (Almoço)]),ISNUMBER(tblHorasDez[Entrada - 1])),
              IF(OR(AND(tblHorasDez[Evento 
(1º Período)]&lt;&gt;"",IF(ISERROR(VLOOKUP(tblHorasDez[Evento 
(1º Período)],tblEvento[],Tabelas!$E$1,FALSE)),FALSE,VLOOKUP(tblHorasDez[Evento 
(1º Período)],tblEvento[],Tabelas!$E$1,FALSE)="Sim")),IF(VLOOKUP(TEXT(tblHorasDez[Data],"dddd"),tblDiaUtil[],2,FALSE)="Não",TRUE,FALSE)),
                   tblHorasDez[Saída - 1 (Almoço)]-tblHorasDez[Entrada - 1],
                   IF(OR(HOUR(tblHorasDez[Saída - 1 (Almoço)]-tblHorasDez[Entrada - 1])&gt;0,ROUND(tblHorasDez[Saída - 1 (Almoço)]-tblHorasDez[Entrada - 1],6)&gt;ROUND(CARENCIA,6)),
                          tblHorasDez[Saída - 1 (Almoço)]-tblHorasDez[Entrada - 1],
                          0)),
                    0)),0)</f>
        <v>0</v>
      </c>
      <c r="K29" s="4">
        <f>IF($B$6&lt;&gt;"",
IF(AND(tblHorasDez[Evento 
(2º Período)]&lt;&gt;"",IF(ISERROR(VLOOKUP(tblHorasDez[Evento 
(2º Período)],tblEvento[],Tabelas!$D$1,FALSE)),FALSE,VLOOKUP(tblHorasDez[Evento 
(2º Período)],tblEvento[],Tabelas!$D$1,FALSE)="Sim")),
        IF(JORNADA_PERIODO_2&lt;&gt;"",
IF(VLOOKUP(tblHorasDez[Dia],tblDiaUtil[[Abreviatura]:[2º Período]],4,FALSE)&gt;0,VLOOKUP(tblHorasDez[Dia],tblDiaUtil[[Abreviatura]:[2º Período]],4,FALSE),JORNADA_PERIODO_2),
IF(VLOOKUP(tblHorasDez[Dia],tblDiaUtil[[Abreviatura]:[2º Período]],4,FALSE)&gt;0,VLOOKUP(tblHorasDez[Dia],tblDiaUtil[[Abreviatura]:[2º Período]],4,FALSE),JORNADA/2)),
        IF(AND(ISNUMBER(tblHorasDez[Saída - 2]),ISNUMBER(tblHorasDez[Entrada - 2 (Almoço)])),
              IF(OR(AND(tblHorasDez[Evento 
(2º Período)]&lt;&gt;"",IF(ISERROR(VLOOKUP(tblHorasDez[Evento 
(2º Período)],tblEvento[],Tabelas!$E$1,FALSE)),FALSE,VLOOKUP(tblHorasDez[Evento 
(2º Período)],tblEvento[],Tabelas!$E$1,FALSE)="Sim")),IF(VLOOKUP(TEXT(tblHorasDez[Data],"dddd"),tblDiaUtil[],2,FALSE)="Não",TRUE,FALSE)),
                   tblHorasDez[Saída - 2]-tblHorasDez[Entrada - 2 (Almoço)],
                   IF(OR(HOUR(tblHorasDez[Saída - 2]-tblHorasDez[Entrada - 2 (Almoço)])&gt;0,MINUTE(tblHorasDez[Saída - 2]-tblHorasDez[Entrada - 2 (Almoço)])&gt;CARENCIA),
                         tblHorasDez[Saída - 2]-tblHorasDez[Entrada - 2 (Almoço)],
                         0)),
       0)),0)</f>
        <v>0</v>
      </c>
      <c r="L29" s="4">
        <f>tblHorasDez[Horas Trabalhadas (1º Período)]+tblHorasDez[Horas Trabalhadas (2º Período)]</f>
        <v>0</v>
      </c>
      <c r="M29" s="4" t="str">
        <f>IF(tblHorasDez[Data]&lt;&gt;"",
        IF(
AND(VLOOKUP(TEXT(tblHorasDez[Data],"dddd"),tblDiaUtil[],3,FALSE)="Sim",IF(tblHorasDez[Evento 
(1º Período)]&lt;&gt;"",IF(VLOOKUP(tblHorasDez[Evento 
(1º Período)],tblEvento[],Tabelas!$E$1,FALSE)="Sim",FALSE,TRUE),TRUE),IF(tblHorasDez[Evento 
(2º Período)]&lt;&gt;"",IF(VLOOKUP(tblHorasDez[Evento 
(2º Período)],tblEvento[],Tabelas!$E$1,FALSE)="Sim",FALSE,TRUE),TRUE)),
              IF(VLOOKUP(tblHorasDez[Dia],tblDiaUtil[[Abreviatura]:[1º Período]],3,FALSE)&gt;0,VLOOKUP(tblHorasDez[Dia],tblDiaUtil[[Abreviatura]:[1º Período]],3,FALSE),JORNADA),
              ""),
         "")</f>
        <v/>
      </c>
      <c r="N29" s="14">
        <f>IF(OR(tblHorasDez[Horas Trabalhadas (1º Período)]&lt;&gt;0,tblHorasDez[Horas Trabalhadas (2º Período)]&lt;&gt;0),
        IF(ISNUMBER(tblHorasDez[Jornada Diária]),
              IF(tblHorasDez[Jornada Diária]&gt;(tblHorasDez[Horas Trabalhadas (2º Período)]+tblHorasDez[Horas Trabalhadas (1º Período)]),
                     IF(ROUND((tblHorasDez[Jornada Diária]-(tblHorasDez[Horas Trabalhadas (2º Período)]+tblHorasDez[Horas Trabalhadas (1º Período)])),6)&gt;ROUND(CARENCIA,6),
                           -tblHorasDez[Jornada Diária]+(tblHorasDez[Horas Trabalhadas (2º Período)]+tblHorasDez[Horas Trabalhadas (1º Período)]),
                           0),
                      IF(ROUND((tblHorasDez[Jornada Diária]-(tblHorasDez[Horas Trabalhadas (2º Período)]+tblHorasDez[Horas Trabalhadas (1º Período)])),6)&lt;ROUND(-CARENCIA,6),
                           -tblHorasDez[Jornada Diária]+(tblHorasDez[Horas Trabalhadas (2º Período)]+tblHorasDez[Horas Trabalhadas (1º Período)]),
                           0)),
              tblHorasDez[Horas Trabalhadas (2º Período)]+tblHorasDez[Horas Trabalhadas (1º Período)]),
         IF(AND(IF(ISERROR(VLOOKUP(tblHorasDez[Evento 
(1º Período)],tblEvento[[Evento]:[Libera o Período]],4,FALSE)),FALSE,IF(VLOOKUP(tblHorasDez[Evento 
(1º Período)],tblEvento[[Evento]:[Libera o Período]],4,FALSE)="Não",TRUE,FALSE)),IF(ISERROR(VLOOKUP(tblHorasDez[Evento 
(2º Período)],tblEvento[[Evento]:[Libera o Período]],4,FALSE)),FALSE,IF(VLOOKUP(tblHorasDez[Evento 
(2º Período)],tblEvento[[Evento]:[Libera o Período]],4,FALSE)="Não",TRUE,FALSE))),
-IF(VLOOKUP(tblHorasDez[Dia],tblDiaUtil[[Abreviatura]:[Total Jornada]],5,FALSE)&lt;&gt;"",VLOOKUP(tblHorasDez[Dia],tblDiaUtil[[Abreviatura]:[Total Jornada]],5,FALSE),JORNADA),
IF(IF(ISERROR(VLOOKUP(tblHorasDez[Evento 
(1º Período)],tblEvento[[Evento]:[Libera o Período]],4,FALSE)),FALSE,
IF(VLOOKUP(tblHorasDez[Evento 
(1º Período)],tblEvento[[Evento]:[Libera o Período]],4,FALSE)="Não",TRUE,FALSE)
),
-IF(VLOOKUP(tblHorasDez[Dia],tblDiaUtil[[Abreviatura]:[1º Período]],3,FALSE)&lt;&gt;"",VLOOKUP(tblHorasDez[Dia],tblDiaUtil[[Abreviatura]:[1º Período]],3,FALSE),JORNADA_PERIODO_1),
IF(IF(ISERROR(VLOOKUP(tblHorasDez[Evento 
(2º Período)],tblEvento[[Evento]:[Libera o Período]],4,FALSE)),FALSE,IF(VLOOKUP(tblHorasDez[Evento 
(2º Período)],tblEvento[[Evento]:[Libera o Período]],4,FALSE)="Não",TRUE,FALSE)),
-IF(VLOOKUP(tblHorasDez[Dia],tblDiaUtil[[Abreviatura]:[2º Período]],4,FALSE)&lt;&gt;"",VLOOKUP(tblHorasDez[Dia],tblDiaUtil[[Abreviatura]:[2º Período]],4,FALSE),JORNADA_PERIODO_2),0))))</f>
        <v>0</v>
      </c>
      <c r="O29" s="14">
        <f>IF(tblHorasDez[Horas Trabalhadas Além Jornada]&gt;0,
        IF(ISNUMBER(tblHorasDez[Jornada Diária]),
              IF(HOUR(tblHorasDez[Horas Trabalhadas Além Jornada])&gt;=VLOOKUP(LIMITE,tblLimiteHora[],Tabelas!$I$1,FALSE),
                    VLOOKUP(LIMITE,tblLimiteHora[],Tabelas!$J$1,FALSE),
                    tblHorasDez[Horas Trabalhadas Além Jornada]),
              tblHorasDez[Horas Trabalhadas Além Jornada]),
        tblHorasDez[Horas Trabalhadas Além Jornada])+O28</f>
        <v>0</v>
      </c>
      <c r="P29" s="14" t="str">
        <f>IF(tblHorasDez[Horas Trabalhadas Além Jornada]&lt;0,IF(OR(tblHorasDez[Evento 
(1º Período)]="",tblHorasDez[Evento 
(2º Período)]=""),tblHorasDez[Horas Trabalhadas Além Jornada],""),"")</f>
        <v/>
      </c>
      <c r="Q29" s="14" t="str">
        <f>IF(tblHorasDez[Jornada Diária]&lt;&gt;"",IF((N(tblHorasDez[Jornada Diária])-ABS(N(tblHorasDez[Horas Trabalhadas Além Jornada])))=0,1,""),"")</f>
        <v/>
      </c>
      <c r="R29" s="14" t="str">
        <f>IF(tblHorasDez[Horas Trabalhadas Além Jornada]&gt;0,
IF(AND(VLOOKUP(TEXT(tblHorasDez[Data],"dddd"),tblDiaUtil[],3,FALSE)="Sim",IF(tblHorasDez[Evento 
(1º Período)]&lt;&gt;"",IF(VLOOKUP(tblHorasDez[Evento 
(1º Período)],tblEvento[],Tabelas!$E$1,FALSE)="Sim",FALSE,TRUE),TRUE),IF(tblHorasDez[Evento 
(2º Período)]&lt;&gt;"",IF(VLOOKUP(tblHorasDez[Evento 
(2º Período)],tblEvento[],Tabelas!$E$1,FALSE)="Sim",FALSE,TRUE),TRUE)),
tblHorasDez[Horas Trabalhadas Além Jornada],""),"")</f>
        <v/>
      </c>
      <c r="S29" s="14" t="str">
        <f>IF(tblHorasDez[Horas Trabalhadas Além Jornada]&gt;0,
IF(OR(VLOOKUP(TEXT(tblHorasDez[Data],"dddd"),tblDiaUtil[],3,FALSE)="Não",IF(tblHorasDez[Evento 
(1º Período)]&lt;&gt;"",IF(VLOOKUP(tblHorasDez[Evento 
(1º Período)],tblEvento[],Tabelas!$E$1,FALSE)="Sim",TRUE,FALSE),FALSE),IF(tblHorasDez[Evento 
(2º Período)]&lt;&gt;"",IF(VLOOKUP(tblHorasDez[Evento 
(2º Período)],tblEvento[],Tabelas!$E$1,FALSE)="Sim",TRUE,FALSE),FALSE)),
tblHorasDez[Horas Trabalhadas Além Jornada],""),"")</f>
        <v/>
      </c>
      <c r="T29" s="15" t="str">
        <f>IF(tblHorasDez[Evento 
(1º Período)]&lt;&gt;""," - " &amp;VLOOKUP(tblHorasDez[Evento 
(1º Período)],tblEvento[],Tabelas!$F$1,FALSE),"")&amp;IF(AND(tblHorasDez[Evento 
(2º Período)]&lt;&gt;"",tblHorasDez[Evento 
(2º Período)]&lt;&gt;tblHorasDez[Evento 
(1º Período)])," - " &amp; VLOOKUP(tblHorasDez[Evento 
(2º Período)],tblEvento[],Tabelas!$F$1,FALSE),"")</f>
        <v/>
      </c>
    </row>
    <row r="30" spans="2:20" x14ac:dyDescent="0.25">
      <c r="B30" s="11" t="str">
        <f t="shared" si="0"/>
        <v/>
      </c>
      <c r="C30" s="12" t="str">
        <f>TEXT(tblHorasDez[Data],"ddd")</f>
        <v/>
      </c>
      <c r="D30" s="25"/>
      <c r="E30" s="1"/>
      <c r="F30" s="1"/>
      <c r="G30" s="1"/>
      <c r="H30" s="1"/>
      <c r="I30" s="53"/>
      <c r="J30" s="4">
        <f>IF($B$6&lt;&gt;"",
IF(AND(tblHorasDez[Evento 
(1º Período)]&lt;&gt;"",IF(ISERROR(VLOOKUP(tblHorasDez[Evento 
(1º Período)],tblEvento[],Tabelas!$D$1,FALSE)),FALSE,VLOOKUP(tblHorasDez[Evento 
(1º Período)],tblEvento[],Tabelas!$D$1,FALSE)="Sim")),
        IF(JORNADA_PERIODO_1&lt;&gt;"",
IF(VLOOKUP(tblHorasDez[Dia],tblDiaUtil[[Abreviatura]:[1º Período]],3,FALSE)&gt;0,VLOOKUP(tblHorasDez[Dia],tblDiaUtil[[Abreviatura]:[1º Período]],3,FALSE),JORNADA_PERIODO_1),
IF(VLOOKUP(tblHorasDez[Dia],tblDiaUtil[[Abreviatura]:[1º Período]],3,FALSE)&gt;0,VLOOKUP(tblHorasDez[Dia],tblDiaUtil[[Abreviatura]:[1º Período]],3,FALSE),JORNADA/2)),
        IF(AND(ISNUMBER(tblHorasDez[Saída - 1 (Almoço)]),ISNUMBER(tblHorasDez[Entrada - 1])),
              IF(OR(AND(tblHorasDez[Evento 
(1º Período)]&lt;&gt;"",IF(ISERROR(VLOOKUP(tblHorasDez[Evento 
(1º Período)],tblEvento[],Tabelas!$E$1,FALSE)),FALSE,VLOOKUP(tblHorasDez[Evento 
(1º Período)],tblEvento[],Tabelas!$E$1,FALSE)="Sim")),IF(VLOOKUP(TEXT(tblHorasDez[Data],"dddd"),tblDiaUtil[],2,FALSE)="Não",TRUE,FALSE)),
                   tblHorasDez[Saída - 1 (Almoço)]-tblHorasDez[Entrada - 1],
                   IF(OR(HOUR(tblHorasDez[Saída - 1 (Almoço)]-tblHorasDez[Entrada - 1])&gt;0,ROUND(tblHorasDez[Saída - 1 (Almoço)]-tblHorasDez[Entrada - 1],6)&gt;ROUND(CARENCIA,6)),
                          tblHorasDez[Saída - 1 (Almoço)]-tblHorasDez[Entrada - 1],
                          0)),
                    0)),0)</f>
        <v>0</v>
      </c>
      <c r="K30" s="4">
        <f>IF($B$6&lt;&gt;"",
IF(AND(tblHorasDez[Evento 
(2º Período)]&lt;&gt;"",IF(ISERROR(VLOOKUP(tblHorasDez[Evento 
(2º Período)],tblEvento[],Tabelas!$D$1,FALSE)),FALSE,VLOOKUP(tblHorasDez[Evento 
(2º Período)],tblEvento[],Tabelas!$D$1,FALSE)="Sim")),
        IF(JORNADA_PERIODO_2&lt;&gt;"",
IF(VLOOKUP(tblHorasDez[Dia],tblDiaUtil[[Abreviatura]:[2º Período]],4,FALSE)&gt;0,VLOOKUP(tblHorasDez[Dia],tblDiaUtil[[Abreviatura]:[2º Período]],4,FALSE),JORNADA_PERIODO_2),
IF(VLOOKUP(tblHorasDez[Dia],tblDiaUtil[[Abreviatura]:[2º Período]],4,FALSE)&gt;0,VLOOKUP(tblHorasDez[Dia],tblDiaUtil[[Abreviatura]:[2º Período]],4,FALSE),JORNADA/2)),
        IF(AND(ISNUMBER(tblHorasDez[Saída - 2]),ISNUMBER(tblHorasDez[Entrada - 2 (Almoço)])),
              IF(OR(AND(tblHorasDez[Evento 
(2º Período)]&lt;&gt;"",IF(ISERROR(VLOOKUP(tblHorasDez[Evento 
(2º Período)],tblEvento[],Tabelas!$E$1,FALSE)),FALSE,VLOOKUP(tblHorasDez[Evento 
(2º Período)],tblEvento[],Tabelas!$E$1,FALSE)="Sim")),IF(VLOOKUP(TEXT(tblHorasDez[Data],"dddd"),tblDiaUtil[],2,FALSE)="Não",TRUE,FALSE)),
                   tblHorasDez[Saída - 2]-tblHorasDez[Entrada - 2 (Almoço)],
                   IF(OR(HOUR(tblHorasDez[Saída - 2]-tblHorasDez[Entrada - 2 (Almoço)])&gt;0,MINUTE(tblHorasDez[Saída - 2]-tblHorasDez[Entrada - 2 (Almoço)])&gt;CARENCIA),
                         tblHorasDez[Saída - 2]-tblHorasDez[Entrada - 2 (Almoço)],
                         0)),
       0)),0)</f>
        <v>0</v>
      </c>
      <c r="L30" s="4">
        <f>tblHorasDez[Horas Trabalhadas (1º Período)]+tblHorasDez[Horas Trabalhadas (2º Período)]</f>
        <v>0</v>
      </c>
      <c r="M30" s="4" t="str">
        <f>IF(tblHorasDez[Data]&lt;&gt;"",
        IF(
AND(VLOOKUP(TEXT(tblHorasDez[Data],"dddd"),tblDiaUtil[],3,FALSE)="Sim",IF(tblHorasDez[Evento 
(1º Período)]&lt;&gt;"",IF(VLOOKUP(tblHorasDez[Evento 
(1º Período)],tblEvento[],Tabelas!$E$1,FALSE)="Sim",FALSE,TRUE),TRUE),IF(tblHorasDez[Evento 
(2º Período)]&lt;&gt;"",IF(VLOOKUP(tblHorasDez[Evento 
(2º Período)],tblEvento[],Tabelas!$E$1,FALSE)="Sim",FALSE,TRUE),TRUE)),
              IF(VLOOKUP(tblHorasDez[Dia],tblDiaUtil[[Abreviatura]:[1º Período]],3,FALSE)&gt;0,VLOOKUP(tblHorasDez[Dia],tblDiaUtil[[Abreviatura]:[1º Período]],3,FALSE),JORNADA),
              ""),
         "")</f>
        <v/>
      </c>
      <c r="N30" s="14">
        <f>IF(OR(tblHorasDez[Horas Trabalhadas (1º Período)]&lt;&gt;0,tblHorasDez[Horas Trabalhadas (2º Período)]&lt;&gt;0),
        IF(ISNUMBER(tblHorasDez[Jornada Diária]),
              IF(tblHorasDez[Jornada Diária]&gt;(tblHorasDez[Horas Trabalhadas (2º Período)]+tblHorasDez[Horas Trabalhadas (1º Período)]),
                     IF(ROUND((tblHorasDez[Jornada Diária]-(tblHorasDez[Horas Trabalhadas (2º Período)]+tblHorasDez[Horas Trabalhadas (1º Período)])),6)&gt;ROUND(CARENCIA,6),
                           -tblHorasDez[Jornada Diária]+(tblHorasDez[Horas Trabalhadas (2º Período)]+tblHorasDez[Horas Trabalhadas (1º Período)]),
                           0),
                      IF(ROUND((tblHorasDez[Jornada Diária]-(tblHorasDez[Horas Trabalhadas (2º Período)]+tblHorasDez[Horas Trabalhadas (1º Período)])),6)&lt;ROUND(-CARENCIA,6),
                           -tblHorasDez[Jornada Diária]+(tblHorasDez[Horas Trabalhadas (2º Período)]+tblHorasDez[Horas Trabalhadas (1º Período)]),
                           0)),
              tblHorasDez[Horas Trabalhadas (2º Período)]+tblHorasDez[Horas Trabalhadas (1º Período)]),
         IF(AND(IF(ISERROR(VLOOKUP(tblHorasDez[Evento 
(1º Período)],tblEvento[[Evento]:[Libera o Período]],4,FALSE)),FALSE,IF(VLOOKUP(tblHorasDez[Evento 
(1º Período)],tblEvento[[Evento]:[Libera o Período]],4,FALSE)="Não",TRUE,FALSE)),IF(ISERROR(VLOOKUP(tblHorasDez[Evento 
(2º Período)],tblEvento[[Evento]:[Libera o Período]],4,FALSE)),FALSE,IF(VLOOKUP(tblHorasDez[Evento 
(2º Período)],tblEvento[[Evento]:[Libera o Período]],4,FALSE)="Não",TRUE,FALSE))),
-IF(VLOOKUP(tblHorasDez[Dia],tblDiaUtil[[Abreviatura]:[Total Jornada]],5,FALSE)&lt;&gt;"",VLOOKUP(tblHorasDez[Dia],tblDiaUtil[[Abreviatura]:[Total Jornada]],5,FALSE),JORNADA),
IF(IF(ISERROR(VLOOKUP(tblHorasDez[Evento 
(1º Período)],tblEvento[[Evento]:[Libera o Período]],4,FALSE)),FALSE,
IF(VLOOKUP(tblHorasDez[Evento 
(1º Período)],tblEvento[[Evento]:[Libera o Período]],4,FALSE)="Não",TRUE,FALSE)
),
-IF(VLOOKUP(tblHorasDez[Dia],tblDiaUtil[[Abreviatura]:[1º Período]],3,FALSE)&lt;&gt;"",VLOOKUP(tblHorasDez[Dia],tblDiaUtil[[Abreviatura]:[1º Período]],3,FALSE),JORNADA_PERIODO_1),
IF(IF(ISERROR(VLOOKUP(tblHorasDez[Evento 
(2º Período)],tblEvento[[Evento]:[Libera o Período]],4,FALSE)),FALSE,IF(VLOOKUP(tblHorasDez[Evento 
(2º Período)],tblEvento[[Evento]:[Libera o Período]],4,FALSE)="Não",TRUE,FALSE)),
-IF(VLOOKUP(tblHorasDez[Dia],tblDiaUtil[[Abreviatura]:[2º Período]],4,FALSE)&lt;&gt;"",VLOOKUP(tblHorasDez[Dia],tblDiaUtil[[Abreviatura]:[2º Período]],4,FALSE),JORNADA_PERIODO_2),0))))</f>
        <v>0</v>
      </c>
      <c r="O30" s="14">
        <f>IF(tblHorasDez[Horas Trabalhadas Além Jornada]&gt;0,
        IF(ISNUMBER(tblHorasDez[Jornada Diária]),
              IF(HOUR(tblHorasDez[Horas Trabalhadas Além Jornada])&gt;=VLOOKUP(LIMITE,tblLimiteHora[],Tabelas!$I$1,FALSE),
                    VLOOKUP(LIMITE,tblLimiteHora[],Tabelas!$J$1,FALSE),
                    tblHorasDez[Horas Trabalhadas Além Jornada]),
              tblHorasDez[Horas Trabalhadas Além Jornada]),
        tblHorasDez[Horas Trabalhadas Além Jornada])+O29</f>
        <v>0</v>
      </c>
      <c r="P30" s="14" t="str">
        <f>IF(tblHorasDez[Horas Trabalhadas Além Jornada]&lt;0,IF(OR(tblHorasDez[Evento 
(1º Período)]="",tblHorasDez[Evento 
(2º Período)]=""),tblHorasDez[Horas Trabalhadas Além Jornada],""),"")</f>
        <v/>
      </c>
      <c r="Q30" s="14" t="str">
        <f>IF(tblHorasDez[Jornada Diária]&lt;&gt;"",IF((N(tblHorasDez[Jornada Diária])-ABS(N(tblHorasDez[Horas Trabalhadas Além Jornada])))=0,1,""),"")</f>
        <v/>
      </c>
      <c r="R30" s="14" t="str">
        <f>IF(tblHorasDez[Horas Trabalhadas Além Jornada]&gt;0,
IF(AND(VLOOKUP(TEXT(tblHorasDez[Data],"dddd"),tblDiaUtil[],3,FALSE)="Sim",IF(tblHorasDez[Evento 
(1º Período)]&lt;&gt;"",IF(VLOOKUP(tblHorasDez[Evento 
(1º Período)],tblEvento[],Tabelas!$E$1,FALSE)="Sim",FALSE,TRUE),TRUE),IF(tblHorasDez[Evento 
(2º Período)]&lt;&gt;"",IF(VLOOKUP(tblHorasDez[Evento 
(2º Período)],tblEvento[],Tabelas!$E$1,FALSE)="Sim",FALSE,TRUE),TRUE)),
tblHorasDez[Horas Trabalhadas Além Jornada],""),"")</f>
        <v/>
      </c>
      <c r="S30" s="14" t="str">
        <f>IF(tblHorasDez[Horas Trabalhadas Além Jornada]&gt;0,
IF(OR(VLOOKUP(TEXT(tblHorasDez[Data],"dddd"),tblDiaUtil[],3,FALSE)="Não",IF(tblHorasDez[Evento 
(1º Período)]&lt;&gt;"",IF(VLOOKUP(tblHorasDez[Evento 
(1º Período)],tblEvento[],Tabelas!$E$1,FALSE)="Sim",TRUE,FALSE),FALSE),IF(tblHorasDez[Evento 
(2º Período)]&lt;&gt;"",IF(VLOOKUP(tblHorasDez[Evento 
(2º Período)],tblEvento[],Tabelas!$E$1,FALSE)="Sim",TRUE,FALSE),FALSE)),
tblHorasDez[Horas Trabalhadas Além Jornada],""),"")</f>
        <v/>
      </c>
      <c r="T30" s="15" t="str">
        <f>IF(tblHorasDez[Evento 
(1º Período)]&lt;&gt;""," - " &amp;VLOOKUP(tblHorasDez[Evento 
(1º Período)],tblEvento[],Tabelas!$F$1,FALSE),"")&amp;IF(AND(tblHorasDez[Evento 
(2º Período)]&lt;&gt;"",tblHorasDez[Evento 
(2º Período)]&lt;&gt;tblHorasDez[Evento 
(1º Período)])," - " &amp; VLOOKUP(tblHorasDez[Evento 
(2º Período)],tblEvento[],Tabelas!$F$1,FALSE),"")</f>
        <v/>
      </c>
    </row>
    <row r="31" spans="2:20" x14ac:dyDescent="0.25">
      <c r="B31" s="11" t="str">
        <f t="shared" si="0"/>
        <v/>
      </c>
      <c r="C31" s="12" t="str">
        <f>TEXT(tblHorasDez[Data],"ddd")</f>
        <v/>
      </c>
      <c r="D31" s="25"/>
      <c r="E31" s="1"/>
      <c r="F31" s="1"/>
      <c r="G31" s="1"/>
      <c r="H31" s="1"/>
      <c r="I31" s="53"/>
      <c r="J31" s="4">
        <f>IF($B$6&lt;&gt;"",
IF(AND(tblHorasDez[Evento 
(1º Período)]&lt;&gt;"",IF(ISERROR(VLOOKUP(tblHorasDez[Evento 
(1º Período)],tblEvento[],Tabelas!$D$1,FALSE)),FALSE,VLOOKUP(tblHorasDez[Evento 
(1º Período)],tblEvento[],Tabelas!$D$1,FALSE)="Sim")),
        IF(JORNADA_PERIODO_1&lt;&gt;"",
IF(VLOOKUP(tblHorasDez[Dia],tblDiaUtil[[Abreviatura]:[1º Período]],3,FALSE)&gt;0,VLOOKUP(tblHorasDez[Dia],tblDiaUtil[[Abreviatura]:[1º Período]],3,FALSE),JORNADA_PERIODO_1),
IF(VLOOKUP(tblHorasDez[Dia],tblDiaUtil[[Abreviatura]:[1º Período]],3,FALSE)&gt;0,VLOOKUP(tblHorasDez[Dia],tblDiaUtil[[Abreviatura]:[1º Período]],3,FALSE),JORNADA/2)),
        IF(AND(ISNUMBER(tblHorasDez[Saída - 1 (Almoço)]),ISNUMBER(tblHorasDez[Entrada - 1])),
              IF(OR(AND(tblHorasDez[Evento 
(1º Período)]&lt;&gt;"",IF(ISERROR(VLOOKUP(tblHorasDez[Evento 
(1º Período)],tblEvento[],Tabelas!$E$1,FALSE)),FALSE,VLOOKUP(tblHorasDez[Evento 
(1º Período)],tblEvento[],Tabelas!$E$1,FALSE)="Sim")),IF(VLOOKUP(TEXT(tblHorasDez[Data],"dddd"),tblDiaUtil[],2,FALSE)="Não",TRUE,FALSE)),
                   tblHorasDez[Saída - 1 (Almoço)]-tblHorasDez[Entrada - 1],
                   IF(OR(HOUR(tblHorasDez[Saída - 1 (Almoço)]-tblHorasDez[Entrada - 1])&gt;0,ROUND(tblHorasDez[Saída - 1 (Almoço)]-tblHorasDez[Entrada - 1],6)&gt;ROUND(CARENCIA,6)),
                          tblHorasDez[Saída - 1 (Almoço)]-tblHorasDez[Entrada - 1],
                          0)),
                    0)),0)</f>
        <v>0</v>
      </c>
      <c r="K31" s="4">
        <f>IF($B$6&lt;&gt;"",
IF(AND(tblHorasDez[Evento 
(2º Período)]&lt;&gt;"",IF(ISERROR(VLOOKUP(tblHorasDez[Evento 
(2º Período)],tblEvento[],Tabelas!$D$1,FALSE)),FALSE,VLOOKUP(tblHorasDez[Evento 
(2º Período)],tblEvento[],Tabelas!$D$1,FALSE)="Sim")),
        IF(JORNADA_PERIODO_2&lt;&gt;"",
IF(VLOOKUP(tblHorasDez[Dia],tblDiaUtil[[Abreviatura]:[2º Período]],4,FALSE)&gt;0,VLOOKUP(tblHorasDez[Dia],tblDiaUtil[[Abreviatura]:[2º Período]],4,FALSE),JORNADA_PERIODO_2),
IF(VLOOKUP(tblHorasDez[Dia],tblDiaUtil[[Abreviatura]:[2º Período]],4,FALSE)&gt;0,VLOOKUP(tblHorasDez[Dia],tblDiaUtil[[Abreviatura]:[2º Período]],4,FALSE),JORNADA/2)),
        IF(AND(ISNUMBER(tblHorasDez[Saída - 2]),ISNUMBER(tblHorasDez[Entrada - 2 (Almoço)])),
              IF(OR(AND(tblHorasDez[Evento 
(2º Período)]&lt;&gt;"",IF(ISERROR(VLOOKUP(tblHorasDez[Evento 
(2º Período)],tblEvento[],Tabelas!$E$1,FALSE)),FALSE,VLOOKUP(tblHorasDez[Evento 
(2º Período)],tblEvento[],Tabelas!$E$1,FALSE)="Sim")),IF(VLOOKUP(TEXT(tblHorasDez[Data],"dddd"),tblDiaUtil[],2,FALSE)="Não",TRUE,FALSE)),
                   tblHorasDez[Saída - 2]-tblHorasDez[Entrada - 2 (Almoço)],
                   IF(OR(HOUR(tblHorasDez[Saída - 2]-tblHorasDez[Entrada - 2 (Almoço)])&gt;0,MINUTE(tblHorasDez[Saída - 2]-tblHorasDez[Entrada - 2 (Almoço)])&gt;CARENCIA),
                         tblHorasDez[Saída - 2]-tblHorasDez[Entrada - 2 (Almoço)],
                         0)),
       0)),0)</f>
        <v>0</v>
      </c>
      <c r="L31" s="4">
        <f>tblHorasDez[Horas Trabalhadas (1º Período)]+tblHorasDez[Horas Trabalhadas (2º Período)]</f>
        <v>0</v>
      </c>
      <c r="M31" s="4" t="str">
        <f>IF(tblHorasDez[Data]&lt;&gt;"",
        IF(
AND(VLOOKUP(TEXT(tblHorasDez[Data],"dddd"),tblDiaUtil[],3,FALSE)="Sim",IF(tblHorasDez[Evento 
(1º Período)]&lt;&gt;"",IF(VLOOKUP(tblHorasDez[Evento 
(1º Período)],tblEvento[],Tabelas!$E$1,FALSE)="Sim",FALSE,TRUE),TRUE),IF(tblHorasDez[Evento 
(2º Período)]&lt;&gt;"",IF(VLOOKUP(tblHorasDez[Evento 
(2º Período)],tblEvento[],Tabelas!$E$1,FALSE)="Sim",FALSE,TRUE),TRUE)),
              IF(VLOOKUP(tblHorasDez[Dia],tblDiaUtil[[Abreviatura]:[1º Período]],3,FALSE)&gt;0,VLOOKUP(tblHorasDez[Dia],tblDiaUtil[[Abreviatura]:[1º Período]],3,FALSE),JORNADA),
              ""),
         "")</f>
        <v/>
      </c>
      <c r="N31" s="14">
        <f>IF(OR(tblHorasDez[Horas Trabalhadas (1º Período)]&lt;&gt;0,tblHorasDez[Horas Trabalhadas (2º Período)]&lt;&gt;0),
        IF(ISNUMBER(tblHorasDez[Jornada Diária]),
              IF(tblHorasDez[Jornada Diária]&gt;(tblHorasDez[Horas Trabalhadas (2º Período)]+tblHorasDez[Horas Trabalhadas (1º Período)]),
                     IF(ROUND((tblHorasDez[Jornada Diária]-(tblHorasDez[Horas Trabalhadas (2º Período)]+tblHorasDez[Horas Trabalhadas (1º Período)])),6)&gt;ROUND(CARENCIA,6),
                           -tblHorasDez[Jornada Diária]+(tblHorasDez[Horas Trabalhadas (2º Período)]+tblHorasDez[Horas Trabalhadas (1º Período)]),
                           0),
                      IF(ROUND((tblHorasDez[Jornada Diária]-(tblHorasDez[Horas Trabalhadas (2º Período)]+tblHorasDez[Horas Trabalhadas (1º Período)])),6)&lt;ROUND(-CARENCIA,6),
                           -tblHorasDez[Jornada Diária]+(tblHorasDez[Horas Trabalhadas (2º Período)]+tblHorasDez[Horas Trabalhadas (1º Período)]),
                           0)),
              tblHorasDez[Horas Trabalhadas (2º Período)]+tblHorasDez[Horas Trabalhadas (1º Período)]),
         IF(AND(IF(ISERROR(VLOOKUP(tblHorasDez[Evento 
(1º Período)],tblEvento[[Evento]:[Libera o Período]],4,FALSE)),FALSE,IF(VLOOKUP(tblHorasDez[Evento 
(1º Período)],tblEvento[[Evento]:[Libera o Período]],4,FALSE)="Não",TRUE,FALSE)),IF(ISERROR(VLOOKUP(tblHorasDez[Evento 
(2º Período)],tblEvento[[Evento]:[Libera o Período]],4,FALSE)),FALSE,IF(VLOOKUP(tblHorasDez[Evento 
(2º Período)],tblEvento[[Evento]:[Libera o Período]],4,FALSE)="Não",TRUE,FALSE))),
-IF(VLOOKUP(tblHorasDez[Dia],tblDiaUtil[[Abreviatura]:[Total Jornada]],5,FALSE)&lt;&gt;"",VLOOKUP(tblHorasDez[Dia],tblDiaUtil[[Abreviatura]:[Total Jornada]],5,FALSE),JORNADA),
IF(IF(ISERROR(VLOOKUP(tblHorasDez[Evento 
(1º Período)],tblEvento[[Evento]:[Libera o Período]],4,FALSE)),FALSE,
IF(VLOOKUP(tblHorasDez[Evento 
(1º Período)],tblEvento[[Evento]:[Libera o Período]],4,FALSE)="Não",TRUE,FALSE)
),
-IF(VLOOKUP(tblHorasDez[Dia],tblDiaUtil[[Abreviatura]:[1º Período]],3,FALSE)&lt;&gt;"",VLOOKUP(tblHorasDez[Dia],tblDiaUtil[[Abreviatura]:[1º Período]],3,FALSE),JORNADA_PERIODO_1),
IF(IF(ISERROR(VLOOKUP(tblHorasDez[Evento 
(2º Período)],tblEvento[[Evento]:[Libera o Período]],4,FALSE)),FALSE,IF(VLOOKUP(tblHorasDez[Evento 
(2º Período)],tblEvento[[Evento]:[Libera o Período]],4,FALSE)="Não",TRUE,FALSE)),
-IF(VLOOKUP(tblHorasDez[Dia],tblDiaUtil[[Abreviatura]:[2º Período]],4,FALSE)&lt;&gt;"",VLOOKUP(tblHorasDez[Dia],tblDiaUtil[[Abreviatura]:[2º Período]],4,FALSE),JORNADA_PERIODO_2),0))))</f>
        <v>0</v>
      </c>
      <c r="O31" s="14">
        <f>IF(tblHorasDez[Horas Trabalhadas Além Jornada]&gt;0,
        IF(ISNUMBER(tblHorasDez[Jornada Diária]),
              IF(HOUR(tblHorasDez[Horas Trabalhadas Além Jornada])&gt;=VLOOKUP(LIMITE,tblLimiteHora[],Tabelas!$I$1,FALSE),
                    VLOOKUP(LIMITE,tblLimiteHora[],Tabelas!$J$1,FALSE),
                    tblHorasDez[Horas Trabalhadas Além Jornada]),
              tblHorasDez[Horas Trabalhadas Além Jornada]),
        tblHorasDez[Horas Trabalhadas Além Jornada])+O30</f>
        <v>0</v>
      </c>
      <c r="P31" s="14" t="str">
        <f>IF(tblHorasDez[Horas Trabalhadas Além Jornada]&lt;0,IF(OR(tblHorasDez[Evento 
(1º Período)]="",tblHorasDez[Evento 
(2º Período)]=""),tblHorasDez[Horas Trabalhadas Além Jornada],""),"")</f>
        <v/>
      </c>
      <c r="Q31" s="14" t="str">
        <f>IF(tblHorasDez[Jornada Diária]&lt;&gt;"",IF((N(tblHorasDez[Jornada Diária])-ABS(N(tblHorasDez[Horas Trabalhadas Além Jornada])))=0,1,""),"")</f>
        <v/>
      </c>
      <c r="R31" s="14" t="str">
        <f>IF(tblHorasDez[Horas Trabalhadas Além Jornada]&gt;0,
IF(AND(VLOOKUP(TEXT(tblHorasDez[Data],"dddd"),tblDiaUtil[],3,FALSE)="Sim",IF(tblHorasDez[Evento 
(1º Período)]&lt;&gt;"",IF(VLOOKUP(tblHorasDez[Evento 
(1º Período)],tblEvento[],Tabelas!$E$1,FALSE)="Sim",FALSE,TRUE),TRUE),IF(tblHorasDez[Evento 
(2º Período)]&lt;&gt;"",IF(VLOOKUP(tblHorasDez[Evento 
(2º Período)],tblEvento[],Tabelas!$E$1,FALSE)="Sim",FALSE,TRUE),TRUE)),
tblHorasDez[Horas Trabalhadas Além Jornada],""),"")</f>
        <v/>
      </c>
      <c r="S31" s="14" t="str">
        <f>IF(tblHorasDez[Horas Trabalhadas Além Jornada]&gt;0,
IF(OR(VLOOKUP(TEXT(tblHorasDez[Data],"dddd"),tblDiaUtil[],3,FALSE)="Não",IF(tblHorasDez[Evento 
(1º Período)]&lt;&gt;"",IF(VLOOKUP(tblHorasDez[Evento 
(1º Período)],tblEvento[],Tabelas!$E$1,FALSE)="Sim",TRUE,FALSE),FALSE),IF(tblHorasDez[Evento 
(2º Período)]&lt;&gt;"",IF(VLOOKUP(tblHorasDez[Evento 
(2º Período)],tblEvento[],Tabelas!$E$1,FALSE)="Sim",TRUE,FALSE),FALSE)),
tblHorasDez[Horas Trabalhadas Além Jornada],""),"")</f>
        <v/>
      </c>
      <c r="T31" s="15" t="str">
        <f>IF(tblHorasDez[Evento 
(1º Período)]&lt;&gt;""," - " &amp;VLOOKUP(tblHorasDez[Evento 
(1º Período)],tblEvento[],Tabelas!$F$1,FALSE),"")&amp;IF(AND(tblHorasDez[Evento 
(2º Período)]&lt;&gt;"",tblHorasDez[Evento 
(2º Período)]&lt;&gt;tblHorasDez[Evento 
(1º Período)])," - " &amp; VLOOKUP(tblHorasDez[Evento 
(2º Período)],tblEvento[],Tabelas!$F$1,FALSE),"")</f>
        <v/>
      </c>
    </row>
    <row r="32" spans="2:20" x14ac:dyDescent="0.25">
      <c r="B32" s="11" t="str">
        <f t="shared" si="0"/>
        <v/>
      </c>
      <c r="C32" s="12" t="str">
        <f>TEXT(tblHorasDez[Data],"ddd")</f>
        <v/>
      </c>
      <c r="D32" s="25"/>
      <c r="E32" s="1"/>
      <c r="F32" s="1"/>
      <c r="G32" s="1"/>
      <c r="H32" s="1"/>
      <c r="I32" s="53"/>
      <c r="J32" s="4">
        <f>IF($B$6&lt;&gt;"",
IF(AND(tblHorasDez[Evento 
(1º Período)]&lt;&gt;"",IF(ISERROR(VLOOKUP(tblHorasDez[Evento 
(1º Período)],tblEvento[],Tabelas!$D$1,FALSE)),FALSE,VLOOKUP(tblHorasDez[Evento 
(1º Período)],tblEvento[],Tabelas!$D$1,FALSE)="Sim")),
        IF(JORNADA_PERIODO_1&lt;&gt;"",
IF(VLOOKUP(tblHorasDez[Dia],tblDiaUtil[[Abreviatura]:[1º Período]],3,FALSE)&gt;0,VLOOKUP(tblHorasDez[Dia],tblDiaUtil[[Abreviatura]:[1º Período]],3,FALSE),JORNADA_PERIODO_1),
IF(VLOOKUP(tblHorasDez[Dia],tblDiaUtil[[Abreviatura]:[1º Período]],3,FALSE)&gt;0,VLOOKUP(tblHorasDez[Dia],tblDiaUtil[[Abreviatura]:[1º Período]],3,FALSE),JORNADA/2)),
        IF(AND(ISNUMBER(tblHorasDez[Saída - 1 (Almoço)]),ISNUMBER(tblHorasDez[Entrada - 1])),
              IF(OR(AND(tblHorasDez[Evento 
(1º Período)]&lt;&gt;"",IF(ISERROR(VLOOKUP(tblHorasDez[Evento 
(1º Período)],tblEvento[],Tabelas!$E$1,FALSE)),FALSE,VLOOKUP(tblHorasDez[Evento 
(1º Período)],tblEvento[],Tabelas!$E$1,FALSE)="Sim")),IF(VLOOKUP(TEXT(tblHorasDez[Data],"dddd"),tblDiaUtil[],2,FALSE)="Não",TRUE,FALSE)),
                   tblHorasDez[Saída - 1 (Almoço)]-tblHorasDez[Entrada - 1],
                   IF(OR(HOUR(tblHorasDez[Saída - 1 (Almoço)]-tblHorasDez[Entrada - 1])&gt;0,ROUND(tblHorasDez[Saída - 1 (Almoço)]-tblHorasDez[Entrada - 1],6)&gt;ROUND(CARENCIA,6)),
                          tblHorasDez[Saída - 1 (Almoço)]-tblHorasDez[Entrada - 1],
                          0)),
                    0)),0)</f>
        <v>0</v>
      </c>
      <c r="K32" s="4">
        <f>IF($B$6&lt;&gt;"",
IF(AND(tblHorasDez[Evento 
(2º Período)]&lt;&gt;"",IF(ISERROR(VLOOKUP(tblHorasDez[Evento 
(2º Período)],tblEvento[],Tabelas!$D$1,FALSE)),FALSE,VLOOKUP(tblHorasDez[Evento 
(2º Período)],tblEvento[],Tabelas!$D$1,FALSE)="Sim")),
        IF(JORNADA_PERIODO_2&lt;&gt;"",
IF(VLOOKUP(tblHorasDez[Dia],tblDiaUtil[[Abreviatura]:[2º Período]],4,FALSE)&gt;0,VLOOKUP(tblHorasDez[Dia],tblDiaUtil[[Abreviatura]:[2º Período]],4,FALSE),JORNADA_PERIODO_2),
IF(VLOOKUP(tblHorasDez[Dia],tblDiaUtil[[Abreviatura]:[2º Período]],4,FALSE)&gt;0,VLOOKUP(tblHorasDez[Dia],tblDiaUtil[[Abreviatura]:[2º Período]],4,FALSE),JORNADA/2)),
        IF(AND(ISNUMBER(tblHorasDez[Saída - 2]),ISNUMBER(tblHorasDez[Entrada - 2 (Almoço)])),
              IF(OR(AND(tblHorasDez[Evento 
(2º Período)]&lt;&gt;"",IF(ISERROR(VLOOKUP(tblHorasDez[Evento 
(2º Período)],tblEvento[],Tabelas!$E$1,FALSE)),FALSE,VLOOKUP(tblHorasDez[Evento 
(2º Período)],tblEvento[],Tabelas!$E$1,FALSE)="Sim")),IF(VLOOKUP(TEXT(tblHorasDez[Data],"dddd"),tblDiaUtil[],2,FALSE)="Não",TRUE,FALSE)),
                   tblHorasDez[Saída - 2]-tblHorasDez[Entrada - 2 (Almoço)],
                   IF(OR(HOUR(tblHorasDez[Saída - 2]-tblHorasDez[Entrada - 2 (Almoço)])&gt;0,MINUTE(tblHorasDez[Saída - 2]-tblHorasDez[Entrada - 2 (Almoço)])&gt;CARENCIA),
                         tblHorasDez[Saída - 2]-tblHorasDez[Entrada - 2 (Almoço)],
                         0)),
       0)),0)</f>
        <v>0</v>
      </c>
      <c r="L32" s="4">
        <f>tblHorasDez[Horas Trabalhadas (1º Período)]+tblHorasDez[Horas Trabalhadas (2º Período)]</f>
        <v>0</v>
      </c>
      <c r="M32" s="4" t="str">
        <f>IF(tblHorasDez[Data]&lt;&gt;"",
        IF(
AND(VLOOKUP(TEXT(tblHorasDez[Data],"dddd"),tblDiaUtil[],3,FALSE)="Sim",IF(tblHorasDez[Evento 
(1º Período)]&lt;&gt;"",IF(VLOOKUP(tblHorasDez[Evento 
(1º Período)],tblEvento[],Tabelas!$E$1,FALSE)="Sim",FALSE,TRUE),TRUE),IF(tblHorasDez[Evento 
(2º Período)]&lt;&gt;"",IF(VLOOKUP(tblHorasDez[Evento 
(2º Período)],tblEvento[],Tabelas!$E$1,FALSE)="Sim",FALSE,TRUE),TRUE)),
              IF(VLOOKUP(tblHorasDez[Dia],tblDiaUtil[[Abreviatura]:[1º Período]],3,FALSE)&gt;0,VLOOKUP(tblHorasDez[Dia],tblDiaUtil[[Abreviatura]:[1º Período]],3,FALSE),JORNADA),
              ""),
         "")</f>
        <v/>
      </c>
      <c r="N32" s="14">
        <f>IF(OR(tblHorasDez[Horas Trabalhadas (1º Período)]&lt;&gt;0,tblHorasDez[Horas Trabalhadas (2º Período)]&lt;&gt;0),
        IF(ISNUMBER(tblHorasDez[Jornada Diária]),
              IF(tblHorasDez[Jornada Diária]&gt;(tblHorasDez[Horas Trabalhadas (2º Período)]+tblHorasDez[Horas Trabalhadas (1º Período)]),
                     IF(ROUND((tblHorasDez[Jornada Diária]-(tblHorasDez[Horas Trabalhadas (2º Período)]+tblHorasDez[Horas Trabalhadas (1º Período)])),6)&gt;ROUND(CARENCIA,6),
                           -tblHorasDez[Jornada Diária]+(tblHorasDez[Horas Trabalhadas (2º Período)]+tblHorasDez[Horas Trabalhadas (1º Período)]),
                           0),
                      IF(ROUND((tblHorasDez[Jornada Diária]-(tblHorasDez[Horas Trabalhadas (2º Período)]+tblHorasDez[Horas Trabalhadas (1º Período)])),6)&lt;ROUND(-CARENCIA,6),
                           -tblHorasDez[Jornada Diária]+(tblHorasDez[Horas Trabalhadas (2º Período)]+tblHorasDez[Horas Trabalhadas (1º Período)]),
                           0)),
              tblHorasDez[Horas Trabalhadas (2º Período)]+tblHorasDez[Horas Trabalhadas (1º Período)]),
         IF(AND(IF(ISERROR(VLOOKUP(tblHorasDez[Evento 
(1º Período)],tblEvento[[Evento]:[Libera o Período]],4,FALSE)),FALSE,IF(VLOOKUP(tblHorasDez[Evento 
(1º Período)],tblEvento[[Evento]:[Libera o Período]],4,FALSE)="Não",TRUE,FALSE)),IF(ISERROR(VLOOKUP(tblHorasDez[Evento 
(2º Período)],tblEvento[[Evento]:[Libera o Período]],4,FALSE)),FALSE,IF(VLOOKUP(tblHorasDez[Evento 
(2º Período)],tblEvento[[Evento]:[Libera o Período]],4,FALSE)="Não",TRUE,FALSE))),
-IF(VLOOKUP(tblHorasDez[Dia],tblDiaUtil[[Abreviatura]:[Total Jornada]],5,FALSE)&lt;&gt;"",VLOOKUP(tblHorasDez[Dia],tblDiaUtil[[Abreviatura]:[Total Jornada]],5,FALSE),JORNADA),
IF(IF(ISERROR(VLOOKUP(tblHorasDez[Evento 
(1º Período)],tblEvento[[Evento]:[Libera o Período]],4,FALSE)),FALSE,
IF(VLOOKUP(tblHorasDez[Evento 
(1º Período)],tblEvento[[Evento]:[Libera o Período]],4,FALSE)="Não",TRUE,FALSE)
),
-IF(VLOOKUP(tblHorasDez[Dia],tblDiaUtil[[Abreviatura]:[1º Período]],3,FALSE)&lt;&gt;"",VLOOKUP(tblHorasDez[Dia],tblDiaUtil[[Abreviatura]:[1º Período]],3,FALSE),JORNADA_PERIODO_1),
IF(IF(ISERROR(VLOOKUP(tblHorasDez[Evento 
(2º Período)],tblEvento[[Evento]:[Libera o Período]],4,FALSE)),FALSE,IF(VLOOKUP(tblHorasDez[Evento 
(2º Período)],tblEvento[[Evento]:[Libera o Período]],4,FALSE)="Não",TRUE,FALSE)),
-IF(VLOOKUP(tblHorasDez[Dia],tblDiaUtil[[Abreviatura]:[2º Período]],4,FALSE)&lt;&gt;"",VLOOKUP(tblHorasDez[Dia],tblDiaUtil[[Abreviatura]:[2º Período]],4,FALSE),JORNADA_PERIODO_2),0))))</f>
        <v>0</v>
      </c>
      <c r="O32" s="14">
        <f>IF(tblHorasDez[Horas Trabalhadas Além Jornada]&gt;0,
        IF(ISNUMBER(tblHorasDez[Jornada Diária]),
              IF(HOUR(tblHorasDez[Horas Trabalhadas Além Jornada])&gt;=VLOOKUP(LIMITE,tblLimiteHora[],Tabelas!$I$1,FALSE),
                    VLOOKUP(LIMITE,tblLimiteHora[],Tabelas!$J$1,FALSE),
                    tblHorasDez[Horas Trabalhadas Além Jornada]),
              tblHorasDez[Horas Trabalhadas Além Jornada]),
        tblHorasDez[Horas Trabalhadas Além Jornada])+O31</f>
        <v>0</v>
      </c>
      <c r="P32" s="14" t="str">
        <f>IF(tblHorasDez[Horas Trabalhadas Além Jornada]&lt;0,IF(OR(tblHorasDez[Evento 
(1º Período)]="",tblHorasDez[Evento 
(2º Período)]=""),tblHorasDez[Horas Trabalhadas Além Jornada],""),"")</f>
        <v/>
      </c>
      <c r="Q32" s="14" t="str">
        <f>IF(tblHorasDez[Jornada Diária]&lt;&gt;"",IF((N(tblHorasDez[Jornada Diária])-ABS(N(tblHorasDez[Horas Trabalhadas Além Jornada])))=0,1,""),"")</f>
        <v/>
      </c>
      <c r="R32" s="14" t="str">
        <f>IF(tblHorasDez[Horas Trabalhadas Além Jornada]&gt;0,
IF(AND(VLOOKUP(TEXT(tblHorasDez[Data],"dddd"),tblDiaUtil[],3,FALSE)="Sim",IF(tblHorasDez[Evento 
(1º Período)]&lt;&gt;"",IF(VLOOKUP(tblHorasDez[Evento 
(1º Período)],tblEvento[],Tabelas!$E$1,FALSE)="Sim",FALSE,TRUE),TRUE),IF(tblHorasDez[Evento 
(2º Período)]&lt;&gt;"",IF(VLOOKUP(tblHorasDez[Evento 
(2º Período)],tblEvento[],Tabelas!$E$1,FALSE)="Sim",FALSE,TRUE),TRUE)),
tblHorasDez[Horas Trabalhadas Além Jornada],""),"")</f>
        <v/>
      </c>
      <c r="S32" s="14" t="str">
        <f>IF(tblHorasDez[Horas Trabalhadas Além Jornada]&gt;0,
IF(OR(VLOOKUP(TEXT(tblHorasDez[Data],"dddd"),tblDiaUtil[],3,FALSE)="Não",IF(tblHorasDez[Evento 
(1º Período)]&lt;&gt;"",IF(VLOOKUP(tblHorasDez[Evento 
(1º Período)],tblEvento[],Tabelas!$E$1,FALSE)="Sim",TRUE,FALSE),FALSE),IF(tblHorasDez[Evento 
(2º Período)]&lt;&gt;"",IF(VLOOKUP(tblHorasDez[Evento 
(2º Período)],tblEvento[],Tabelas!$E$1,FALSE)="Sim",TRUE,FALSE),FALSE)),
tblHorasDez[Horas Trabalhadas Além Jornada],""),"")</f>
        <v/>
      </c>
      <c r="T32" s="15" t="str">
        <f>IF(tblHorasDez[Evento 
(1º Período)]&lt;&gt;""," - " &amp;VLOOKUP(tblHorasDez[Evento 
(1º Período)],tblEvento[],Tabelas!$F$1,FALSE),"")&amp;IF(AND(tblHorasDez[Evento 
(2º Período)]&lt;&gt;"",tblHorasDez[Evento 
(2º Período)]&lt;&gt;tblHorasDez[Evento 
(1º Período)])," - " &amp; VLOOKUP(tblHorasDez[Evento 
(2º Período)],tblEvento[],Tabelas!$F$1,FALSE),"")</f>
        <v/>
      </c>
    </row>
    <row r="33" spans="2:21" x14ac:dyDescent="0.25">
      <c r="B33" s="11" t="str">
        <f t="shared" si="0"/>
        <v/>
      </c>
      <c r="C33" s="12" t="str">
        <f>TEXT(tblHorasDez[Data],"ddd")</f>
        <v/>
      </c>
      <c r="D33" s="25"/>
      <c r="E33" s="1"/>
      <c r="F33" s="1"/>
      <c r="G33" s="1"/>
      <c r="H33" s="1"/>
      <c r="I33" s="53"/>
      <c r="J33" s="4">
        <f>IF($B$6&lt;&gt;"",
IF(AND(tblHorasDez[Evento 
(1º Período)]&lt;&gt;"",IF(ISERROR(VLOOKUP(tblHorasDez[Evento 
(1º Período)],tblEvento[],Tabelas!$D$1,FALSE)),FALSE,VLOOKUP(tblHorasDez[Evento 
(1º Período)],tblEvento[],Tabelas!$D$1,FALSE)="Sim")),
        IF(JORNADA_PERIODO_1&lt;&gt;"",
IF(VLOOKUP(tblHorasDez[Dia],tblDiaUtil[[Abreviatura]:[1º Período]],3,FALSE)&gt;0,VLOOKUP(tblHorasDez[Dia],tblDiaUtil[[Abreviatura]:[1º Período]],3,FALSE),JORNADA_PERIODO_1),
IF(VLOOKUP(tblHorasDez[Dia],tblDiaUtil[[Abreviatura]:[1º Período]],3,FALSE)&gt;0,VLOOKUP(tblHorasDez[Dia],tblDiaUtil[[Abreviatura]:[1º Período]],3,FALSE),JORNADA/2)),
        IF(AND(ISNUMBER(tblHorasDez[Saída - 1 (Almoço)]),ISNUMBER(tblHorasDez[Entrada - 1])),
              IF(OR(AND(tblHorasDez[Evento 
(1º Período)]&lt;&gt;"",IF(ISERROR(VLOOKUP(tblHorasDez[Evento 
(1º Período)],tblEvento[],Tabelas!$E$1,FALSE)),FALSE,VLOOKUP(tblHorasDez[Evento 
(1º Período)],tblEvento[],Tabelas!$E$1,FALSE)="Sim")),IF(VLOOKUP(TEXT(tblHorasDez[Data],"dddd"),tblDiaUtil[],2,FALSE)="Não",TRUE,FALSE)),
                   tblHorasDez[Saída - 1 (Almoço)]-tblHorasDez[Entrada - 1],
                   IF(OR(HOUR(tblHorasDez[Saída - 1 (Almoço)]-tblHorasDez[Entrada - 1])&gt;0,ROUND(tblHorasDez[Saída - 1 (Almoço)]-tblHorasDez[Entrada - 1],6)&gt;ROUND(CARENCIA,6)),
                          tblHorasDez[Saída - 1 (Almoço)]-tblHorasDez[Entrada - 1],
                          0)),
                    0)),0)</f>
        <v>0</v>
      </c>
      <c r="K33" s="4">
        <f>IF($B$6&lt;&gt;"",
IF(AND(tblHorasDez[Evento 
(2º Período)]&lt;&gt;"",IF(ISERROR(VLOOKUP(tblHorasDez[Evento 
(2º Período)],tblEvento[],Tabelas!$D$1,FALSE)),FALSE,VLOOKUP(tblHorasDez[Evento 
(2º Período)],tblEvento[],Tabelas!$D$1,FALSE)="Sim")),
        IF(JORNADA_PERIODO_2&lt;&gt;"",
IF(VLOOKUP(tblHorasDez[Dia],tblDiaUtil[[Abreviatura]:[2º Período]],4,FALSE)&gt;0,VLOOKUP(tblHorasDez[Dia],tblDiaUtil[[Abreviatura]:[2º Período]],4,FALSE),JORNADA_PERIODO_2),
IF(VLOOKUP(tblHorasDez[Dia],tblDiaUtil[[Abreviatura]:[2º Período]],4,FALSE)&gt;0,VLOOKUP(tblHorasDez[Dia],tblDiaUtil[[Abreviatura]:[2º Período]],4,FALSE),JORNADA/2)),
        IF(AND(ISNUMBER(tblHorasDez[Saída - 2]),ISNUMBER(tblHorasDez[Entrada - 2 (Almoço)])),
              IF(OR(AND(tblHorasDez[Evento 
(2º Período)]&lt;&gt;"",IF(ISERROR(VLOOKUP(tblHorasDez[Evento 
(2º Período)],tblEvento[],Tabelas!$E$1,FALSE)),FALSE,VLOOKUP(tblHorasDez[Evento 
(2º Período)],tblEvento[],Tabelas!$E$1,FALSE)="Sim")),IF(VLOOKUP(TEXT(tblHorasDez[Data],"dddd"),tblDiaUtil[],2,FALSE)="Não",TRUE,FALSE)),
                   tblHorasDez[Saída - 2]-tblHorasDez[Entrada - 2 (Almoço)],
                   IF(OR(HOUR(tblHorasDez[Saída - 2]-tblHorasDez[Entrada - 2 (Almoço)])&gt;0,MINUTE(tblHorasDez[Saída - 2]-tblHorasDez[Entrada - 2 (Almoço)])&gt;CARENCIA),
                         tblHorasDez[Saída - 2]-tblHorasDez[Entrada - 2 (Almoço)],
                         0)),
       0)),0)</f>
        <v>0</v>
      </c>
      <c r="L33" s="4">
        <f>tblHorasDez[Horas Trabalhadas (1º Período)]+tblHorasDez[Horas Trabalhadas (2º Período)]</f>
        <v>0</v>
      </c>
      <c r="M33" s="4" t="str">
        <f>IF(tblHorasDez[Data]&lt;&gt;"",
        IF(
AND(VLOOKUP(TEXT(tblHorasDez[Data],"dddd"),tblDiaUtil[],3,FALSE)="Sim",IF(tblHorasDez[Evento 
(1º Período)]&lt;&gt;"",IF(VLOOKUP(tblHorasDez[Evento 
(1º Período)],tblEvento[],Tabelas!$E$1,FALSE)="Sim",FALSE,TRUE),TRUE),IF(tblHorasDez[Evento 
(2º Período)]&lt;&gt;"",IF(VLOOKUP(tblHorasDez[Evento 
(2º Período)],tblEvento[],Tabelas!$E$1,FALSE)="Sim",FALSE,TRUE),TRUE)),
              IF(VLOOKUP(tblHorasDez[Dia],tblDiaUtil[[Abreviatura]:[1º Período]],3,FALSE)&gt;0,VLOOKUP(tblHorasDez[Dia],tblDiaUtil[[Abreviatura]:[1º Período]],3,FALSE),JORNADA),
              ""),
         "")</f>
        <v/>
      </c>
      <c r="N33" s="14">
        <f>IF(OR(tblHorasDez[Horas Trabalhadas (1º Período)]&lt;&gt;0,tblHorasDez[Horas Trabalhadas (2º Período)]&lt;&gt;0),
        IF(ISNUMBER(tblHorasDez[Jornada Diária]),
              IF(tblHorasDez[Jornada Diária]&gt;(tblHorasDez[Horas Trabalhadas (2º Período)]+tblHorasDez[Horas Trabalhadas (1º Período)]),
                     IF(ROUND((tblHorasDez[Jornada Diária]-(tblHorasDez[Horas Trabalhadas (2º Período)]+tblHorasDez[Horas Trabalhadas (1º Período)])),6)&gt;ROUND(CARENCIA,6),
                           -tblHorasDez[Jornada Diária]+(tblHorasDez[Horas Trabalhadas (2º Período)]+tblHorasDez[Horas Trabalhadas (1º Período)]),
                           0),
                      IF(ROUND((tblHorasDez[Jornada Diária]-(tblHorasDez[Horas Trabalhadas (2º Período)]+tblHorasDez[Horas Trabalhadas (1º Período)])),6)&lt;ROUND(-CARENCIA,6),
                           -tblHorasDez[Jornada Diária]+(tblHorasDez[Horas Trabalhadas (2º Período)]+tblHorasDez[Horas Trabalhadas (1º Período)]),
                           0)),
              tblHorasDez[Horas Trabalhadas (2º Período)]+tblHorasDez[Horas Trabalhadas (1º Período)]),
         IF(AND(IF(ISERROR(VLOOKUP(tblHorasDez[Evento 
(1º Período)],tblEvento[[Evento]:[Libera o Período]],4,FALSE)),FALSE,IF(VLOOKUP(tblHorasDez[Evento 
(1º Período)],tblEvento[[Evento]:[Libera o Período]],4,FALSE)="Não",TRUE,FALSE)),IF(ISERROR(VLOOKUP(tblHorasDez[Evento 
(2º Período)],tblEvento[[Evento]:[Libera o Período]],4,FALSE)),FALSE,IF(VLOOKUP(tblHorasDez[Evento 
(2º Período)],tblEvento[[Evento]:[Libera o Período]],4,FALSE)="Não",TRUE,FALSE))),
-IF(VLOOKUP(tblHorasDez[Dia],tblDiaUtil[[Abreviatura]:[Total Jornada]],5,FALSE)&lt;&gt;"",VLOOKUP(tblHorasDez[Dia],tblDiaUtil[[Abreviatura]:[Total Jornada]],5,FALSE),JORNADA),
IF(IF(ISERROR(VLOOKUP(tblHorasDez[Evento 
(1º Período)],tblEvento[[Evento]:[Libera o Período]],4,FALSE)),FALSE,
IF(VLOOKUP(tblHorasDez[Evento 
(1º Período)],tblEvento[[Evento]:[Libera o Período]],4,FALSE)="Não",TRUE,FALSE)
),
-IF(VLOOKUP(tblHorasDez[Dia],tblDiaUtil[[Abreviatura]:[1º Período]],3,FALSE)&lt;&gt;"",VLOOKUP(tblHorasDez[Dia],tblDiaUtil[[Abreviatura]:[1º Período]],3,FALSE),JORNADA_PERIODO_1),
IF(IF(ISERROR(VLOOKUP(tblHorasDez[Evento 
(2º Período)],tblEvento[[Evento]:[Libera o Período]],4,FALSE)),FALSE,IF(VLOOKUP(tblHorasDez[Evento 
(2º Período)],tblEvento[[Evento]:[Libera o Período]],4,FALSE)="Não",TRUE,FALSE)),
-IF(VLOOKUP(tblHorasDez[Dia],tblDiaUtil[[Abreviatura]:[2º Período]],4,FALSE)&lt;&gt;"",VLOOKUP(tblHorasDez[Dia],tblDiaUtil[[Abreviatura]:[2º Período]],4,FALSE),JORNADA_PERIODO_2),0))))</f>
        <v>0</v>
      </c>
      <c r="O33" s="14">
        <f>IF(tblHorasDez[Horas Trabalhadas Além Jornada]&gt;0,
        IF(ISNUMBER(tblHorasDez[Jornada Diária]),
              IF(HOUR(tblHorasDez[Horas Trabalhadas Além Jornada])&gt;=VLOOKUP(LIMITE,tblLimiteHora[],Tabelas!$I$1,FALSE),
                    VLOOKUP(LIMITE,tblLimiteHora[],Tabelas!$J$1,FALSE),
                    tblHorasDez[Horas Trabalhadas Além Jornada]),
              tblHorasDez[Horas Trabalhadas Além Jornada]),
        tblHorasDez[Horas Trabalhadas Além Jornada])+O32</f>
        <v>0</v>
      </c>
      <c r="P33" s="14" t="str">
        <f>IF(tblHorasDez[Horas Trabalhadas Além Jornada]&lt;0,IF(OR(tblHorasDez[Evento 
(1º Período)]="",tblHorasDez[Evento 
(2º Período)]=""),tblHorasDez[Horas Trabalhadas Além Jornada],""),"")</f>
        <v/>
      </c>
      <c r="Q33" s="14" t="str">
        <f>IF(tblHorasDez[Jornada Diária]&lt;&gt;"",IF((N(tblHorasDez[Jornada Diária])-ABS(N(tblHorasDez[Horas Trabalhadas Além Jornada])))=0,1,""),"")</f>
        <v/>
      </c>
      <c r="R33" s="14" t="str">
        <f>IF(tblHorasDez[Horas Trabalhadas Além Jornada]&gt;0,
IF(AND(VLOOKUP(TEXT(tblHorasDez[Data],"dddd"),tblDiaUtil[],3,FALSE)="Sim",IF(tblHorasDez[Evento 
(1º Período)]&lt;&gt;"",IF(VLOOKUP(tblHorasDez[Evento 
(1º Período)],tblEvento[],Tabelas!$E$1,FALSE)="Sim",FALSE,TRUE),TRUE),IF(tblHorasDez[Evento 
(2º Período)]&lt;&gt;"",IF(VLOOKUP(tblHorasDez[Evento 
(2º Período)],tblEvento[],Tabelas!$E$1,FALSE)="Sim",FALSE,TRUE),TRUE)),
tblHorasDez[Horas Trabalhadas Além Jornada],""),"")</f>
        <v/>
      </c>
      <c r="S33" s="14" t="str">
        <f>IF(tblHorasDez[Horas Trabalhadas Além Jornada]&gt;0,
IF(OR(VLOOKUP(TEXT(tblHorasDez[Data],"dddd"),tblDiaUtil[],3,FALSE)="Não",IF(tblHorasDez[Evento 
(1º Período)]&lt;&gt;"",IF(VLOOKUP(tblHorasDez[Evento 
(1º Período)],tblEvento[],Tabelas!$E$1,FALSE)="Sim",TRUE,FALSE),FALSE),IF(tblHorasDez[Evento 
(2º Período)]&lt;&gt;"",IF(VLOOKUP(tblHorasDez[Evento 
(2º Período)],tblEvento[],Tabelas!$E$1,FALSE)="Sim",TRUE,FALSE),FALSE)),
tblHorasDez[Horas Trabalhadas Além Jornada],""),"")</f>
        <v/>
      </c>
      <c r="T33" s="15" t="str">
        <f>IF(tblHorasDez[Evento 
(1º Período)]&lt;&gt;""," - " &amp;VLOOKUP(tblHorasDez[Evento 
(1º Período)],tblEvento[],Tabelas!$F$1,FALSE),"")&amp;IF(AND(tblHorasDez[Evento 
(2º Período)]&lt;&gt;"",tblHorasDez[Evento 
(2º Período)]&lt;&gt;tblHorasDez[Evento 
(1º Período)])," - " &amp; VLOOKUP(tblHorasDez[Evento 
(2º Período)],tblEvento[],Tabelas!$F$1,FALSE),"")</f>
        <v/>
      </c>
    </row>
    <row r="34" spans="2:21" x14ac:dyDescent="0.25">
      <c r="B34" s="11" t="str">
        <f t="shared" si="0"/>
        <v/>
      </c>
      <c r="C34" s="12" t="str">
        <f>TEXT(tblHorasDez[Data],"ddd")</f>
        <v/>
      </c>
      <c r="D34" s="25"/>
      <c r="E34" s="1"/>
      <c r="F34" s="1"/>
      <c r="G34" s="1"/>
      <c r="H34" s="1"/>
      <c r="I34" s="53"/>
      <c r="J34" s="4">
        <f>IF($B$6&lt;&gt;"",
IF(AND(tblHorasDez[Evento 
(1º Período)]&lt;&gt;"",IF(ISERROR(VLOOKUP(tblHorasDez[Evento 
(1º Período)],tblEvento[],Tabelas!$D$1,FALSE)),FALSE,VLOOKUP(tblHorasDez[Evento 
(1º Período)],tblEvento[],Tabelas!$D$1,FALSE)="Sim")),
        IF(JORNADA_PERIODO_1&lt;&gt;"",
IF(VLOOKUP(tblHorasDez[Dia],tblDiaUtil[[Abreviatura]:[1º Período]],3,FALSE)&gt;0,VLOOKUP(tblHorasDez[Dia],tblDiaUtil[[Abreviatura]:[1º Período]],3,FALSE),JORNADA_PERIODO_1),
IF(VLOOKUP(tblHorasDez[Dia],tblDiaUtil[[Abreviatura]:[1º Período]],3,FALSE)&gt;0,VLOOKUP(tblHorasDez[Dia],tblDiaUtil[[Abreviatura]:[1º Período]],3,FALSE),JORNADA/2)),
        IF(AND(ISNUMBER(tblHorasDez[Saída - 1 (Almoço)]),ISNUMBER(tblHorasDez[Entrada - 1])),
              IF(OR(AND(tblHorasDez[Evento 
(1º Período)]&lt;&gt;"",IF(ISERROR(VLOOKUP(tblHorasDez[Evento 
(1º Período)],tblEvento[],Tabelas!$E$1,FALSE)),FALSE,VLOOKUP(tblHorasDez[Evento 
(1º Período)],tblEvento[],Tabelas!$E$1,FALSE)="Sim")),IF(VLOOKUP(TEXT(tblHorasDez[Data],"dddd"),tblDiaUtil[],2,FALSE)="Não",TRUE,FALSE)),
                   tblHorasDez[Saída - 1 (Almoço)]-tblHorasDez[Entrada - 1],
                   IF(OR(HOUR(tblHorasDez[Saída - 1 (Almoço)]-tblHorasDez[Entrada - 1])&gt;0,ROUND(tblHorasDez[Saída - 1 (Almoço)]-tblHorasDez[Entrada - 1],6)&gt;ROUND(CARENCIA,6)),
                          tblHorasDez[Saída - 1 (Almoço)]-tblHorasDez[Entrada - 1],
                          0)),
                    0)),0)</f>
        <v>0</v>
      </c>
      <c r="K34" s="4">
        <f>IF($B$6&lt;&gt;"",
IF(AND(tblHorasDez[Evento 
(2º Período)]&lt;&gt;"",IF(ISERROR(VLOOKUP(tblHorasDez[Evento 
(2º Período)],tblEvento[],Tabelas!$D$1,FALSE)),FALSE,VLOOKUP(tblHorasDez[Evento 
(2º Período)],tblEvento[],Tabelas!$D$1,FALSE)="Sim")),
        IF(JORNADA_PERIODO_2&lt;&gt;"",
IF(VLOOKUP(tblHorasDez[Dia],tblDiaUtil[[Abreviatura]:[2º Período]],4,FALSE)&gt;0,VLOOKUP(tblHorasDez[Dia],tblDiaUtil[[Abreviatura]:[2º Período]],4,FALSE),JORNADA_PERIODO_2),
IF(VLOOKUP(tblHorasDez[Dia],tblDiaUtil[[Abreviatura]:[2º Período]],4,FALSE)&gt;0,VLOOKUP(tblHorasDez[Dia],tblDiaUtil[[Abreviatura]:[2º Período]],4,FALSE),JORNADA/2)),
        IF(AND(ISNUMBER(tblHorasDez[Saída - 2]),ISNUMBER(tblHorasDez[Entrada - 2 (Almoço)])),
              IF(OR(AND(tblHorasDez[Evento 
(2º Período)]&lt;&gt;"",IF(ISERROR(VLOOKUP(tblHorasDez[Evento 
(2º Período)],tblEvento[],Tabelas!$E$1,FALSE)),FALSE,VLOOKUP(tblHorasDez[Evento 
(2º Período)],tblEvento[],Tabelas!$E$1,FALSE)="Sim")),IF(VLOOKUP(TEXT(tblHorasDez[Data],"dddd"),tblDiaUtil[],2,FALSE)="Não",TRUE,FALSE)),
                   tblHorasDez[Saída - 2]-tblHorasDez[Entrada - 2 (Almoço)],
                   IF(OR(HOUR(tblHorasDez[Saída - 2]-tblHorasDez[Entrada - 2 (Almoço)])&gt;0,MINUTE(tblHorasDez[Saída - 2]-tblHorasDez[Entrada - 2 (Almoço)])&gt;CARENCIA),
                         tblHorasDez[Saída - 2]-tblHorasDez[Entrada - 2 (Almoço)],
                         0)),
       0)),0)</f>
        <v>0</v>
      </c>
      <c r="L34" s="4">
        <f>tblHorasDez[Horas Trabalhadas (1º Período)]+tblHorasDez[Horas Trabalhadas (2º Período)]</f>
        <v>0</v>
      </c>
      <c r="M34" s="4" t="str">
        <f>IF(tblHorasDez[Data]&lt;&gt;"",
        IF(
AND(VLOOKUP(TEXT(tblHorasDez[Data],"dddd"),tblDiaUtil[],3,FALSE)="Sim",IF(tblHorasDez[Evento 
(1º Período)]&lt;&gt;"",IF(VLOOKUP(tblHorasDez[Evento 
(1º Período)],tblEvento[],Tabelas!$E$1,FALSE)="Sim",FALSE,TRUE),TRUE),IF(tblHorasDez[Evento 
(2º Período)]&lt;&gt;"",IF(VLOOKUP(tblHorasDez[Evento 
(2º Período)],tblEvento[],Tabelas!$E$1,FALSE)="Sim",FALSE,TRUE),TRUE)),
              IF(VLOOKUP(tblHorasDez[Dia],tblDiaUtil[[Abreviatura]:[1º Período]],3,FALSE)&gt;0,VLOOKUP(tblHorasDez[Dia],tblDiaUtil[[Abreviatura]:[1º Período]],3,FALSE),JORNADA),
              ""),
         "")</f>
        <v/>
      </c>
      <c r="N34" s="14">
        <f>IF(OR(tblHorasDez[Horas Trabalhadas (1º Período)]&lt;&gt;0,tblHorasDez[Horas Trabalhadas (2º Período)]&lt;&gt;0),
        IF(ISNUMBER(tblHorasDez[Jornada Diária]),
              IF(tblHorasDez[Jornada Diária]&gt;(tblHorasDez[Horas Trabalhadas (2º Período)]+tblHorasDez[Horas Trabalhadas (1º Período)]),
                     IF(ROUND((tblHorasDez[Jornada Diária]-(tblHorasDez[Horas Trabalhadas (2º Período)]+tblHorasDez[Horas Trabalhadas (1º Período)])),6)&gt;ROUND(CARENCIA,6),
                           -tblHorasDez[Jornada Diária]+(tblHorasDez[Horas Trabalhadas (2º Período)]+tblHorasDez[Horas Trabalhadas (1º Período)]),
                           0),
                      IF(ROUND((tblHorasDez[Jornada Diária]-(tblHorasDez[Horas Trabalhadas (2º Período)]+tblHorasDez[Horas Trabalhadas (1º Período)])),6)&lt;ROUND(-CARENCIA,6),
                           -tblHorasDez[Jornada Diária]+(tblHorasDez[Horas Trabalhadas (2º Período)]+tblHorasDez[Horas Trabalhadas (1º Período)]),
                           0)),
              tblHorasDez[Horas Trabalhadas (2º Período)]+tblHorasDez[Horas Trabalhadas (1º Período)]),
         IF(AND(IF(ISERROR(VLOOKUP(tblHorasDez[Evento 
(1º Período)],tblEvento[[Evento]:[Libera o Período]],4,FALSE)),FALSE,IF(VLOOKUP(tblHorasDez[Evento 
(1º Período)],tblEvento[[Evento]:[Libera o Período]],4,FALSE)="Não",TRUE,FALSE)),IF(ISERROR(VLOOKUP(tblHorasDez[Evento 
(2º Período)],tblEvento[[Evento]:[Libera o Período]],4,FALSE)),FALSE,IF(VLOOKUP(tblHorasDez[Evento 
(2º Período)],tblEvento[[Evento]:[Libera o Período]],4,FALSE)="Não",TRUE,FALSE))),
-IF(VLOOKUP(tblHorasDez[Dia],tblDiaUtil[[Abreviatura]:[Total Jornada]],5,FALSE)&lt;&gt;"",VLOOKUP(tblHorasDez[Dia],tblDiaUtil[[Abreviatura]:[Total Jornada]],5,FALSE),JORNADA),
IF(IF(ISERROR(VLOOKUP(tblHorasDez[Evento 
(1º Período)],tblEvento[[Evento]:[Libera o Período]],4,FALSE)),FALSE,
IF(VLOOKUP(tblHorasDez[Evento 
(1º Período)],tblEvento[[Evento]:[Libera o Período]],4,FALSE)="Não",TRUE,FALSE)
),
-IF(VLOOKUP(tblHorasDez[Dia],tblDiaUtil[[Abreviatura]:[1º Período]],3,FALSE)&lt;&gt;"",VLOOKUP(tblHorasDez[Dia],tblDiaUtil[[Abreviatura]:[1º Período]],3,FALSE),JORNADA_PERIODO_1),
IF(IF(ISERROR(VLOOKUP(tblHorasDez[Evento 
(2º Período)],tblEvento[[Evento]:[Libera o Período]],4,FALSE)),FALSE,IF(VLOOKUP(tblHorasDez[Evento 
(2º Período)],tblEvento[[Evento]:[Libera o Período]],4,FALSE)="Não",TRUE,FALSE)),
-IF(VLOOKUP(tblHorasDez[Dia],tblDiaUtil[[Abreviatura]:[2º Período]],4,FALSE)&lt;&gt;"",VLOOKUP(tblHorasDez[Dia],tblDiaUtil[[Abreviatura]:[2º Período]],4,FALSE),JORNADA_PERIODO_2),0))))</f>
        <v>0</v>
      </c>
      <c r="O34" s="14">
        <f>IF(tblHorasDez[Horas Trabalhadas Além Jornada]&gt;0,
        IF(ISNUMBER(tblHorasDez[Jornada Diária]),
              IF(HOUR(tblHorasDez[Horas Trabalhadas Além Jornada])&gt;=VLOOKUP(LIMITE,tblLimiteHora[],Tabelas!$I$1,FALSE),
                    VLOOKUP(LIMITE,tblLimiteHora[],Tabelas!$J$1,FALSE),
                    tblHorasDez[Horas Trabalhadas Além Jornada]),
              tblHorasDez[Horas Trabalhadas Além Jornada]),
        tblHorasDez[Horas Trabalhadas Além Jornada])+O33</f>
        <v>0</v>
      </c>
      <c r="P34" s="14" t="str">
        <f>IF(tblHorasDez[Horas Trabalhadas Além Jornada]&lt;0,IF(OR(tblHorasDez[Evento 
(1º Período)]="",tblHorasDez[Evento 
(2º Período)]=""),tblHorasDez[Horas Trabalhadas Além Jornada],""),"")</f>
        <v/>
      </c>
      <c r="Q34" s="14" t="str">
        <f>IF(tblHorasDez[Jornada Diária]&lt;&gt;"",IF((N(tblHorasDez[Jornada Diária])-ABS(N(tblHorasDez[Horas Trabalhadas Além Jornada])))=0,1,""),"")</f>
        <v/>
      </c>
      <c r="R34" s="14" t="str">
        <f>IF(tblHorasDez[Horas Trabalhadas Além Jornada]&gt;0,
IF(AND(VLOOKUP(TEXT(tblHorasDez[Data],"dddd"),tblDiaUtil[],3,FALSE)="Sim",IF(tblHorasDez[Evento 
(1º Período)]&lt;&gt;"",IF(VLOOKUP(tblHorasDez[Evento 
(1º Período)],tblEvento[],Tabelas!$E$1,FALSE)="Sim",FALSE,TRUE),TRUE),IF(tblHorasDez[Evento 
(2º Período)]&lt;&gt;"",IF(VLOOKUP(tblHorasDez[Evento 
(2º Período)],tblEvento[],Tabelas!$E$1,FALSE)="Sim",FALSE,TRUE),TRUE)),
tblHorasDez[Horas Trabalhadas Além Jornada],""),"")</f>
        <v/>
      </c>
      <c r="S34" s="14" t="str">
        <f>IF(tblHorasDez[Horas Trabalhadas Além Jornada]&gt;0,
IF(OR(VLOOKUP(TEXT(tblHorasDez[Data],"dddd"),tblDiaUtil[],3,FALSE)="Não",IF(tblHorasDez[Evento 
(1º Período)]&lt;&gt;"",IF(VLOOKUP(tblHorasDez[Evento 
(1º Período)],tblEvento[],Tabelas!$E$1,FALSE)="Sim",TRUE,FALSE),FALSE),IF(tblHorasDez[Evento 
(2º Período)]&lt;&gt;"",IF(VLOOKUP(tblHorasDez[Evento 
(2º Período)],tblEvento[],Tabelas!$E$1,FALSE)="Sim",TRUE,FALSE),FALSE)),
tblHorasDez[Horas Trabalhadas Além Jornada],""),"")</f>
        <v/>
      </c>
      <c r="T34" s="15" t="str">
        <f>IF(tblHorasDez[Evento 
(1º Período)]&lt;&gt;""," - " &amp;VLOOKUP(tblHorasDez[Evento 
(1º Período)],tblEvento[],Tabelas!$F$1,FALSE),"")&amp;IF(AND(tblHorasDez[Evento 
(2º Período)]&lt;&gt;"",tblHorasDez[Evento 
(2º Período)]&lt;&gt;tblHorasDez[Evento 
(1º Período)])," - " &amp; VLOOKUP(tblHorasDez[Evento 
(2º Período)],tblEvento[],Tabelas!$F$1,FALSE),"")</f>
        <v/>
      </c>
    </row>
    <row r="35" spans="2:21" x14ac:dyDescent="0.25">
      <c r="B35" s="11" t="str">
        <f t="shared" si="0"/>
        <v/>
      </c>
      <c r="C35" s="12" t="str">
        <f>TEXT(tblHorasDez[Data],"ddd")</f>
        <v/>
      </c>
      <c r="D35" s="25"/>
      <c r="E35" s="1"/>
      <c r="F35" s="1"/>
      <c r="G35" s="1"/>
      <c r="H35" s="1"/>
      <c r="I35" s="53"/>
      <c r="J35" s="4">
        <f>IF($B$6&lt;&gt;"",
IF(AND(tblHorasDez[Evento 
(1º Período)]&lt;&gt;"",IF(ISERROR(VLOOKUP(tblHorasDez[Evento 
(1º Período)],tblEvento[],Tabelas!$D$1,FALSE)),FALSE,VLOOKUP(tblHorasDez[Evento 
(1º Período)],tblEvento[],Tabelas!$D$1,FALSE)="Sim")),
        IF(JORNADA_PERIODO_1&lt;&gt;"",
IF(VLOOKUP(tblHorasDez[Dia],tblDiaUtil[[Abreviatura]:[1º Período]],3,FALSE)&gt;0,VLOOKUP(tblHorasDez[Dia],tblDiaUtil[[Abreviatura]:[1º Período]],3,FALSE),JORNADA_PERIODO_1),
IF(VLOOKUP(tblHorasDez[Dia],tblDiaUtil[[Abreviatura]:[1º Período]],3,FALSE)&gt;0,VLOOKUP(tblHorasDez[Dia],tblDiaUtil[[Abreviatura]:[1º Período]],3,FALSE),JORNADA/2)),
        IF(AND(ISNUMBER(tblHorasDez[Saída - 1 (Almoço)]),ISNUMBER(tblHorasDez[Entrada - 1])),
              IF(OR(AND(tblHorasDez[Evento 
(1º Período)]&lt;&gt;"",IF(ISERROR(VLOOKUP(tblHorasDez[Evento 
(1º Período)],tblEvento[],Tabelas!$E$1,FALSE)),FALSE,VLOOKUP(tblHorasDez[Evento 
(1º Período)],tblEvento[],Tabelas!$E$1,FALSE)="Sim")),IF(VLOOKUP(TEXT(tblHorasDez[Data],"dddd"),tblDiaUtil[],2,FALSE)="Não",TRUE,FALSE)),
                   tblHorasDez[Saída - 1 (Almoço)]-tblHorasDez[Entrada - 1],
                   IF(OR(HOUR(tblHorasDez[Saída - 1 (Almoço)]-tblHorasDez[Entrada - 1])&gt;0,ROUND(tblHorasDez[Saída - 1 (Almoço)]-tblHorasDez[Entrada - 1],6)&gt;ROUND(CARENCIA,6)),
                          tblHorasDez[Saída - 1 (Almoço)]-tblHorasDez[Entrada - 1],
                          0)),
                    0)),0)</f>
        <v>0</v>
      </c>
      <c r="K35" s="4">
        <f>IF($B$6&lt;&gt;"",
IF(AND(tblHorasDez[Evento 
(2º Período)]&lt;&gt;"",IF(ISERROR(VLOOKUP(tblHorasDez[Evento 
(2º Período)],tblEvento[],Tabelas!$D$1,FALSE)),FALSE,VLOOKUP(tblHorasDez[Evento 
(2º Período)],tblEvento[],Tabelas!$D$1,FALSE)="Sim")),
        IF(JORNADA_PERIODO_2&lt;&gt;"",
IF(VLOOKUP(tblHorasDez[Dia],tblDiaUtil[[Abreviatura]:[2º Período]],4,FALSE)&gt;0,VLOOKUP(tblHorasDez[Dia],tblDiaUtil[[Abreviatura]:[2º Período]],4,FALSE),JORNADA_PERIODO_2),
IF(VLOOKUP(tblHorasDez[Dia],tblDiaUtil[[Abreviatura]:[2º Período]],4,FALSE)&gt;0,VLOOKUP(tblHorasDez[Dia],tblDiaUtil[[Abreviatura]:[2º Período]],4,FALSE),JORNADA/2)),
        IF(AND(ISNUMBER(tblHorasDez[Saída - 2]),ISNUMBER(tblHorasDez[Entrada - 2 (Almoço)])),
              IF(OR(AND(tblHorasDez[Evento 
(2º Período)]&lt;&gt;"",IF(ISERROR(VLOOKUP(tblHorasDez[Evento 
(2º Período)],tblEvento[],Tabelas!$E$1,FALSE)),FALSE,VLOOKUP(tblHorasDez[Evento 
(2º Período)],tblEvento[],Tabelas!$E$1,FALSE)="Sim")),IF(VLOOKUP(TEXT(tblHorasDez[Data],"dddd"),tblDiaUtil[],2,FALSE)="Não",TRUE,FALSE)),
                   tblHorasDez[Saída - 2]-tblHorasDez[Entrada - 2 (Almoço)],
                   IF(OR(HOUR(tblHorasDez[Saída - 2]-tblHorasDez[Entrada - 2 (Almoço)])&gt;0,MINUTE(tblHorasDez[Saída - 2]-tblHorasDez[Entrada - 2 (Almoço)])&gt;CARENCIA),
                         tblHorasDez[Saída - 2]-tblHorasDez[Entrada - 2 (Almoço)],
                         0)),
       0)),0)</f>
        <v>0</v>
      </c>
      <c r="L35" s="4">
        <f>tblHorasDez[Horas Trabalhadas (1º Período)]+tblHorasDez[Horas Trabalhadas (2º Período)]</f>
        <v>0</v>
      </c>
      <c r="M35" s="4" t="str">
        <f>IF(tblHorasDez[Data]&lt;&gt;"",
        IF(
AND(VLOOKUP(TEXT(tblHorasDez[Data],"dddd"),tblDiaUtil[],3,FALSE)="Sim",IF(tblHorasDez[Evento 
(1º Período)]&lt;&gt;"",IF(VLOOKUP(tblHorasDez[Evento 
(1º Período)],tblEvento[],Tabelas!$E$1,FALSE)="Sim",FALSE,TRUE),TRUE),IF(tblHorasDez[Evento 
(2º Período)]&lt;&gt;"",IF(VLOOKUP(tblHorasDez[Evento 
(2º Período)],tblEvento[],Tabelas!$E$1,FALSE)="Sim",FALSE,TRUE),TRUE)),
              IF(VLOOKUP(tblHorasDez[Dia],tblDiaUtil[[Abreviatura]:[1º Período]],3,FALSE)&gt;0,VLOOKUP(tblHorasDez[Dia],tblDiaUtil[[Abreviatura]:[1º Período]],3,FALSE),JORNADA),
              ""),
         "")</f>
        <v/>
      </c>
      <c r="N35" s="14">
        <f>IF(OR(tblHorasDez[Horas Trabalhadas (1º Período)]&lt;&gt;0,tblHorasDez[Horas Trabalhadas (2º Período)]&lt;&gt;0),
        IF(ISNUMBER(tblHorasDez[Jornada Diária]),
              IF(tblHorasDez[Jornada Diária]&gt;(tblHorasDez[Horas Trabalhadas (2º Período)]+tblHorasDez[Horas Trabalhadas (1º Período)]),
                     IF(ROUND((tblHorasDez[Jornada Diária]-(tblHorasDez[Horas Trabalhadas (2º Período)]+tblHorasDez[Horas Trabalhadas (1º Período)])),6)&gt;ROUND(CARENCIA,6),
                           -tblHorasDez[Jornada Diária]+(tblHorasDez[Horas Trabalhadas (2º Período)]+tblHorasDez[Horas Trabalhadas (1º Período)]),
                           0),
                      IF(ROUND((tblHorasDez[Jornada Diária]-(tblHorasDez[Horas Trabalhadas (2º Período)]+tblHorasDez[Horas Trabalhadas (1º Período)])),6)&lt;ROUND(-CARENCIA,6),
                           -tblHorasDez[Jornada Diária]+(tblHorasDez[Horas Trabalhadas (2º Período)]+tblHorasDez[Horas Trabalhadas (1º Período)]),
                           0)),
              tblHorasDez[Horas Trabalhadas (2º Período)]+tblHorasDez[Horas Trabalhadas (1º Período)]),
         IF(AND(IF(ISERROR(VLOOKUP(tblHorasDez[Evento 
(1º Período)],tblEvento[[Evento]:[Libera o Período]],4,FALSE)),FALSE,IF(VLOOKUP(tblHorasDez[Evento 
(1º Período)],tblEvento[[Evento]:[Libera o Período]],4,FALSE)="Não",TRUE,FALSE)),IF(ISERROR(VLOOKUP(tblHorasDez[Evento 
(2º Período)],tblEvento[[Evento]:[Libera o Período]],4,FALSE)),FALSE,IF(VLOOKUP(tblHorasDez[Evento 
(2º Período)],tblEvento[[Evento]:[Libera o Período]],4,FALSE)="Não",TRUE,FALSE))),
-IF(VLOOKUP(tblHorasDez[Dia],tblDiaUtil[[Abreviatura]:[Total Jornada]],5,FALSE)&lt;&gt;"",VLOOKUP(tblHorasDez[Dia],tblDiaUtil[[Abreviatura]:[Total Jornada]],5,FALSE),JORNADA),
IF(IF(ISERROR(VLOOKUP(tblHorasDez[Evento 
(1º Período)],tblEvento[[Evento]:[Libera o Período]],4,FALSE)),FALSE,
IF(VLOOKUP(tblHorasDez[Evento 
(1º Período)],tblEvento[[Evento]:[Libera o Período]],4,FALSE)="Não",TRUE,FALSE)
),
-IF(VLOOKUP(tblHorasDez[Dia],tblDiaUtil[[Abreviatura]:[1º Período]],3,FALSE)&lt;&gt;"",VLOOKUP(tblHorasDez[Dia],tblDiaUtil[[Abreviatura]:[1º Período]],3,FALSE),JORNADA_PERIODO_1),
IF(IF(ISERROR(VLOOKUP(tblHorasDez[Evento 
(2º Período)],tblEvento[[Evento]:[Libera o Período]],4,FALSE)),FALSE,IF(VLOOKUP(tblHorasDez[Evento 
(2º Período)],tblEvento[[Evento]:[Libera o Período]],4,FALSE)="Não",TRUE,FALSE)),
-IF(VLOOKUP(tblHorasDez[Dia],tblDiaUtil[[Abreviatura]:[2º Período]],4,FALSE)&lt;&gt;"",VLOOKUP(tblHorasDez[Dia],tblDiaUtil[[Abreviatura]:[2º Período]],4,FALSE),JORNADA_PERIODO_2),0))))</f>
        <v>0</v>
      </c>
      <c r="O35" s="14">
        <f>IF(tblHorasDez[Horas Trabalhadas Além Jornada]&gt;0,
        IF(ISNUMBER(tblHorasDez[Jornada Diária]),
              IF(HOUR(tblHorasDez[Horas Trabalhadas Além Jornada])&gt;=VLOOKUP(LIMITE,tblLimiteHora[],Tabelas!$I$1,FALSE),
                    VLOOKUP(LIMITE,tblLimiteHora[],Tabelas!$J$1,FALSE),
                    tblHorasDez[Horas Trabalhadas Além Jornada]),
              tblHorasDez[Horas Trabalhadas Além Jornada]),
        tblHorasDez[Horas Trabalhadas Além Jornada])+O34</f>
        <v>0</v>
      </c>
      <c r="P35" s="14" t="str">
        <f>IF(tblHorasDez[Horas Trabalhadas Além Jornada]&lt;0,IF(OR(tblHorasDez[Evento 
(1º Período)]="",tblHorasDez[Evento 
(2º Período)]=""),tblHorasDez[Horas Trabalhadas Além Jornada],""),"")</f>
        <v/>
      </c>
      <c r="Q35" s="14" t="str">
        <f>IF(tblHorasDez[Jornada Diária]&lt;&gt;"",IF((N(tblHorasDez[Jornada Diária])-ABS(N(tblHorasDez[Horas Trabalhadas Além Jornada])))=0,1,""),"")</f>
        <v/>
      </c>
      <c r="R35" s="14" t="str">
        <f>IF(tblHorasDez[Horas Trabalhadas Além Jornada]&gt;0,
IF(AND(VLOOKUP(TEXT(tblHorasDez[Data],"dddd"),tblDiaUtil[],3,FALSE)="Sim",IF(tblHorasDez[Evento 
(1º Período)]&lt;&gt;"",IF(VLOOKUP(tblHorasDez[Evento 
(1º Período)],tblEvento[],Tabelas!$E$1,FALSE)="Sim",FALSE,TRUE),TRUE),IF(tblHorasDez[Evento 
(2º Período)]&lt;&gt;"",IF(VLOOKUP(tblHorasDez[Evento 
(2º Período)],tblEvento[],Tabelas!$E$1,FALSE)="Sim",FALSE,TRUE),TRUE)),
tblHorasDez[Horas Trabalhadas Além Jornada],""),"")</f>
        <v/>
      </c>
      <c r="S35" s="14" t="str">
        <f>IF(tblHorasDez[Horas Trabalhadas Além Jornada]&gt;0,
IF(OR(VLOOKUP(TEXT(tblHorasDez[Data],"dddd"),tblDiaUtil[],3,FALSE)="Não",IF(tblHorasDez[Evento 
(1º Período)]&lt;&gt;"",IF(VLOOKUP(tblHorasDez[Evento 
(1º Período)],tblEvento[],Tabelas!$E$1,FALSE)="Sim",TRUE,FALSE),FALSE),IF(tblHorasDez[Evento 
(2º Período)]&lt;&gt;"",IF(VLOOKUP(tblHorasDez[Evento 
(2º Período)],tblEvento[],Tabelas!$E$1,FALSE)="Sim",TRUE,FALSE),FALSE)),
tblHorasDez[Horas Trabalhadas Além Jornada],""),"")</f>
        <v/>
      </c>
      <c r="T35" s="15" t="str">
        <f>IF(tblHorasDez[Evento 
(1º Período)]&lt;&gt;""," - " &amp;VLOOKUP(tblHorasDez[Evento 
(1º Período)],tblEvento[],Tabelas!$F$1,FALSE),"")&amp;IF(AND(tblHorasDez[Evento 
(2º Período)]&lt;&gt;"",tblHorasDez[Evento 
(2º Período)]&lt;&gt;tblHorasDez[Evento 
(1º Período)])," - " &amp; VLOOKUP(tblHorasDez[Evento 
(2º Período)],tblEvento[],Tabelas!$F$1,FALSE),"")</f>
        <v/>
      </c>
    </row>
    <row r="36" spans="2:21" x14ac:dyDescent="0.25">
      <c r="B36" s="11" t="str">
        <f t="shared" si="0"/>
        <v/>
      </c>
      <c r="C36" s="12" t="str">
        <f>TEXT(tblHorasDez[Data],"ddd")</f>
        <v/>
      </c>
      <c r="D36" s="25"/>
      <c r="E36" s="1"/>
      <c r="F36" s="1"/>
      <c r="G36" s="1"/>
      <c r="H36" s="1"/>
      <c r="I36" s="53"/>
      <c r="J36" s="4">
        <f>IF($B$6&lt;&gt;"",
IF(AND(tblHorasDez[Evento 
(1º Período)]&lt;&gt;"",IF(ISERROR(VLOOKUP(tblHorasDez[Evento 
(1º Período)],tblEvento[],Tabelas!$D$1,FALSE)),FALSE,VLOOKUP(tblHorasDez[Evento 
(1º Período)],tblEvento[],Tabelas!$D$1,FALSE)="Sim")),
        IF(JORNADA_PERIODO_1&lt;&gt;"",
IF(VLOOKUP(tblHorasDez[Dia],tblDiaUtil[[Abreviatura]:[1º Período]],3,FALSE)&gt;0,VLOOKUP(tblHorasDez[Dia],tblDiaUtil[[Abreviatura]:[1º Período]],3,FALSE),JORNADA_PERIODO_1),
IF(VLOOKUP(tblHorasDez[Dia],tblDiaUtil[[Abreviatura]:[1º Período]],3,FALSE)&gt;0,VLOOKUP(tblHorasDez[Dia],tblDiaUtil[[Abreviatura]:[1º Período]],3,FALSE),JORNADA/2)),
        IF(AND(ISNUMBER(tblHorasDez[Saída - 1 (Almoço)]),ISNUMBER(tblHorasDez[Entrada - 1])),
              IF(OR(AND(tblHorasDez[Evento 
(1º Período)]&lt;&gt;"",IF(ISERROR(VLOOKUP(tblHorasDez[Evento 
(1º Período)],tblEvento[],Tabelas!$E$1,FALSE)),FALSE,VLOOKUP(tblHorasDez[Evento 
(1º Período)],tblEvento[],Tabelas!$E$1,FALSE)="Sim")),IF(VLOOKUP(TEXT(tblHorasDez[Data],"dddd"),tblDiaUtil[],2,FALSE)="Não",TRUE,FALSE)),
                   tblHorasDez[Saída - 1 (Almoço)]-tblHorasDez[Entrada - 1],
                   IF(OR(HOUR(tblHorasDez[Saída - 1 (Almoço)]-tblHorasDez[Entrada - 1])&gt;0,ROUND(tblHorasDez[Saída - 1 (Almoço)]-tblHorasDez[Entrada - 1],6)&gt;ROUND(CARENCIA,6)),
                          tblHorasDez[Saída - 1 (Almoço)]-tblHorasDez[Entrada - 1],
                          0)),
                    0)),0)</f>
        <v>0</v>
      </c>
      <c r="K36" s="4">
        <f>IF($B$6&lt;&gt;"",
IF(AND(tblHorasDez[Evento 
(2º Período)]&lt;&gt;"",IF(ISERROR(VLOOKUP(tblHorasDez[Evento 
(2º Período)],tblEvento[],Tabelas!$D$1,FALSE)),FALSE,VLOOKUP(tblHorasDez[Evento 
(2º Período)],tblEvento[],Tabelas!$D$1,FALSE)="Sim")),
        IF(JORNADA_PERIODO_2&lt;&gt;"",
IF(VLOOKUP(tblHorasDez[Dia],tblDiaUtil[[Abreviatura]:[2º Período]],4,FALSE)&gt;0,VLOOKUP(tblHorasDez[Dia],tblDiaUtil[[Abreviatura]:[2º Período]],4,FALSE),JORNADA_PERIODO_2),
IF(VLOOKUP(tblHorasDez[Dia],tblDiaUtil[[Abreviatura]:[2º Período]],4,FALSE)&gt;0,VLOOKUP(tblHorasDez[Dia],tblDiaUtil[[Abreviatura]:[2º Período]],4,FALSE),JORNADA/2)),
        IF(AND(ISNUMBER(tblHorasDez[Saída - 2]),ISNUMBER(tblHorasDez[Entrada - 2 (Almoço)])),
              IF(OR(AND(tblHorasDez[Evento 
(2º Período)]&lt;&gt;"",IF(ISERROR(VLOOKUP(tblHorasDez[Evento 
(2º Período)],tblEvento[],Tabelas!$E$1,FALSE)),FALSE,VLOOKUP(tblHorasDez[Evento 
(2º Período)],tblEvento[],Tabelas!$E$1,FALSE)="Sim")),IF(VLOOKUP(TEXT(tblHorasDez[Data],"dddd"),tblDiaUtil[],2,FALSE)="Não",TRUE,FALSE)),
                   tblHorasDez[Saída - 2]-tblHorasDez[Entrada - 2 (Almoço)],
                   IF(OR(HOUR(tblHorasDez[Saída - 2]-tblHorasDez[Entrada - 2 (Almoço)])&gt;0,MINUTE(tblHorasDez[Saída - 2]-tblHorasDez[Entrada - 2 (Almoço)])&gt;CARENCIA),
                         tblHorasDez[Saída - 2]-tblHorasDez[Entrada - 2 (Almoço)],
                         0)),
       0)),0)</f>
        <v>0</v>
      </c>
      <c r="L36" s="4">
        <f>tblHorasDez[Horas Trabalhadas (1º Período)]+tblHorasDez[Horas Trabalhadas (2º Período)]</f>
        <v>0</v>
      </c>
      <c r="M36" s="4" t="str">
        <f>IF(tblHorasDez[Data]&lt;&gt;"",
        IF(
AND(VLOOKUP(TEXT(tblHorasDez[Data],"dddd"),tblDiaUtil[],3,FALSE)="Sim",IF(tblHorasDez[Evento 
(1º Período)]&lt;&gt;"",IF(VLOOKUP(tblHorasDez[Evento 
(1º Período)],tblEvento[],Tabelas!$E$1,FALSE)="Sim",FALSE,TRUE),TRUE),IF(tblHorasDez[Evento 
(2º Período)]&lt;&gt;"",IF(VLOOKUP(tblHorasDez[Evento 
(2º Período)],tblEvento[],Tabelas!$E$1,FALSE)="Sim",FALSE,TRUE),TRUE)),
              IF(VLOOKUP(tblHorasDez[Dia],tblDiaUtil[[Abreviatura]:[1º Período]],3,FALSE)&gt;0,VLOOKUP(tblHorasDez[Dia],tblDiaUtil[[Abreviatura]:[1º Período]],3,FALSE),JORNADA),
              ""),
         "")</f>
        <v/>
      </c>
      <c r="N36" s="14">
        <f>IF(OR(tblHorasDez[Horas Trabalhadas (1º Período)]&lt;&gt;0,tblHorasDez[Horas Trabalhadas (2º Período)]&lt;&gt;0),
        IF(ISNUMBER(tblHorasDez[Jornada Diária]),
              IF(tblHorasDez[Jornada Diária]&gt;(tblHorasDez[Horas Trabalhadas (2º Período)]+tblHorasDez[Horas Trabalhadas (1º Período)]),
                     IF(ROUND((tblHorasDez[Jornada Diária]-(tblHorasDez[Horas Trabalhadas (2º Período)]+tblHorasDez[Horas Trabalhadas (1º Período)])),6)&gt;ROUND(CARENCIA,6),
                           -tblHorasDez[Jornada Diária]+(tblHorasDez[Horas Trabalhadas (2º Período)]+tblHorasDez[Horas Trabalhadas (1º Período)]),
                           0),
                      IF(ROUND((tblHorasDez[Jornada Diária]-(tblHorasDez[Horas Trabalhadas (2º Período)]+tblHorasDez[Horas Trabalhadas (1º Período)])),6)&lt;ROUND(-CARENCIA,6),
                           -tblHorasDez[Jornada Diária]+(tblHorasDez[Horas Trabalhadas (2º Período)]+tblHorasDez[Horas Trabalhadas (1º Período)]),
                           0)),
              tblHorasDez[Horas Trabalhadas (2º Período)]+tblHorasDez[Horas Trabalhadas (1º Período)]),
         IF(AND(IF(ISERROR(VLOOKUP(tblHorasDez[Evento 
(1º Período)],tblEvento[[Evento]:[Libera o Período]],4,FALSE)),FALSE,IF(VLOOKUP(tblHorasDez[Evento 
(1º Período)],tblEvento[[Evento]:[Libera o Período]],4,FALSE)="Não",TRUE,FALSE)),IF(ISERROR(VLOOKUP(tblHorasDez[Evento 
(2º Período)],tblEvento[[Evento]:[Libera o Período]],4,FALSE)),FALSE,IF(VLOOKUP(tblHorasDez[Evento 
(2º Período)],tblEvento[[Evento]:[Libera o Período]],4,FALSE)="Não",TRUE,FALSE))),
-IF(VLOOKUP(tblHorasDez[Dia],tblDiaUtil[[Abreviatura]:[Total Jornada]],5,FALSE)&lt;&gt;"",VLOOKUP(tblHorasDez[Dia],tblDiaUtil[[Abreviatura]:[Total Jornada]],5,FALSE),JORNADA),
IF(IF(ISERROR(VLOOKUP(tblHorasDez[Evento 
(1º Período)],tblEvento[[Evento]:[Libera o Período]],4,FALSE)),FALSE,
IF(VLOOKUP(tblHorasDez[Evento 
(1º Período)],tblEvento[[Evento]:[Libera o Período]],4,FALSE)="Não",TRUE,FALSE)
),
-IF(VLOOKUP(tblHorasDez[Dia],tblDiaUtil[[Abreviatura]:[1º Período]],3,FALSE)&lt;&gt;"",VLOOKUP(tblHorasDez[Dia],tblDiaUtil[[Abreviatura]:[1º Período]],3,FALSE),JORNADA_PERIODO_1),
IF(IF(ISERROR(VLOOKUP(tblHorasDez[Evento 
(2º Período)],tblEvento[[Evento]:[Libera o Período]],4,FALSE)),FALSE,IF(VLOOKUP(tblHorasDez[Evento 
(2º Período)],tblEvento[[Evento]:[Libera o Período]],4,FALSE)="Não",TRUE,FALSE)),
-IF(VLOOKUP(tblHorasDez[Dia],tblDiaUtil[[Abreviatura]:[2º Período]],4,FALSE)&lt;&gt;"",VLOOKUP(tblHorasDez[Dia],tblDiaUtil[[Abreviatura]:[2º Período]],4,FALSE),JORNADA_PERIODO_2),0))))</f>
        <v>0</v>
      </c>
      <c r="O36" s="14">
        <f>IF(tblHorasDez[Horas Trabalhadas Além Jornada]&gt;0,
        IF(ISNUMBER(tblHorasDez[Jornada Diária]),
              IF(HOUR(tblHorasDez[Horas Trabalhadas Além Jornada])&gt;=VLOOKUP(LIMITE,tblLimiteHora[],Tabelas!$I$1,FALSE),
                    VLOOKUP(LIMITE,tblLimiteHora[],Tabelas!$J$1,FALSE),
                    tblHorasDez[Horas Trabalhadas Além Jornada]),
              tblHorasDez[Horas Trabalhadas Além Jornada]),
        tblHorasDez[Horas Trabalhadas Além Jornada])+O35</f>
        <v>0</v>
      </c>
      <c r="P36" s="14" t="str">
        <f>IF(tblHorasDez[Horas Trabalhadas Além Jornada]&lt;0,IF(OR(tblHorasDez[Evento 
(1º Período)]="",tblHorasDez[Evento 
(2º Período)]=""),tblHorasDez[Horas Trabalhadas Além Jornada],""),"")</f>
        <v/>
      </c>
      <c r="Q36" s="14" t="str">
        <f>IF(tblHorasDez[Jornada Diária]&lt;&gt;"",IF((N(tblHorasDez[Jornada Diária])-ABS(N(tblHorasDez[Horas Trabalhadas Além Jornada])))=0,1,""),"")</f>
        <v/>
      </c>
      <c r="R36" s="14" t="str">
        <f>IF(tblHorasDez[Horas Trabalhadas Além Jornada]&gt;0,
IF(AND(VLOOKUP(TEXT(tblHorasDez[Data],"dddd"),tblDiaUtil[],3,FALSE)="Sim",IF(tblHorasDez[Evento 
(1º Período)]&lt;&gt;"",IF(VLOOKUP(tblHorasDez[Evento 
(1º Período)],tblEvento[],Tabelas!$E$1,FALSE)="Sim",FALSE,TRUE),TRUE),IF(tblHorasDez[Evento 
(2º Período)]&lt;&gt;"",IF(VLOOKUP(tblHorasDez[Evento 
(2º Período)],tblEvento[],Tabelas!$E$1,FALSE)="Sim",FALSE,TRUE),TRUE)),
tblHorasDez[Horas Trabalhadas Além Jornada],""),"")</f>
        <v/>
      </c>
      <c r="S36" s="14" t="str">
        <f>IF(tblHorasDez[Horas Trabalhadas Além Jornada]&gt;0,
IF(OR(VLOOKUP(TEXT(tblHorasDez[Data],"dddd"),tblDiaUtil[],3,FALSE)="Não",IF(tblHorasDez[Evento 
(1º Período)]&lt;&gt;"",IF(VLOOKUP(tblHorasDez[Evento 
(1º Período)],tblEvento[],Tabelas!$E$1,FALSE)="Sim",TRUE,FALSE),FALSE),IF(tblHorasDez[Evento 
(2º Período)]&lt;&gt;"",IF(VLOOKUP(tblHorasDez[Evento 
(2º Período)],tblEvento[],Tabelas!$E$1,FALSE)="Sim",TRUE,FALSE),FALSE)),
tblHorasDez[Horas Trabalhadas Além Jornada],""),"")</f>
        <v/>
      </c>
      <c r="T36" s="15" t="str">
        <f>IF(tblHorasDez[Evento 
(1º Período)]&lt;&gt;""," - " &amp;VLOOKUP(tblHorasDez[Evento 
(1º Período)],tblEvento[],Tabelas!$F$1,FALSE),"")&amp;IF(AND(tblHorasDez[Evento 
(2º Período)]&lt;&gt;"",tblHorasDez[Evento 
(2º Período)]&lt;&gt;tblHorasDez[Evento 
(1º Período)])," - " &amp; VLOOKUP(tblHorasDez[Evento 
(2º Período)],tblEvento[],Tabelas!$F$1,FALSE),"")</f>
        <v/>
      </c>
    </row>
    <row r="37" spans="2:21" x14ac:dyDescent="0.25">
      <c r="B37" s="11" t="str">
        <f t="shared" si="0"/>
        <v/>
      </c>
      <c r="C37" s="12" t="str">
        <f>TEXT(tblHorasDez[Data],"ddd")</f>
        <v/>
      </c>
      <c r="D37" s="25"/>
      <c r="E37" s="1"/>
      <c r="F37" s="1"/>
      <c r="G37" s="1"/>
      <c r="H37" s="1"/>
      <c r="I37" s="53"/>
      <c r="J37" s="4">
        <f>IF($B$6&lt;&gt;"",
IF(AND(tblHorasDez[Evento 
(1º Período)]&lt;&gt;"",IF(ISERROR(VLOOKUP(tblHorasDez[Evento 
(1º Período)],tblEvento[],Tabelas!$D$1,FALSE)),FALSE,VLOOKUP(tblHorasDez[Evento 
(1º Período)],tblEvento[],Tabelas!$D$1,FALSE)="Sim")),
        IF(JORNADA_PERIODO_1&lt;&gt;"",
IF(VLOOKUP(tblHorasDez[Dia],tblDiaUtil[[Abreviatura]:[1º Período]],3,FALSE)&gt;0,VLOOKUP(tblHorasDez[Dia],tblDiaUtil[[Abreviatura]:[1º Período]],3,FALSE),JORNADA_PERIODO_1),
IF(VLOOKUP(tblHorasDez[Dia],tblDiaUtil[[Abreviatura]:[1º Período]],3,FALSE)&gt;0,VLOOKUP(tblHorasDez[Dia],tblDiaUtil[[Abreviatura]:[1º Período]],3,FALSE),JORNADA/2)),
        IF(AND(ISNUMBER(tblHorasDez[Saída - 1 (Almoço)]),ISNUMBER(tblHorasDez[Entrada - 1])),
              IF(OR(AND(tblHorasDez[Evento 
(1º Período)]&lt;&gt;"",IF(ISERROR(VLOOKUP(tblHorasDez[Evento 
(1º Período)],tblEvento[],Tabelas!$E$1,FALSE)),FALSE,VLOOKUP(tblHorasDez[Evento 
(1º Período)],tblEvento[],Tabelas!$E$1,FALSE)="Sim")),IF(VLOOKUP(TEXT(tblHorasDez[Data],"dddd"),tblDiaUtil[],2,FALSE)="Não",TRUE,FALSE)),
                   tblHorasDez[Saída - 1 (Almoço)]-tblHorasDez[Entrada - 1],
                   IF(OR(HOUR(tblHorasDez[Saída - 1 (Almoço)]-tblHorasDez[Entrada - 1])&gt;0,ROUND(tblHorasDez[Saída - 1 (Almoço)]-tblHorasDez[Entrada - 1],6)&gt;ROUND(CARENCIA,6)),
                          tblHorasDez[Saída - 1 (Almoço)]-tblHorasDez[Entrada - 1],
                          0)),
                    0)),0)</f>
        <v>0</v>
      </c>
      <c r="K37" s="4">
        <f>IF($B$6&lt;&gt;"",
IF(AND(tblHorasDez[Evento 
(2º Período)]&lt;&gt;"",IF(ISERROR(VLOOKUP(tblHorasDez[Evento 
(2º Período)],tblEvento[],Tabelas!$D$1,FALSE)),FALSE,VLOOKUP(tblHorasDez[Evento 
(2º Período)],tblEvento[],Tabelas!$D$1,FALSE)="Sim")),
        IF(JORNADA_PERIODO_2&lt;&gt;"",
IF(VLOOKUP(tblHorasDez[Dia],tblDiaUtil[[Abreviatura]:[2º Período]],4,FALSE)&gt;0,VLOOKUP(tblHorasDez[Dia],tblDiaUtil[[Abreviatura]:[2º Período]],4,FALSE),JORNADA_PERIODO_2),
IF(VLOOKUP(tblHorasDez[Dia],tblDiaUtil[[Abreviatura]:[2º Período]],4,FALSE)&gt;0,VLOOKUP(tblHorasDez[Dia],tblDiaUtil[[Abreviatura]:[2º Período]],4,FALSE),JORNADA/2)),
        IF(AND(ISNUMBER(tblHorasDez[Saída - 2]),ISNUMBER(tblHorasDez[Entrada - 2 (Almoço)])),
              IF(OR(AND(tblHorasDez[Evento 
(2º Período)]&lt;&gt;"",IF(ISERROR(VLOOKUP(tblHorasDez[Evento 
(2º Período)],tblEvento[],Tabelas!$E$1,FALSE)),FALSE,VLOOKUP(tblHorasDez[Evento 
(2º Período)],tblEvento[],Tabelas!$E$1,FALSE)="Sim")),IF(VLOOKUP(TEXT(tblHorasDez[Data],"dddd"),tblDiaUtil[],2,FALSE)="Não",TRUE,FALSE)),
                   tblHorasDez[Saída - 2]-tblHorasDez[Entrada - 2 (Almoço)],
                   IF(OR(HOUR(tblHorasDez[Saída - 2]-tblHorasDez[Entrada - 2 (Almoço)])&gt;0,MINUTE(tblHorasDez[Saída - 2]-tblHorasDez[Entrada - 2 (Almoço)])&gt;CARENCIA),
                         tblHorasDez[Saída - 2]-tblHorasDez[Entrada - 2 (Almoço)],
                         0)),
       0)),0)</f>
        <v>0</v>
      </c>
      <c r="L37" s="4">
        <f>tblHorasDez[Horas Trabalhadas (1º Período)]+tblHorasDez[Horas Trabalhadas (2º Período)]</f>
        <v>0</v>
      </c>
      <c r="M37" s="4" t="str">
        <f>IF(tblHorasDez[Data]&lt;&gt;"",
        IF(
AND(VLOOKUP(TEXT(tblHorasDez[Data],"dddd"),tblDiaUtil[],3,FALSE)="Sim",IF(tblHorasDez[Evento 
(1º Período)]&lt;&gt;"",IF(VLOOKUP(tblHorasDez[Evento 
(1º Período)],tblEvento[],Tabelas!$E$1,FALSE)="Sim",FALSE,TRUE),TRUE),IF(tblHorasDez[Evento 
(2º Período)]&lt;&gt;"",IF(VLOOKUP(tblHorasDez[Evento 
(2º Período)],tblEvento[],Tabelas!$E$1,FALSE)="Sim",FALSE,TRUE),TRUE)),
              IF(VLOOKUP(tblHorasDez[Dia],tblDiaUtil[[Abreviatura]:[1º Período]],3,FALSE)&gt;0,VLOOKUP(tblHorasDez[Dia],tblDiaUtil[[Abreviatura]:[1º Período]],3,FALSE),JORNADA),
              ""),
         "")</f>
        <v/>
      </c>
      <c r="N37" s="14">
        <f>IF(OR(tblHorasDez[Horas Trabalhadas (1º Período)]&lt;&gt;0,tblHorasDez[Horas Trabalhadas (2º Período)]&lt;&gt;0),
        IF(ISNUMBER(tblHorasDez[Jornada Diária]),
              IF(tblHorasDez[Jornada Diária]&gt;(tblHorasDez[Horas Trabalhadas (2º Período)]+tblHorasDez[Horas Trabalhadas (1º Período)]),
                     IF(ROUND((tblHorasDez[Jornada Diária]-(tblHorasDez[Horas Trabalhadas (2º Período)]+tblHorasDez[Horas Trabalhadas (1º Período)])),6)&gt;ROUND(CARENCIA,6),
                           -tblHorasDez[Jornada Diária]+(tblHorasDez[Horas Trabalhadas (2º Período)]+tblHorasDez[Horas Trabalhadas (1º Período)]),
                           0),
                      IF(ROUND((tblHorasDez[Jornada Diária]-(tblHorasDez[Horas Trabalhadas (2º Período)]+tblHorasDez[Horas Trabalhadas (1º Período)])),6)&lt;ROUND(-CARENCIA,6),
                           -tblHorasDez[Jornada Diária]+(tblHorasDez[Horas Trabalhadas (2º Período)]+tblHorasDez[Horas Trabalhadas (1º Período)]),
                           0)),
              tblHorasDez[Horas Trabalhadas (2º Período)]+tblHorasDez[Horas Trabalhadas (1º Período)]),
         IF(AND(IF(ISERROR(VLOOKUP(tblHorasDez[Evento 
(1º Período)],tblEvento[[Evento]:[Libera o Período]],4,FALSE)),FALSE,IF(VLOOKUP(tblHorasDez[Evento 
(1º Período)],tblEvento[[Evento]:[Libera o Período]],4,FALSE)="Não",TRUE,FALSE)),IF(ISERROR(VLOOKUP(tblHorasDez[Evento 
(2º Período)],tblEvento[[Evento]:[Libera o Período]],4,FALSE)),FALSE,IF(VLOOKUP(tblHorasDez[Evento 
(2º Período)],tblEvento[[Evento]:[Libera o Período]],4,FALSE)="Não",TRUE,FALSE))),
-IF(VLOOKUP(tblHorasDez[Dia],tblDiaUtil[[Abreviatura]:[Total Jornada]],5,FALSE)&lt;&gt;"",VLOOKUP(tblHorasDez[Dia],tblDiaUtil[[Abreviatura]:[Total Jornada]],5,FALSE),JORNADA),
IF(IF(ISERROR(VLOOKUP(tblHorasDez[Evento 
(1º Período)],tblEvento[[Evento]:[Libera o Período]],4,FALSE)),FALSE,
IF(VLOOKUP(tblHorasDez[Evento 
(1º Período)],tblEvento[[Evento]:[Libera o Período]],4,FALSE)="Não",TRUE,FALSE)
),
-IF(VLOOKUP(tblHorasDez[Dia],tblDiaUtil[[Abreviatura]:[1º Período]],3,FALSE)&lt;&gt;"",VLOOKUP(tblHorasDez[Dia],tblDiaUtil[[Abreviatura]:[1º Período]],3,FALSE),JORNADA_PERIODO_1),
IF(IF(ISERROR(VLOOKUP(tblHorasDez[Evento 
(2º Período)],tblEvento[[Evento]:[Libera o Período]],4,FALSE)),FALSE,IF(VLOOKUP(tblHorasDez[Evento 
(2º Período)],tblEvento[[Evento]:[Libera o Período]],4,FALSE)="Não",TRUE,FALSE)),
-IF(VLOOKUP(tblHorasDez[Dia],tblDiaUtil[[Abreviatura]:[2º Período]],4,FALSE)&lt;&gt;"",VLOOKUP(tblHorasDez[Dia],tblDiaUtil[[Abreviatura]:[2º Período]],4,FALSE),JORNADA_PERIODO_2),0))))</f>
        <v>0</v>
      </c>
      <c r="O37" s="14">
        <f>IF(tblHorasDez[Horas Trabalhadas Além Jornada]&gt;0,
        IF(ISNUMBER(tblHorasDez[Jornada Diária]),
              IF(HOUR(tblHorasDez[Horas Trabalhadas Além Jornada])&gt;=VLOOKUP(LIMITE,tblLimiteHora[],Tabelas!$I$1,FALSE),
                    VLOOKUP(LIMITE,tblLimiteHora[],Tabelas!$J$1,FALSE),
                    tblHorasDez[Horas Trabalhadas Além Jornada]),
              tblHorasDez[Horas Trabalhadas Além Jornada]),
        tblHorasDez[Horas Trabalhadas Além Jornada])+O36</f>
        <v>0</v>
      </c>
      <c r="P37" s="14" t="str">
        <f>IF(tblHorasDez[Horas Trabalhadas Além Jornada]&lt;0,IF(OR(tblHorasDez[Evento 
(1º Período)]="",tblHorasDez[Evento 
(2º Período)]=""),tblHorasDez[Horas Trabalhadas Além Jornada],""),"")</f>
        <v/>
      </c>
      <c r="Q37" s="14" t="str">
        <f>IF(tblHorasDez[Jornada Diária]&lt;&gt;"",IF((N(tblHorasDez[Jornada Diária])-ABS(N(tblHorasDez[Horas Trabalhadas Além Jornada])))=0,1,""),"")</f>
        <v/>
      </c>
      <c r="R37" s="14" t="str">
        <f>IF(tblHorasDez[Horas Trabalhadas Além Jornada]&gt;0,
IF(AND(VLOOKUP(TEXT(tblHorasDez[Data],"dddd"),tblDiaUtil[],3,FALSE)="Sim",IF(tblHorasDez[Evento 
(1º Período)]&lt;&gt;"",IF(VLOOKUP(tblHorasDez[Evento 
(1º Período)],tblEvento[],Tabelas!$E$1,FALSE)="Sim",FALSE,TRUE),TRUE),IF(tblHorasDez[Evento 
(2º Período)]&lt;&gt;"",IF(VLOOKUP(tblHorasDez[Evento 
(2º Período)],tblEvento[],Tabelas!$E$1,FALSE)="Sim",FALSE,TRUE),TRUE)),
tblHorasDez[Horas Trabalhadas Além Jornada],""),"")</f>
        <v/>
      </c>
      <c r="S37" s="14" t="str">
        <f>IF(tblHorasDez[Horas Trabalhadas Além Jornada]&gt;0,
IF(OR(VLOOKUP(TEXT(tblHorasDez[Data],"dddd"),tblDiaUtil[],3,FALSE)="Não",IF(tblHorasDez[Evento 
(1º Período)]&lt;&gt;"",IF(VLOOKUP(tblHorasDez[Evento 
(1º Período)],tblEvento[],Tabelas!$E$1,FALSE)="Sim",TRUE,FALSE),FALSE),IF(tblHorasDez[Evento 
(2º Período)]&lt;&gt;"",IF(VLOOKUP(tblHorasDez[Evento 
(2º Período)],tblEvento[],Tabelas!$E$1,FALSE)="Sim",TRUE,FALSE),FALSE)),
tblHorasDez[Horas Trabalhadas Além Jornada],""),"")</f>
        <v/>
      </c>
      <c r="T37" s="15" t="str">
        <f>IF(tblHorasDez[Evento 
(1º Período)]&lt;&gt;""," - " &amp;VLOOKUP(tblHorasDez[Evento 
(1º Período)],tblEvento[],Tabelas!$F$1,FALSE),"")&amp;IF(AND(tblHorasDez[Evento 
(2º Período)]&lt;&gt;"",tblHorasDez[Evento 
(2º Período)]&lt;&gt;tblHorasDez[Evento 
(1º Período)])," - " &amp; VLOOKUP(tblHorasDez[Evento 
(2º Período)],tblEvento[],Tabelas!$F$1,FALSE),"")</f>
        <v/>
      </c>
    </row>
    <row r="38" spans="2:21" x14ac:dyDescent="0.25">
      <c r="B38" s="11" t="str">
        <f t="shared" si="0"/>
        <v/>
      </c>
      <c r="C38" s="12" t="str">
        <f>TEXT(tblHorasDez[Data],"ddd")</f>
        <v/>
      </c>
      <c r="D38" s="25"/>
      <c r="E38" s="1"/>
      <c r="F38" s="1"/>
      <c r="G38" s="1"/>
      <c r="H38" s="1"/>
      <c r="I38" s="53"/>
      <c r="J38" s="4">
        <f>IF($B$6&lt;&gt;"",
IF(AND(tblHorasDez[Evento 
(1º Período)]&lt;&gt;"",IF(ISERROR(VLOOKUP(tblHorasDez[Evento 
(1º Período)],tblEvento[],Tabelas!$D$1,FALSE)),FALSE,VLOOKUP(tblHorasDez[Evento 
(1º Período)],tblEvento[],Tabelas!$D$1,FALSE)="Sim")),
        IF(JORNADA_PERIODO_1&lt;&gt;"",
IF(VLOOKUP(tblHorasDez[Dia],tblDiaUtil[[Abreviatura]:[1º Período]],3,FALSE)&gt;0,VLOOKUP(tblHorasDez[Dia],tblDiaUtil[[Abreviatura]:[1º Período]],3,FALSE),JORNADA_PERIODO_1),
IF(VLOOKUP(tblHorasDez[Dia],tblDiaUtil[[Abreviatura]:[1º Período]],3,FALSE)&gt;0,VLOOKUP(tblHorasDez[Dia],tblDiaUtil[[Abreviatura]:[1º Período]],3,FALSE),JORNADA/2)),
        IF(AND(ISNUMBER(tblHorasDez[Saída - 1 (Almoço)]),ISNUMBER(tblHorasDez[Entrada - 1])),
              IF(OR(AND(tblHorasDez[Evento 
(1º Período)]&lt;&gt;"",IF(ISERROR(VLOOKUP(tblHorasDez[Evento 
(1º Período)],tblEvento[],Tabelas!$E$1,FALSE)),FALSE,VLOOKUP(tblHorasDez[Evento 
(1º Período)],tblEvento[],Tabelas!$E$1,FALSE)="Sim")),IF(VLOOKUP(TEXT(tblHorasDez[Data],"dddd"),tblDiaUtil[],2,FALSE)="Não",TRUE,FALSE)),
                   tblHorasDez[Saída - 1 (Almoço)]-tblHorasDez[Entrada - 1],
                   IF(OR(HOUR(tblHorasDez[Saída - 1 (Almoço)]-tblHorasDez[Entrada - 1])&gt;0,ROUND(tblHorasDez[Saída - 1 (Almoço)]-tblHorasDez[Entrada - 1],6)&gt;ROUND(CARENCIA,6)),
                          tblHorasDez[Saída - 1 (Almoço)]-tblHorasDez[Entrada - 1],
                          0)),
                    0)),0)</f>
        <v>0</v>
      </c>
      <c r="K38" s="4">
        <f>IF($B$6&lt;&gt;"",
IF(AND(tblHorasDez[Evento 
(2º Período)]&lt;&gt;"",IF(ISERROR(VLOOKUP(tblHorasDez[Evento 
(2º Período)],tblEvento[],Tabelas!$D$1,FALSE)),FALSE,VLOOKUP(tblHorasDez[Evento 
(2º Período)],tblEvento[],Tabelas!$D$1,FALSE)="Sim")),
        IF(JORNADA_PERIODO_2&lt;&gt;"",
IF(VLOOKUP(tblHorasDez[Dia],tblDiaUtil[[Abreviatura]:[2º Período]],4,FALSE)&gt;0,VLOOKUP(tblHorasDez[Dia],tblDiaUtil[[Abreviatura]:[2º Período]],4,FALSE),JORNADA_PERIODO_2),
IF(VLOOKUP(tblHorasDez[Dia],tblDiaUtil[[Abreviatura]:[2º Período]],4,FALSE)&gt;0,VLOOKUP(tblHorasDez[Dia],tblDiaUtil[[Abreviatura]:[2º Período]],4,FALSE),JORNADA/2)),
        IF(AND(ISNUMBER(tblHorasDez[Saída - 2]),ISNUMBER(tblHorasDez[Entrada - 2 (Almoço)])),
              IF(OR(AND(tblHorasDez[Evento 
(2º Período)]&lt;&gt;"",IF(ISERROR(VLOOKUP(tblHorasDez[Evento 
(2º Período)],tblEvento[],Tabelas!$E$1,FALSE)),FALSE,VLOOKUP(tblHorasDez[Evento 
(2º Período)],tblEvento[],Tabelas!$E$1,FALSE)="Sim")),IF(VLOOKUP(TEXT(tblHorasDez[Data],"dddd"),tblDiaUtil[],2,FALSE)="Não",TRUE,FALSE)),
                   tblHorasDez[Saída - 2]-tblHorasDez[Entrada - 2 (Almoço)],
                   IF(OR(HOUR(tblHorasDez[Saída - 2]-tblHorasDez[Entrada - 2 (Almoço)])&gt;0,MINUTE(tblHorasDez[Saída - 2]-tblHorasDez[Entrada - 2 (Almoço)])&gt;CARENCIA),
                         tblHorasDez[Saída - 2]-tblHorasDez[Entrada - 2 (Almoço)],
                         0)),
       0)),0)</f>
        <v>0</v>
      </c>
      <c r="L38" s="4">
        <f>tblHorasDez[Horas Trabalhadas (1º Período)]+tblHorasDez[Horas Trabalhadas (2º Período)]</f>
        <v>0</v>
      </c>
      <c r="M38" s="4" t="str">
        <f>IF(tblHorasDez[Data]&lt;&gt;"",
        IF(
AND(VLOOKUP(TEXT(tblHorasDez[Data],"dddd"),tblDiaUtil[],3,FALSE)="Sim",IF(tblHorasDez[Evento 
(1º Período)]&lt;&gt;"",IF(VLOOKUP(tblHorasDez[Evento 
(1º Período)],tblEvento[],Tabelas!$E$1,FALSE)="Sim",FALSE,TRUE),TRUE),IF(tblHorasDez[Evento 
(2º Período)]&lt;&gt;"",IF(VLOOKUP(tblHorasDez[Evento 
(2º Período)],tblEvento[],Tabelas!$E$1,FALSE)="Sim",FALSE,TRUE),TRUE)),
              IF(VLOOKUP(tblHorasDez[Dia],tblDiaUtil[[Abreviatura]:[1º Período]],3,FALSE)&gt;0,VLOOKUP(tblHorasDez[Dia],tblDiaUtil[[Abreviatura]:[1º Período]],3,FALSE),JORNADA),
              ""),
         "")</f>
        <v/>
      </c>
      <c r="N38" s="14">
        <f>IF(OR(tblHorasDez[Horas Trabalhadas (1º Período)]&lt;&gt;0,tblHorasDez[Horas Trabalhadas (2º Período)]&lt;&gt;0),
        IF(ISNUMBER(tblHorasDez[Jornada Diária]),
              IF(tblHorasDez[Jornada Diária]&gt;(tblHorasDez[Horas Trabalhadas (2º Período)]+tblHorasDez[Horas Trabalhadas (1º Período)]),
                     IF(ROUND((tblHorasDez[Jornada Diária]-(tblHorasDez[Horas Trabalhadas (2º Período)]+tblHorasDez[Horas Trabalhadas (1º Período)])),6)&gt;ROUND(CARENCIA,6),
                           -tblHorasDez[Jornada Diária]+(tblHorasDez[Horas Trabalhadas (2º Período)]+tblHorasDez[Horas Trabalhadas (1º Período)]),
                           0),
                      IF(ROUND((tblHorasDez[Jornada Diária]-(tblHorasDez[Horas Trabalhadas (2º Período)]+tblHorasDez[Horas Trabalhadas (1º Período)])),6)&lt;ROUND(-CARENCIA,6),
                           -tblHorasDez[Jornada Diária]+(tblHorasDez[Horas Trabalhadas (2º Período)]+tblHorasDez[Horas Trabalhadas (1º Período)]),
                           0)),
              tblHorasDez[Horas Trabalhadas (2º Período)]+tblHorasDez[Horas Trabalhadas (1º Período)]),
         IF(AND(IF(ISERROR(VLOOKUP(tblHorasDez[Evento 
(1º Período)],tblEvento[[Evento]:[Libera o Período]],4,FALSE)),FALSE,IF(VLOOKUP(tblHorasDez[Evento 
(1º Período)],tblEvento[[Evento]:[Libera o Período]],4,FALSE)="Não",TRUE,FALSE)),IF(ISERROR(VLOOKUP(tblHorasDez[Evento 
(2º Período)],tblEvento[[Evento]:[Libera o Período]],4,FALSE)),FALSE,IF(VLOOKUP(tblHorasDez[Evento 
(2º Período)],tblEvento[[Evento]:[Libera o Período]],4,FALSE)="Não",TRUE,FALSE))),
-IF(VLOOKUP(tblHorasDez[Dia],tblDiaUtil[[Abreviatura]:[Total Jornada]],5,FALSE)&lt;&gt;"",VLOOKUP(tblHorasDez[Dia],tblDiaUtil[[Abreviatura]:[Total Jornada]],5,FALSE),JORNADA),
IF(IF(ISERROR(VLOOKUP(tblHorasDez[Evento 
(1º Período)],tblEvento[[Evento]:[Libera o Período]],4,FALSE)),FALSE,
IF(VLOOKUP(tblHorasDez[Evento 
(1º Período)],tblEvento[[Evento]:[Libera o Período]],4,FALSE)="Não",TRUE,FALSE)
),
-IF(VLOOKUP(tblHorasDez[Dia],tblDiaUtil[[Abreviatura]:[1º Período]],3,FALSE)&lt;&gt;"",VLOOKUP(tblHorasDez[Dia],tblDiaUtil[[Abreviatura]:[1º Período]],3,FALSE),JORNADA_PERIODO_1),
IF(IF(ISERROR(VLOOKUP(tblHorasDez[Evento 
(2º Período)],tblEvento[[Evento]:[Libera o Período]],4,FALSE)),FALSE,IF(VLOOKUP(tblHorasDez[Evento 
(2º Período)],tblEvento[[Evento]:[Libera o Período]],4,FALSE)="Não",TRUE,FALSE)),
-IF(VLOOKUP(tblHorasDez[Dia],tblDiaUtil[[Abreviatura]:[2º Período]],4,FALSE)&lt;&gt;"",VLOOKUP(tblHorasDez[Dia],tblDiaUtil[[Abreviatura]:[2º Período]],4,FALSE),JORNADA_PERIODO_2),0))))</f>
        <v>0</v>
      </c>
      <c r="O38" s="14">
        <f>IF(tblHorasDez[Horas Trabalhadas Além Jornada]&gt;0,
        IF(ISNUMBER(tblHorasDez[Jornada Diária]),
              IF(HOUR(tblHorasDez[Horas Trabalhadas Além Jornada])&gt;=VLOOKUP(LIMITE,tblLimiteHora[],Tabelas!$I$1,FALSE),
                    VLOOKUP(LIMITE,tblLimiteHora[],Tabelas!$J$1,FALSE),
                    tblHorasDez[Horas Trabalhadas Além Jornada]),
              tblHorasDez[Horas Trabalhadas Além Jornada]),
        tblHorasDez[Horas Trabalhadas Além Jornada])+O37</f>
        <v>0</v>
      </c>
      <c r="P38" s="14" t="str">
        <f>IF(tblHorasDez[Horas Trabalhadas Além Jornada]&lt;0,IF(OR(tblHorasDez[Evento 
(1º Período)]="",tblHorasDez[Evento 
(2º Período)]=""),tblHorasDez[Horas Trabalhadas Além Jornada],""),"")</f>
        <v/>
      </c>
      <c r="Q38" s="14" t="str">
        <f>IF(tblHorasDez[Jornada Diária]&lt;&gt;"",IF((N(tblHorasDez[Jornada Diária])-ABS(N(tblHorasDez[Horas Trabalhadas Além Jornada])))=0,1,""),"")</f>
        <v/>
      </c>
      <c r="R38" s="14" t="str">
        <f>IF(tblHorasDez[Horas Trabalhadas Além Jornada]&gt;0,
IF(AND(VLOOKUP(TEXT(tblHorasDez[Data],"dddd"),tblDiaUtil[],3,FALSE)="Sim",IF(tblHorasDez[Evento 
(1º Período)]&lt;&gt;"",IF(VLOOKUP(tblHorasDez[Evento 
(1º Período)],tblEvento[],Tabelas!$E$1,FALSE)="Sim",FALSE,TRUE),TRUE),IF(tblHorasDez[Evento 
(2º Período)]&lt;&gt;"",IF(VLOOKUP(tblHorasDez[Evento 
(2º Período)],tblEvento[],Tabelas!$E$1,FALSE)="Sim",FALSE,TRUE),TRUE)),
tblHorasDez[Horas Trabalhadas Além Jornada],""),"")</f>
        <v/>
      </c>
      <c r="S38" s="14" t="str">
        <f>IF(tblHorasDez[Horas Trabalhadas Além Jornada]&gt;0,
IF(OR(VLOOKUP(TEXT(tblHorasDez[Data],"dddd"),tblDiaUtil[],3,FALSE)="Não",IF(tblHorasDez[Evento 
(1º Período)]&lt;&gt;"",IF(VLOOKUP(tblHorasDez[Evento 
(1º Período)],tblEvento[],Tabelas!$E$1,FALSE)="Sim",TRUE,FALSE),FALSE),IF(tblHorasDez[Evento 
(2º Período)]&lt;&gt;"",IF(VLOOKUP(tblHorasDez[Evento 
(2º Período)],tblEvento[],Tabelas!$E$1,FALSE)="Sim",TRUE,FALSE),FALSE)),
tblHorasDez[Horas Trabalhadas Além Jornada],""),"")</f>
        <v/>
      </c>
      <c r="T38" s="15" t="str">
        <f>IF(tblHorasDez[Evento 
(1º Período)]&lt;&gt;""," - " &amp;VLOOKUP(tblHorasDez[Evento 
(1º Período)],tblEvento[],Tabelas!$F$1,FALSE),"")&amp;IF(AND(tblHorasDez[Evento 
(2º Período)]&lt;&gt;"",tblHorasDez[Evento 
(2º Período)]&lt;&gt;tblHorasDez[Evento 
(1º Período)])," - " &amp; VLOOKUP(tblHorasDez[Evento 
(2º Período)],tblEvento[],Tabelas!$F$1,FALSE),"")</f>
        <v/>
      </c>
    </row>
    <row r="39" spans="2:21" x14ac:dyDescent="0.25">
      <c r="B39" s="11" t="str">
        <f t="shared" si="0"/>
        <v/>
      </c>
      <c r="C39" s="12" t="str">
        <f>TEXT(tblHorasDez[Data],"ddd")</f>
        <v/>
      </c>
      <c r="D39" s="25"/>
      <c r="E39" s="1"/>
      <c r="F39" s="1"/>
      <c r="G39" s="1"/>
      <c r="H39" s="1"/>
      <c r="I39" s="53"/>
      <c r="J39" s="4">
        <f>IF($B$6&lt;&gt;"",
IF(AND(tblHorasDez[Evento 
(1º Período)]&lt;&gt;"",IF(ISERROR(VLOOKUP(tblHorasDez[Evento 
(1º Período)],tblEvento[],Tabelas!$D$1,FALSE)),FALSE,VLOOKUP(tblHorasDez[Evento 
(1º Período)],tblEvento[],Tabelas!$D$1,FALSE)="Sim")),
        IF(JORNADA_PERIODO_1&lt;&gt;"",
IF(VLOOKUP(tblHorasDez[Dia],tblDiaUtil[[Abreviatura]:[1º Período]],3,FALSE)&gt;0,VLOOKUP(tblHorasDez[Dia],tblDiaUtil[[Abreviatura]:[1º Período]],3,FALSE),JORNADA_PERIODO_1),
IF(VLOOKUP(tblHorasDez[Dia],tblDiaUtil[[Abreviatura]:[1º Período]],3,FALSE)&gt;0,VLOOKUP(tblHorasDez[Dia],tblDiaUtil[[Abreviatura]:[1º Período]],3,FALSE),JORNADA/2)),
        IF(AND(ISNUMBER(tblHorasDez[Saída - 1 (Almoço)]),ISNUMBER(tblHorasDez[Entrada - 1])),
              IF(OR(AND(tblHorasDez[Evento 
(1º Período)]&lt;&gt;"",IF(ISERROR(VLOOKUP(tblHorasDez[Evento 
(1º Período)],tblEvento[],Tabelas!$E$1,FALSE)),FALSE,VLOOKUP(tblHorasDez[Evento 
(1º Período)],tblEvento[],Tabelas!$E$1,FALSE)="Sim")),IF(VLOOKUP(TEXT(tblHorasDez[Data],"dddd"),tblDiaUtil[],2,FALSE)="Não",TRUE,FALSE)),
                   tblHorasDez[Saída - 1 (Almoço)]-tblHorasDez[Entrada - 1],
                   IF(OR(HOUR(tblHorasDez[Saída - 1 (Almoço)]-tblHorasDez[Entrada - 1])&gt;0,ROUND(tblHorasDez[Saída - 1 (Almoço)]-tblHorasDez[Entrada - 1],6)&gt;ROUND(CARENCIA,6)),
                          tblHorasDez[Saída - 1 (Almoço)]-tblHorasDez[Entrada - 1],
                          0)),
                    0)),0)</f>
        <v>0</v>
      </c>
      <c r="K39" s="4">
        <f>IF($B$6&lt;&gt;"",
IF(AND(tblHorasDez[Evento 
(2º Período)]&lt;&gt;"",IF(ISERROR(VLOOKUP(tblHorasDez[Evento 
(2º Período)],tblEvento[],Tabelas!$D$1,FALSE)),FALSE,VLOOKUP(tblHorasDez[Evento 
(2º Período)],tblEvento[],Tabelas!$D$1,FALSE)="Sim")),
        IF(JORNADA_PERIODO_2&lt;&gt;"",
IF(VLOOKUP(tblHorasDez[Dia],tblDiaUtil[[Abreviatura]:[2º Período]],4,FALSE)&gt;0,VLOOKUP(tblHorasDez[Dia],tblDiaUtil[[Abreviatura]:[2º Período]],4,FALSE),JORNADA_PERIODO_2),
IF(VLOOKUP(tblHorasDez[Dia],tblDiaUtil[[Abreviatura]:[2º Período]],4,FALSE)&gt;0,VLOOKUP(tblHorasDez[Dia],tblDiaUtil[[Abreviatura]:[2º Período]],4,FALSE),JORNADA/2)),
        IF(AND(ISNUMBER(tblHorasDez[Saída - 2]),ISNUMBER(tblHorasDez[Entrada - 2 (Almoço)])),
              IF(OR(AND(tblHorasDez[Evento 
(2º Período)]&lt;&gt;"",IF(ISERROR(VLOOKUP(tblHorasDez[Evento 
(2º Período)],tblEvento[],Tabelas!$E$1,FALSE)),FALSE,VLOOKUP(tblHorasDez[Evento 
(2º Período)],tblEvento[],Tabelas!$E$1,FALSE)="Sim")),IF(VLOOKUP(TEXT(tblHorasDez[Data],"dddd"),tblDiaUtil[],2,FALSE)="Não",TRUE,FALSE)),
                   tblHorasDez[Saída - 2]-tblHorasDez[Entrada - 2 (Almoço)],
                   IF(OR(HOUR(tblHorasDez[Saída - 2]-tblHorasDez[Entrada - 2 (Almoço)])&gt;0,MINUTE(tblHorasDez[Saída - 2]-tblHorasDez[Entrada - 2 (Almoço)])&gt;CARENCIA),
                         tblHorasDez[Saída - 2]-tblHorasDez[Entrada - 2 (Almoço)],
                         0)),
       0)),0)</f>
        <v>0</v>
      </c>
      <c r="L39" s="4">
        <f>tblHorasDez[Horas Trabalhadas (1º Período)]+tblHorasDez[Horas Trabalhadas (2º Período)]</f>
        <v>0</v>
      </c>
      <c r="M39" s="4" t="str">
        <f>IF(tblHorasDez[Data]&lt;&gt;"",
        IF(
AND(VLOOKUP(TEXT(tblHorasDez[Data],"dddd"),tblDiaUtil[],3,FALSE)="Sim",IF(tblHorasDez[Evento 
(1º Período)]&lt;&gt;"",IF(VLOOKUP(tblHorasDez[Evento 
(1º Período)],tblEvento[],Tabelas!$E$1,FALSE)="Sim",FALSE,TRUE),TRUE),IF(tblHorasDez[Evento 
(2º Período)]&lt;&gt;"",IF(VLOOKUP(tblHorasDez[Evento 
(2º Período)],tblEvento[],Tabelas!$E$1,FALSE)="Sim",FALSE,TRUE),TRUE)),
              IF(VLOOKUP(tblHorasDez[Dia],tblDiaUtil[[Abreviatura]:[1º Período]],3,FALSE)&gt;0,VLOOKUP(tblHorasDez[Dia],tblDiaUtil[[Abreviatura]:[1º Período]],3,FALSE),JORNADA),
              ""),
         "")</f>
        <v/>
      </c>
      <c r="N39" s="14">
        <f>IF(OR(tblHorasDez[Horas Trabalhadas (1º Período)]&lt;&gt;0,tblHorasDez[Horas Trabalhadas (2º Período)]&lt;&gt;0),
        IF(ISNUMBER(tblHorasDez[Jornada Diária]),
              IF(tblHorasDez[Jornada Diária]&gt;(tblHorasDez[Horas Trabalhadas (2º Período)]+tblHorasDez[Horas Trabalhadas (1º Período)]),
                     IF(ROUND((tblHorasDez[Jornada Diária]-(tblHorasDez[Horas Trabalhadas (2º Período)]+tblHorasDez[Horas Trabalhadas (1º Período)])),6)&gt;ROUND(CARENCIA,6),
                           -tblHorasDez[Jornada Diária]+(tblHorasDez[Horas Trabalhadas (2º Período)]+tblHorasDez[Horas Trabalhadas (1º Período)]),
                           0),
                      IF(ROUND((tblHorasDez[Jornada Diária]-(tblHorasDez[Horas Trabalhadas (2º Período)]+tblHorasDez[Horas Trabalhadas (1º Período)])),6)&lt;ROUND(-CARENCIA,6),
                           -tblHorasDez[Jornada Diária]+(tblHorasDez[Horas Trabalhadas (2º Período)]+tblHorasDez[Horas Trabalhadas (1º Período)]),
                           0)),
              tblHorasDez[Horas Trabalhadas (2º Período)]+tblHorasDez[Horas Trabalhadas (1º Período)]),
         IF(AND(IF(ISERROR(VLOOKUP(tblHorasDez[Evento 
(1º Período)],tblEvento[[Evento]:[Libera o Período]],4,FALSE)),FALSE,IF(VLOOKUP(tblHorasDez[Evento 
(1º Período)],tblEvento[[Evento]:[Libera o Período]],4,FALSE)="Não",TRUE,FALSE)),IF(ISERROR(VLOOKUP(tblHorasDez[Evento 
(2º Período)],tblEvento[[Evento]:[Libera o Período]],4,FALSE)),FALSE,IF(VLOOKUP(tblHorasDez[Evento 
(2º Período)],tblEvento[[Evento]:[Libera o Período]],4,FALSE)="Não",TRUE,FALSE))),
-IF(VLOOKUP(tblHorasDez[Dia],tblDiaUtil[[Abreviatura]:[Total Jornada]],5,FALSE)&lt;&gt;"",VLOOKUP(tblHorasDez[Dia],tblDiaUtil[[Abreviatura]:[Total Jornada]],5,FALSE),JORNADA),
IF(IF(ISERROR(VLOOKUP(tblHorasDez[Evento 
(1º Período)],tblEvento[[Evento]:[Libera o Período]],4,FALSE)),FALSE,
IF(VLOOKUP(tblHorasDez[Evento 
(1º Período)],tblEvento[[Evento]:[Libera o Período]],4,FALSE)="Não",TRUE,FALSE)
),
-IF(VLOOKUP(tblHorasDez[Dia],tblDiaUtil[[Abreviatura]:[1º Período]],3,FALSE)&lt;&gt;"",VLOOKUP(tblHorasDez[Dia],tblDiaUtil[[Abreviatura]:[1º Período]],3,FALSE),JORNADA_PERIODO_1),
IF(IF(ISERROR(VLOOKUP(tblHorasDez[Evento 
(2º Período)],tblEvento[[Evento]:[Libera o Período]],4,FALSE)),FALSE,IF(VLOOKUP(tblHorasDez[Evento 
(2º Período)],tblEvento[[Evento]:[Libera o Período]],4,FALSE)="Não",TRUE,FALSE)),
-IF(VLOOKUP(tblHorasDez[Dia],tblDiaUtil[[Abreviatura]:[2º Período]],4,FALSE)&lt;&gt;"",VLOOKUP(tblHorasDez[Dia],tblDiaUtil[[Abreviatura]:[2º Período]],4,FALSE),JORNADA_PERIODO_2),0))))</f>
        <v>0</v>
      </c>
      <c r="O39" s="14">
        <f>IF(tblHorasDez[Horas Trabalhadas Além Jornada]&gt;0,
        IF(ISNUMBER(tblHorasDez[Jornada Diária]),
              IF(HOUR(tblHorasDez[Horas Trabalhadas Além Jornada])&gt;=VLOOKUP(LIMITE,tblLimiteHora[],Tabelas!$I$1,FALSE),
                    VLOOKUP(LIMITE,tblLimiteHora[],Tabelas!$J$1,FALSE),
                    tblHorasDez[Horas Trabalhadas Além Jornada]),
              tblHorasDez[Horas Trabalhadas Além Jornada]),
        tblHorasDez[Horas Trabalhadas Além Jornada])+O38</f>
        <v>0</v>
      </c>
      <c r="P39" s="14" t="str">
        <f>IF(tblHorasDez[Horas Trabalhadas Além Jornada]&lt;0,IF(OR(tblHorasDez[Evento 
(1º Período)]="",tblHorasDez[Evento 
(2º Período)]=""),tblHorasDez[Horas Trabalhadas Além Jornada],""),"")</f>
        <v/>
      </c>
      <c r="Q39" s="14" t="str">
        <f>IF(tblHorasDez[Jornada Diária]&lt;&gt;"",IF((N(tblHorasDez[Jornada Diária])-ABS(N(tblHorasDez[Horas Trabalhadas Além Jornada])))=0,1,""),"")</f>
        <v/>
      </c>
      <c r="R39" s="14" t="str">
        <f>IF(tblHorasDez[Horas Trabalhadas Além Jornada]&gt;0,
IF(AND(VLOOKUP(TEXT(tblHorasDez[Data],"dddd"),tblDiaUtil[],3,FALSE)="Sim",IF(tblHorasDez[Evento 
(1º Período)]&lt;&gt;"",IF(VLOOKUP(tblHorasDez[Evento 
(1º Período)],tblEvento[],Tabelas!$E$1,FALSE)="Sim",FALSE,TRUE),TRUE),IF(tblHorasDez[Evento 
(2º Período)]&lt;&gt;"",IF(VLOOKUP(tblHorasDez[Evento 
(2º Período)],tblEvento[],Tabelas!$E$1,FALSE)="Sim",FALSE,TRUE),TRUE)),
tblHorasDez[Horas Trabalhadas Além Jornada],""),"")</f>
        <v/>
      </c>
      <c r="S39" s="14" t="str">
        <f>IF(tblHorasDez[Horas Trabalhadas Além Jornada]&gt;0,
IF(OR(VLOOKUP(TEXT(tblHorasDez[Data],"dddd"),tblDiaUtil[],3,FALSE)="Não",IF(tblHorasDez[Evento 
(1º Período)]&lt;&gt;"",IF(VLOOKUP(tblHorasDez[Evento 
(1º Período)],tblEvento[],Tabelas!$E$1,FALSE)="Sim",TRUE,FALSE),FALSE),IF(tblHorasDez[Evento 
(2º Período)]&lt;&gt;"",IF(VLOOKUP(tblHorasDez[Evento 
(2º Período)],tblEvento[],Tabelas!$E$1,FALSE)="Sim",TRUE,FALSE),FALSE)),
tblHorasDez[Horas Trabalhadas Além Jornada],""),"")</f>
        <v/>
      </c>
      <c r="T39" s="15" t="str">
        <f>IF(tblHorasDez[Evento 
(1º Período)]&lt;&gt;""," - " &amp;VLOOKUP(tblHorasDez[Evento 
(1º Período)],tblEvento[],Tabelas!$F$1,FALSE),"")&amp;IF(AND(tblHorasDez[Evento 
(2º Período)]&lt;&gt;"",tblHorasDez[Evento 
(2º Período)]&lt;&gt;tblHorasDez[Evento 
(1º Período)])," - " &amp; VLOOKUP(tblHorasDez[Evento 
(2º Período)],tblEvento[],Tabelas!$F$1,FALSE),"")</f>
        <v/>
      </c>
    </row>
    <row r="40" spans="2:21" ht="5.0999999999999996" customHeight="1" x14ac:dyDescent="0.25">
      <c r="T40" s="24"/>
      <c r="U40" s="24"/>
    </row>
    <row r="41" spans="2:21" ht="9.9499999999999993" customHeight="1" x14ac:dyDescent="0.25">
      <c r="T41" s="35" t="s">
        <v>99</v>
      </c>
      <c r="U41" s="24"/>
    </row>
    <row r="42" spans="2:21" hidden="1" x14ac:dyDescent="0.25">
      <c r="T42" s="24"/>
      <c r="U42" s="24"/>
    </row>
    <row r="43" spans="2:21" hidden="1" x14ac:dyDescent="0.25">
      <c r="T43" s="24"/>
      <c r="U43" s="24"/>
    </row>
    <row r="44" spans="2:21" hidden="1" x14ac:dyDescent="0.25">
      <c r="T44" s="24"/>
      <c r="U44" s="24"/>
    </row>
    <row r="45" spans="2:21" hidden="1" x14ac:dyDescent="0.25"/>
    <row r="46" spans="2:21" x14ac:dyDescent="0.25"/>
    <row r="47" spans="2:21" x14ac:dyDescent="0.25"/>
  </sheetData>
  <sheetProtection algorithmName="SHA-512" hashValue="NegzK3VGJK8JDjBGfreRYuhoQH+WmnD8LMKhowrR5+RqBuiiIra4Ydr2irF9N06MOecWjN7+uKwsPR1tkUbOMg==" saltValue="KmWYIpOKP/em9yBA1DycfQ==" spinCount="100000" sheet="1" formatCells="0" formatColumns="0" formatRows="0" selectLockedCells="1" autoFilter="0" pivotTables="0"/>
  <dataConsolidate/>
  <mergeCells count="8">
    <mergeCell ref="O1:T4"/>
    <mergeCell ref="G2:I2"/>
    <mergeCell ref="H3:I3"/>
    <mergeCell ref="H4:I4"/>
    <mergeCell ref="B5:C5"/>
    <mergeCell ref="O5:O6"/>
    <mergeCell ref="B6:C6"/>
    <mergeCell ref="P6:S6"/>
  </mergeCells>
  <dataValidations count="5">
    <dataValidation type="whole" allowBlank="1" showInputMessage="1" showErrorMessage="1" errorTitle="Erro" error="Dia inexistente" promptTitle="Digite o primeiro dia do mês" prompt="Somente utilize esse campo caso o dia seja diferente de 1." sqref="E6">
      <formula1>1</formula1>
      <formula2>31</formula2>
    </dataValidation>
    <dataValidation type="list" allowBlank="1" showInputMessage="1" showErrorMessage="1" errorTitle="Aviso" error="Erro na inserção de dados:_x000a__x000a_'Evento Inválido'_x000a__x000a_Selecione um Evento válido na Lista" promptTitle="Evento" prompt="_x000a_Selecione um Evento na Lista" sqref="D9:D39 I9:I39">
      <formula1>lstEvento</formula1>
    </dataValidation>
    <dataValidation type="list" allowBlank="1" showErrorMessage="1" errorTitle="Mês Inválido" error="Selecione na lista um mês válido" sqref="B6:C6">
      <formula1>lst_Mes</formula1>
    </dataValidation>
    <dataValidation type="whole" errorStyle="warning" allowBlank="1" showInputMessage="1" showErrorMessage="1" errorTitle="Aviso" error="Ano fora do período estipulado" promptTitle="Digite o ano com 4 dígitos" prompt="_x000a_ex. 2016_x000a__x000a_Entre: 1904 a 9999" sqref="D6">
      <formula1>999</formula1>
      <formula2>9999</formula2>
    </dataValidation>
    <dataValidation type="time" allowBlank="1" showInputMessage="1" showErrorMessage="1" errorTitle="Aviso" error="Erro na inserção de dados:_x000a__x000a_'Hora Inválida'_x000a__x000a_Favor inserir uma hora válida no formato: hh:mm (ex. 12:00)" sqref="E9:H39">
      <formula1>0</formula1>
      <formula2>0.999305555555556</formula2>
    </dataValidation>
  </dataValidations>
  <printOptions verticalCentered="1"/>
  <pageMargins left="0.51181102362204722" right="0.51181102362204722" top="0.78740157480314965" bottom="0.78740157480314965" header="0.31496062992125984" footer="0.31496062992125984"/>
  <pageSetup paperSize="9" scale="82" orientation="landscape" r:id="rId1"/>
  <headerFooter>
    <oddHeader>&amp;R&amp;D</oddHeader>
    <oddFooter>&amp;L.e&amp;RPágina &amp;P de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7" id="{C583E8FA-2E18-42C8-9736-D89F22D74686}">
            <xm:f>IF(OR(IF(ISERROR(VLOOKUP($C9,Config!$C$1:$D$18,2,FALSE)),FALSE,IF(VLOOKUP($C9,Config!$C$1:$D$18,2,FALSE)="Não",TRUE,FALSE)),IF(ISERROR(VLOOKUP($D9,Tabelas!$A$3:$B$51,2,FALSE)),FALSE,IF(VLOOKUP($D9,Tabelas!$A$3:$B$51,2,FALSE)="Sim",TRUE,FALSE)),IF(ISERROR(VLOOKUP($I9,Tabelas!$A$3:$B$51,2,FALSE)),FALSE,IF(VLOOKUP($I9,Tabelas!$A$3:$B$51,2,FALSE)="Sim",TRUE,FALSE))),TRUE,FALSE)</xm:f>
            <x14:dxf>
              <fill>
                <patternFill>
                  <bgColor rgb="FFFFFFCC"/>
                </patternFill>
              </fill>
            </x14:dxf>
          </x14:cfRule>
          <xm:sqref>B9:T9</xm:sqref>
        </x14:conditionalFormatting>
        <x14:conditionalFormatting xmlns:xm="http://schemas.microsoft.com/office/excel/2006/main">
          <x14:cfRule type="expression" priority="6" id="{B2451ACC-FDC7-4BE3-8996-FF2BFDA51E0F}">
            <xm:f>IF(IF(ISERROR(VLOOKUP($D9,Tabelas!$A$3:$C$51,3,FALSE)),FALSE,VLOOKUP($D9,Tabelas!$A$3:$C$51,3,FALSE)="Sim"),TRUE,FALSE)</xm:f>
            <x14:dxf>
              <fill>
                <patternFill>
                  <bgColor rgb="FFFFD1D2"/>
                </patternFill>
              </fill>
            </x14:dxf>
          </x14:cfRule>
          <xm:sqref>J9 D9:F9</xm:sqref>
        </x14:conditionalFormatting>
        <x14:conditionalFormatting xmlns:xm="http://schemas.microsoft.com/office/excel/2006/main">
          <x14:cfRule type="expression" priority="8" id="{0CC35A71-34C3-4A19-9B00-A0407FFF947D}">
            <xm:f>IF(IF(ISERROR(VLOOKUP($I9,Tabelas!$A$3:$C$51,3,FALSE)),FALSE,VLOOKUP($I9,Tabelas!$A$3:$C$51,3,FALSE)="Sim"),TRUE,FALSE)</xm:f>
            <x14:dxf>
              <fill>
                <patternFill>
                  <bgColor rgb="FFFFD5D6"/>
                </patternFill>
              </fill>
            </x14:dxf>
          </x14:cfRule>
          <xm:sqref>K9:M9 G9:I9</xm:sqref>
        </x14:conditionalFormatting>
        <x14:conditionalFormatting xmlns:xm="http://schemas.microsoft.com/office/excel/2006/main">
          <x14:cfRule type="expression" priority="5" id="{0BC4DBD3-7B8F-4D36-847F-03F916CA05C9}">
            <xm:f>IF(OR(IF(ISERROR(VLOOKUP($C7,Config!$C$1:$D$18,2,FALSE)),FALSE,IF(VLOOKUP($C7,Config!$C$1:$D$18,2,FALSE)="Não",TRUE,FALSE)),IF(ISERROR(VLOOKUP($D7,Tabelas!$A$3:$B$51,2,FALSE)),FALSE,IF(VLOOKUP($D7,Tabelas!$A$3:$B$51,2,FALSE)="Sim",TRUE,FALSE)),IF(ISERROR(VLOOKUP($I7,Tabelas!$A$3:$B$51,2,FALSE)),FALSE,IF(VLOOKUP($I7,Tabelas!$A$3:$B$51,2,FALSE)="Sim",TRUE,FALSE))),TRUE,FALSE)</xm:f>
            <x14:dxf>
              <fill>
                <patternFill>
                  <bgColor rgb="FFFFFFCC"/>
                </patternFill>
              </fill>
            </x14:dxf>
          </x14:cfRule>
          <xm:sqref>P7:S7</xm:sqref>
        </x14:conditionalFormatting>
        <x14:conditionalFormatting xmlns:xm="http://schemas.microsoft.com/office/excel/2006/main">
          <x14:cfRule type="expression" priority="3" id="{9FC9EFCE-8212-4636-B152-0CFDC36E7CBF}">
            <xm:f>IF(OR(IF(ISERROR(VLOOKUP($C10,Config!$C$1:$D$18,2,FALSE)),FALSE,IF(VLOOKUP($C10,Config!$C$1:$D$18,2,FALSE)="Não",TRUE,FALSE)),IF(ISERROR(VLOOKUP($D10,Tabelas!$A$3:$B$51,2,FALSE)),FALSE,IF(VLOOKUP($D10,Tabelas!$A$3:$B$51,2,FALSE)="Sim",TRUE,FALSE)),IF(ISERROR(VLOOKUP($I10,Tabelas!$A$3:$B$51,2,FALSE)),FALSE,IF(VLOOKUP($I10,Tabelas!$A$3:$B$51,2,FALSE)="Sim",TRUE,FALSE))),TRUE,FALSE)</xm:f>
            <x14:dxf>
              <fill>
                <patternFill>
                  <bgColor rgb="FFFFFFCC"/>
                </patternFill>
              </fill>
            </x14:dxf>
          </x14:cfRule>
          <xm:sqref>B10:T39</xm:sqref>
        </x14:conditionalFormatting>
        <x14:conditionalFormatting xmlns:xm="http://schemas.microsoft.com/office/excel/2006/main">
          <x14:cfRule type="expression" priority="2" id="{DC7DBFF9-AE4F-46B4-A33D-43E52B0FC9B9}">
            <xm:f>IF(IF(ISERROR(VLOOKUP($D10,Tabelas!$A$3:$C$51,3,FALSE)),FALSE,VLOOKUP($D10,Tabelas!$A$3:$C$51,3,FALSE)="Sim"),TRUE,FALSE)</xm:f>
            <x14:dxf>
              <fill>
                <patternFill>
                  <bgColor rgb="FFFFD1D2"/>
                </patternFill>
              </fill>
            </x14:dxf>
          </x14:cfRule>
          <xm:sqref>J10:J39 D10:F39</xm:sqref>
        </x14:conditionalFormatting>
        <x14:conditionalFormatting xmlns:xm="http://schemas.microsoft.com/office/excel/2006/main">
          <x14:cfRule type="expression" priority="4" id="{34DF2C3D-9190-44F5-AC5E-83494BC50886}">
            <xm:f>IF(IF(ISERROR(VLOOKUP($I10,Tabelas!$A$3:$C$51,3,FALSE)),FALSE,VLOOKUP($I10,Tabelas!$A$3:$C$51,3,FALSE)="Sim"),TRUE,FALSE)</xm:f>
            <x14:dxf>
              <fill>
                <patternFill>
                  <bgColor rgb="FFFFD5D6"/>
                </patternFill>
              </fill>
            </x14:dxf>
          </x14:cfRule>
          <xm:sqref>K10:M39 G10:I39</xm:sqref>
        </x14:conditionalFormatting>
        <x14:conditionalFormatting xmlns:xm="http://schemas.microsoft.com/office/excel/2006/main">
          <x14:cfRule type="expression" priority="1" id="{84621A92-973E-475D-A6D1-20781C2F0093}">
            <xm:f>IF(OR(IF(ISERROR(VLOOKUP($C7,Config!$C$1:$D$18,2,FALSE)),FALSE,IF(VLOOKUP($C7,Config!$C$1:$D$18,2,FALSE)="Não",TRUE,FALSE)),IF(ISERROR(VLOOKUP($D7,Tabelas!$A$3:$B$51,2,FALSE)),FALSE,IF(VLOOKUP($D7,Tabelas!$A$3:$B$51,2,FALSE)="Sim",TRUE,FALSE)),IF(ISERROR(VLOOKUP($I7,Tabelas!$A$3:$B$51,2,FALSE)),FALSE,IF(VLOOKUP($I7,Tabelas!$A$3:$B$51,2,FALSE)="Sim",TRUE,FALSE))),TRUE,FALSE)</xm:f>
            <x14:dxf>
              <fill>
                <patternFill>
                  <bgColor rgb="FFFFFFCC"/>
                </patternFill>
              </fill>
            </x14:dxf>
          </x14:cfRule>
          <xm:sqref>O7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nSobre">
    <tabColor theme="9" tint="0.59999389629810485"/>
  </sheetPr>
  <dimension ref="B4:G7"/>
  <sheetViews>
    <sheetView showGridLines="0" showRowColHeaders="0" workbookViewId="0">
      <selection activeCell="I1" sqref="I1"/>
    </sheetView>
  </sheetViews>
  <sheetFormatPr defaultRowHeight="15" x14ac:dyDescent="0.25"/>
  <cols>
    <col min="1" max="9" width="9.140625" style="40"/>
    <col min="10" max="14" width="9.140625" style="40" customWidth="1"/>
    <col min="15" max="16384" width="9.140625" style="40"/>
  </cols>
  <sheetData>
    <row r="4" spans="2:7" ht="18.75" x14ac:dyDescent="0.3">
      <c r="B4" s="41"/>
      <c r="C4" s="41"/>
      <c r="D4" s="41"/>
      <c r="E4" s="41"/>
      <c r="F4" s="41"/>
      <c r="G4" s="41"/>
    </row>
    <row r="5" spans="2:7" ht="18.75" x14ac:dyDescent="0.3">
      <c r="B5" s="41"/>
      <c r="C5" s="41" t="s">
        <v>98</v>
      </c>
      <c r="D5" s="41"/>
      <c r="E5" s="41"/>
      <c r="F5" s="41"/>
      <c r="G5" s="41"/>
    </row>
    <row r="6" spans="2:7" ht="21" x14ac:dyDescent="0.35">
      <c r="B6" s="41"/>
      <c r="C6" s="47" t="s">
        <v>87</v>
      </c>
      <c r="D6" s="42"/>
      <c r="E6" s="42"/>
      <c r="F6" s="42"/>
      <c r="G6" s="41"/>
    </row>
    <row r="7" spans="2:7" ht="18.75" x14ac:dyDescent="0.3">
      <c r="B7" s="41"/>
      <c r="C7" s="41"/>
      <c r="D7" s="41"/>
      <c r="E7" s="41"/>
      <c r="F7" s="41"/>
      <c r="G7" s="41"/>
    </row>
  </sheetData>
  <sheetProtection formatCells="0" formatColumns="0" formatRows="0" autoFilter="0" pivotTables="0"/>
  <hyperlinks>
    <hyperlink ref="C6" r:id="rId1"/>
  </hyperlinks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16</vt:i4>
      </vt:variant>
      <vt:variant>
        <vt:lpstr>Intervalos nomeados</vt:lpstr>
      </vt:variant>
      <vt:variant>
        <vt:i4>8</vt:i4>
      </vt:variant>
    </vt:vector>
  </HeadingPairs>
  <TitlesOfParts>
    <vt:vector size="24" baseType="lpstr">
      <vt:lpstr>Tabelas</vt:lpstr>
      <vt:lpstr>Config</vt:lpstr>
      <vt:lpstr>Relatório</vt:lpstr>
      <vt:lpstr>Janeiro</vt:lpstr>
      <vt:lpstr>Fevereiro</vt:lpstr>
      <vt:lpstr>Março</vt:lpstr>
      <vt:lpstr>Abril</vt:lpstr>
      <vt:lpstr>Maio</vt:lpstr>
      <vt:lpstr>Junho</vt:lpstr>
      <vt:lpstr>Julho</vt:lpstr>
      <vt:lpstr>Agosto</vt:lpstr>
      <vt:lpstr>Setembro</vt:lpstr>
      <vt:lpstr>Outubro</vt:lpstr>
      <vt:lpstr>Novembro</vt:lpstr>
      <vt:lpstr>Dezembro</vt:lpstr>
      <vt:lpstr>Sobre</vt:lpstr>
      <vt:lpstr>CARENCIA</vt:lpstr>
      <vt:lpstr>JORNADA</vt:lpstr>
      <vt:lpstr>JORNADA_PERIODO_1</vt:lpstr>
      <vt:lpstr>JORNADA_PERIODO_2</vt:lpstr>
      <vt:lpstr>LIMITE</vt:lpstr>
      <vt:lpstr>lst_Mes</vt:lpstr>
      <vt:lpstr>lstEvento</vt:lpstr>
      <vt:lpstr>lstLimiteHora</vt:lpstr>
    </vt:vector>
  </TitlesOfParts>
  <Company>Hewlett-Packard Company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Evert Leal Ramos</dc:creator>
  <cp:lastModifiedBy>Evert Leal Ramos</cp:lastModifiedBy>
  <cp:lastPrinted>2015-01-23T11:41:12Z</cp:lastPrinted>
  <dcterms:created xsi:type="dcterms:W3CDTF">2013-11-22T16:17:37Z</dcterms:created>
  <dcterms:modified xsi:type="dcterms:W3CDTF">2016-10-20T11:25:30Z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22d350cd-f577-49b0-a568-956ee6ae3559</vt:lpwstr>
  </property>
</Properties>
</file>