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date1904="1" codeName="EstaPasta_de_trabalho"/>
  <mc:AlternateContent xmlns:mc="http://schemas.openxmlformats.org/markup-compatibility/2006">
    <mc:Choice Requires="x15">
      <x15ac:absPath xmlns:x15ac="http://schemas.microsoft.com/office/spreadsheetml/2010/11/ac" url="C:\src\pln_controle_ponto\"/>
    </mc:Choice>
  </mc:AlternateContent>
  <bookViews>
    <workbookView xWindow="0" yWindow="0" windowWidth="3795" windowHeight="2760" tabRatio="742" activeTab="3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functionGroups builtInGroupCount="18"/>
  <definedNames>
    <definedName name="CARENCIA">Config!$D$5</definedName>
    <definedName name="JORNADA">Config!$D$7</definedName>
    <definedName name="JORNADA_PERIODO_1">Config!$D$22</definedName>
    <definedName name="JORNADA_PERIODO_2">Config!$D$23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P9" i="15" l="1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7" i="1" l="1"/>
  <c r="G12" i="3"/>
  <c r="G13" i="3"/>
  <c r="G14" i="3"/>
  <c r="G15" i="3"/>
  <c r="G16" i="3"/>
  <c r="G17" i="3"/>
  <c r="G18" i="3"/>
  <c r="K9" i="15" l="1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J9" i="15"/>
  <c r="N9" i="15" s="1"/>
  <c r="J10" i="15"/>
  <c r="N10" i="15" s="1"/>
  <c r="J11" i="15"/>
  <c r="J12" i="15"/>
  <c r="J13" i="15"/>
  <c r="N13" i="15" s="1"/>
  <c r="J14" i="15"/>
  <c r="N14" i="15" s="1"/>
  <c r="J15" i="15"/>
  <c r="J16" i="15"/>
  <c r="J17" i="15"/>
  <c r="N17" i="15" s="1"/>
  <c r="J18" i="15"/>
  <c r="N18" i="15" s="1"/>
  <c r="J19" i="15"/>
  <c r="J20" i="15"/>
  <c r="J21" i="15"/>
  <c r="N21" i="15" s="1"/>
  <c r="J22" i="15"/>
  <c r="N22" i="15" s="1"/>
  <c r="J23" i="15"/>
  <c r="J24" i="15"/>
  <c r="J25" i="15"/>
  <c r="N25" i="15" s="1"/>
  <c r="J26" i="15"/>
  <c r="N26" i="15" s="1"/>
  <c r="J27" i="15"/>
  <c r="J28" i="15"/>
  <c r="J29" i="15"/>
  <c r="N29" i="15" s="1"/>
  <c r="J30" i="15"/>
  <c r="N30" i="15" s="1"/>
  <c r="J31" i="15"/>
  <c r="J32" i="15"/>
  <c r="J33" i="15"/>
  <c r="N33" i="15" s="1"/>
  <c r="J34" i="15"/>
  <c r="N34" i="15" s="1"/>
  <c r="J35" i="15"/>
  <c r="J36" i="15"/>
  <c r="J37" i="15"/>
  <c r="N37" i="15" s="1"/>
  <c r="J38" i="15"/>
  <c r="J39" i="15"/>
  <c r="J9" i="14"/>
  <c r="J10" i="14"/>
  <c r="N10" i="14" s="1"/>
  <c r="J11" i="14"/>
  <c r="N11" i="14" s="1"/>
  <c r="J12" i="14"/>
  <c r="J13" i="14"/>
  <c r="J14" i="14"/>
  <c r="N14" i="14" s="1"/>
  <c r="J15" i="14"/>
  <c r="N15" i="14" s="1"/>
  <c r="J16" i="14"/>
  <c r="J17" i="14"/>
  <c r="J18" i="14"/>
  <c r="N18" i="14" s="1"/>
  <c r="J19" i="14"/>
  <c r="N19" i="14" s="1"/>
  <c r="J20" i="14"/>
  <c r="J21" i="14"/>
  <c r="J22" i="14"/>
  <c r="N22" i="14" s="1"/>
  <c r="J23" i="14"/>
  <c r="N23" i="14" s="1"/>
  <c r="J24" i="14"/>
  <c r="J25" i="14"/>
  <c r="J26" i="14"/>
  <c r="N26" i="14" s="1"/>
  <c r="J27" i="14"/>
  <c r="N27" i="14" s="1"/>
  <c r="J28" i="14"/>
  <c r="J29" i="14"/>
  <c r="J30" i="14"/>
  <c r="N30" i="14" s="1"/>
  <c r="J31" i="14"/>
  <c r="N31" i="14" s="1"/>
  <c r="J32" i="14"/>
  <c r="J33" i="14"/>
  <c r="J34" i="14"/>
  <c r="N34" i="14" s="1"/>
  <c r="J35" i="14"/>
  <c r="N35" i="14" s="1"/>
  <c r="J36" i="14"/>
  <c r="J37" i="14"/>
  <c r="J38" i="14"/>
  <c r="N38" i="14" s="1"/>
  <c r="J39" i="14"/>
  <c r="N39" i="14" s="1"/>
  <c r="J9" i="13"/>
  <c r="J10" i="13"/>
  <c r="J11" i="13"/>
  <c r="N11" i="13" s="1"/>
  <c r="J12" i="13"/>
  <c r="N12" i="13" s="1"/>
  <c r="J13" i="13"/>
  <c r="J14" i="13"/>
  <c r="J15" i="13"/>
  <c r="N15" i="13" s="1"/>
  <c r="J16" i="13"/>
  <c r="N16" i="13" s="1"/>
  <c r="J17" i="13"/>
  <c r="J18" i="13"/>
  <c r="J19" i="13"/>
  <c r="N19" i="13" s="1"/>
  <c r="J20" i="13"/>
  <c r="N20" i="13" s="1"/>
  <c r="J21" i="13"/>
  <c r="J22" i="13"/>
  <c r="J23" i="13"/>
  <c r="N23" i="13" s="1"/>
  <c r="J24" i="13"/>
  <c r="N24" i="13" s="1"/>
  <c r="J25" i="13"/>
  <c r="J26" i="13"/>
  <c r="J27" i="13"/>
  <c r="N27" i="13" s="1"/>
  <c r="J28" i="13"/>
  <c r="N28" i="13" s="1"/>
  <c r="J29" i="13"/>
  <c r="J30" i="13"/>
  <c r="J31" i="13"/>
  <c r="N31" i="13" s="1"/>
  <c r="J32" i="13"/>
  <c r="N32" i="13" s="1"/>
  <c r="J33" i="13"/>
  <c r="J34" i="13"/>
  <c r="J35" i="13"/>
  <c r="N35" i="13" s="1"/>
  <c r="J36" i="13"/>
  <c r="N36" i="13" s="1"/>
  <c r="J37" i="13"/>
  <c r="J38" i="13"/>
  <c r="J39" i="13"/>
  <c r="N39" i="13" s="1"/>
  <c r="J9" i="12"/>
  <c r="N9" i="12" s="1"/>
  <c r="J10" i="12"/>
  <c r="J11" i="12"/>
  <c r="J12" i="12"/>
  <c r="N12" i="12" s="1"/>
  <c r="J13" i="12"/>
  <c r="N13" i="12" s="1"/>
  <c r="J14" i="12"/>
  <c r="J15" i="12"/>
  <c r="J16" i="12"/>
  <c r="N16" i="12" s="1"/>
  <c r="J17" i="12"/>
  <c r="N17" i="12" s="1"/>
  <c r="J18" i="12"/>
  <c r="J19" i="12"/>
  <c r="J20" i="12"/>
  <c r="N20" i="12" s="1"/>
  <c r="J21" i="12"/>
  <c r="N21" i="12" s="1"/>
  <c r="J22" i="12"/>
  <c r="J23" i="12"/>
  <c r="J24" i="12"/>
  <c r="N24" i="12" s="1"/>
  <c r="J25" i="12"/>
  <c r="N25" i="12" s="1"/>
  <c r="J26" i="12"/>
  <c r="J27" i="12"/>
  <c r="J28" i="12"/>
  <c r="N28" i="12" s="1"/>
  <c r="J29" i="12"/>
  <c r="N29" i="12" s="1"/>
  <c r="J30" i="12"/>
  <c r="J31" i="12"/>
  <c r="J32" i="12"/>
  <c r="N32" i="12" s="1"/>
  <c r="J33" i="12"/>
  <c r="N33" i="12" s="1"/>
  <c r="J34" i="12"/>
  <c r="J35" i="12"/>
  <c r="J36" i="12"/>
  <c r="N36" i="12" s="1"/>
  <c r="J37" i="12"/>
  <c r="N37" i="12" s="1"/>
  <c r="J38" i="12"/>
  <c r="J39" i="12"/>
  <c r="J9" i="11"/>
  <c r="N9" i="11" s="1"/>
  <c r="J10" i="11"/>
  <c r="N10" i="11" s="1"/>
  <c r="J11" i="11"/>
  <c r="J12" i="11"/>
  <c r="J13" i="11"/>
  <c r="N13" i="11" s="1"/>
  <c r="J14" i="11"/>
  <c r="N14" i="11" s="1"/>
  <c r="J15" i="11"/>
  <c r="J16" i="11"/>
  <c r="J17" i="11"/>
  <c r="N17" i="11" s="1"/>
  <c r="J18" i="11"/>
  <c r="N18" i="11" s="1"/>
  <c r="J19" i="11"/>
  <c r="J20" i="11"/>
  <c r="J21" i="11"/>
  <c r="N21" i="11" s="1"/>
  <c r="J22" i="11"/>
  <c r="N22" i="11" s="1"/>
  <c r="J23" i="11"/>
  <c r="J24" i="11"/>
  <c r="J25" i="11"/>
  <c r="N25" i="11" s="1"/>
  <c r="J26" i="11"/>
  <c r="N26" i="11" s="1"/>
  <c r="J27" i="11"/>
  <c r="J28" i="11"/>
  <c r="J29" i="11"/>
  <c r="N29" i="11" s="1"/>
  <c r="J30" i="11"/>
  <c r="N30" i="11" s="1"/>
  <c r="J31" i="11"/>
  <c r="J32" i="11"/>
  <c r="J33" i="11"/>
  <c r="N33" i="11" s="1"/>
  <c r="J34" i="11"/>
  <c r="N34" i="11" s="1"/>
  <c r="J35" i="11"/>
  <c r="J36" i="11"/>
  <c r="J37" i="11"/>
  <c r="N37" i="11" s="1"/>
  <c r="J38" i="11"/>
  <c r="N38" i="11" s="1"/>
  <c r="J39" i="11"/>
  <c r="J9" i="10"/>
  <c r="J10" i="10"/>
  <c r="N10" i="10" s="1"/>
  <c r="J11" i="10"/>
  <c r="N11" i="10" s="1"/>
  <c r="J12" i="10"/>
  <c r="J13" i="10"/>
  <c r="J14" i="10"/>
  <c r="N14" i="10" s="1"/>
  <c r="J15" i="10"/>
  <c r="N15" i="10" s="1"/>
  <c r="J16" i="10"/>
  <c r="J17" i="10"/>
  <c r="J18" i="10"/>
  <c r="N18" i="10" s="1"/>
  <c r="J19" i="10"/>
  <c r="N19" i="10" s="1"/>
  <c r="J20" i="10"/>
  <c r="J21" i="10"/>
  <c r="J22" i="10"/>
  <c r="N22" i="10" s="1"/>
  <c r="J23" i="10"/>
  <c r="N23" i="10" s="1"/>
  <c r="J24" i="10"/>
  <c r="J25" i="10"/>
  <c r="J26" i="10"/>
  <c r="N26" i="10" s="1"/>
  <c r="J27" i="10"/>
  <c r="N27" i="10" s="1"/>
  <c r="J28" i="10"/>
  <c r="J29" i="10"/>
  <c r="J30" i="10"/>
  <c r="N30" i="10" s="1"/>
  <c r="J31" i="10"/>
  <c r="N31" i="10" s="1"/>
  <c r="J32" i="10"/>
  <c r="J33" i="10"/>
  <c r="J34" i="10"/>
  <c r="N34" i="10" s="1"/>
  <c r="J35" i="10"/>
  <c r="N35" i="10" s="1"/>
  <c r="J36" i="10"/>
  <c r="J37" i="10"/>
  <c r="J38" i="10"/>
  <c r="N38" i="10" s="1"/>
  <c r="J39" i="10"/>
  <c r="N39" i="10" s="1"/>
  <c r="J9" i="9"/>
  <c r="J10" i="9"/>
  <c r="J11" i="9"/>
  <c r="N11" i="9" s="1"/>
  <c r="J12" i="9"/>
  <c r="N12" i="9" s="1"/>
  <c r="J13" i="9"/>
  <c r="J14" i="9"/>
  <c r="J15" i="9"/>
  <c r="N15" i="9" s="1"/>
  <c r="J16" i="9"/>
  <c r="N16" i="9" s="1"/>
  <c r="J17" i="9"/>
  <c r="J18" i="9"/>
  <c r="J19" i="9"/>
  <c r="N19" i="9" s="1"/>
  <c r="J20" i="9"/>
  <c r="N20" i="9" s="1"/>
  <c r="J21" i="9"/>
  <c r="J22" i="9"/>
  <c r="J23" i="9"/>
  <c r="N23" i="9" s="1"/>
  <c r="J24" i="9"/>
  <c r="N24" i="9" s="1"/>
  <c r="J25" i="9"/>
  <c r="J26" i="9"/>
  <c r="J27" i="9"/>
  <c r="N27" i="9" s="1"/>
  <c r="J28" i="9"/>
  <c r="N28" i="9" s="1"/>
  <c r="J29" i="9"/>
  <c r="J30" i="9"/>
  <c r="J31" i="9"/>
  <c r="N31" i="9" s="1"/>
  <c r="J32" i="9"/>
  <c r="N32" i="9" s="1"/>
  <c r="J33" i="9"/>
  <c r="J34" i="9"/>
  <c r="J35" i="9"/>
  <c r="N35" i="9" s="1"/>
  <c r="J36" i="9"/>
  <c r="N36" i="9" s="1"/>
  <c r="J37" i="9"/>
  <c r="J38" i="9"/>
  <c r="J39" i="9"/>
  <c r="N39" i="9" s="1"/>
  <c r="J9" i="8"/>
  <c r="N9" i="8" s="1"/>
  <c r="J10" i="8"/>
  <c r="J11" i="8"/>
  <c r="J12" i="8"/>
  <c r="N12" i="8" s="1"/>
  <c r="J13" i="8"/>
  <c r="N13" i="8" s="1"/>
  <c r="J14" i="8"/>
  <c r="J15" i="8"/>
  <c r="J16" i="8"/>
  <c r="N16" i="8" s="1"/>
  <c r="J17" i="8"/>
  <c r="N17" i="8" s="1"/>
  <c r="J18" i="8"/>
  <c r="J19" i="8"/>
  <c r="J20" i="8"/>
  <c r="N20" i="8" s="1"/>
  <c r="J21" i="8"/>
  <c r="N21" i="8" s="1"/>
  <c r="J22" i="8"/>
  <c r="J23" i="8"/>
  <c r="J24" i="8"/>
  <c r="N24" i="8" s="1"/>
  <c r="J25" i="8"/>
  <c r="N25" i="8" s="1"/>
  <c r="J26" i="8"/>
  <c r="J27" i="8"/>
  <c r="J28" i="8"/>
  <c r="N28" i="8" s="1"/>
  <c r="J29" i="8"/>
  <c r="N29" i="8" s="1"/>
  <c r="J30" i="8"/>
  <c r="J31" i="8"/>
  <c r="J32" i="8"/>
  <c r="N32" i="8" s="1"/>
  <c r="J33" i="8"/>
  <c r="N33" i="8" s="1"/>
  <c r="J34" i="8"/>
  <c r="J35" i="8"/>
  <c r="J36" i="8"/>
  <c r="N36" i="8" s="1"/>
  <c r="J37" i="8"/>
  <c r="N37" i="8" s="1"/>
  <c r="J38" i="8"/>
  <c r="J39" i="8"/>
  <c r="J9" i="7"/>
  <c r="N9" i="7" s="1"/>
  <c r="J10" i="7"/>
  <c r="N10" i="7" s="1"/>
  <c r="J11" i="7"/>
  <c r="J12" i="7"/>
  <c r="J13" i="7"/>
  <c r="N13" i="7" s="1"/>
  <c r="J14" i="7"/>
  <c r="N14" i="7" s="1"/>
  <c r="J15" i="7"/>
  <c r="J16" i="7"/>
  <c r="J17" i="7"/>
  <c r="N17" i="7" s="1"/>
  <c r="J18" i="7"/>
  <c r="N18" i="7" s="1"/>
  <c r="J19" i="7"/>
  <c r="J20" i="7"/>
  <c r="J21" i="7"/>
  <c r="N21" i="7" s="1"/>
  <c r="J22" i="7"/>
  <c r="N22" i="7" s="1"/>
  <c r="J23" i="7"/>
  <c r="J24" i="7"/>
  <c r="J25" i="7"/>
  <c r="N25" i="7" s="1"/>
  <c r="J26" i="7"/>
  <c r="N26" i="7" s="1"/>
  <c r="J27" i="7"/>
  <c r="J28" i="7"/>
  <c r="J29" i="7"/>
  <c r="N29" i="7" s="1"/>
  <c r="J30" i="7"/>
  <c r="N30" i="7" s="1"/>
  <c r="J31" i="7"/>
  <c r="J32" i="7"/>
  <c r="J33" i="7"/>
  <c r="N33" i="7" s="1"/>
  <c r="J34" i="7"/>
  <c r="N34" i="7" s="1"/>
  <c r="J35" i="7"/>
  <c r="J36" i="7"/>
  <c r="J37" i="7"/>
  <c r="N37" i="7" s="1"/>
  <c r="J38" i="7"/>
  <c r="N38" i="7" s="1"/>
  <c r="J39" i="7"/>
  <c r="J9" i="6"/>
  <c r="J10" i="6"/>
  <c r="N10" i="6" s="1"/>
  <c r="J11" i="6"/>
  <c r="J12" i="6"/>
  <c r="J13" i="6"/>
  <c r="J14" i="6"/>
  <c r="N14" i="6" s="1"/>
  <c r="J15" i="6"/>
  <c r="J16" i="6"/>
  <c r="J17" i="6"/>
  <c r="J18" i="6"/>
  <c r="N18" i="6" s="1"/>
  <c r="J19" i="6"/>
  <c r="J20" i="6"/>
  <c r="J21" i="6"/>
  <c r="J22" i="6"/>
  <c r="N22" i="6" s="1"/>
  <c r="J23" i="6"/>
  <c r="J24" i="6"/>
  <c r="J25" i="6"/>
  <c r="J26" i="6"/>
  <c r="N26" i="6" s="1"/>
  <c r="J27" i="6"/>
  <c r="J28" i="6"/>
  <c r="J29" i="6"/>
  <c r="J30" i="6"/>
  <c r="N30" i="6" s="1"/>
  <c r="J31" i="6"/>
  <c r="J32" i="6"/>
  <c r="J33" i="6"/>
  <c r="J34" i="6"/>
  <c r="N34" i="6" s="1"/>
  <c r="J35" i="6"/>
  <c r="J36" i="6"/>
  <c r="J37" i="6"/>
  <c r="J38" i="6"/>
  <c r="N38" i="6" s="1"/>
  <c r="J39" i="6"/>
  <c r="J9" i="5"/>
  <c r="J10" i="5"/>
  <c r="J11" i="5"/>
  <c r="N11" i="5" s="1"/>
  <c r="J12" i="5"/>
  <c r="N12" i="5" s="1"/>
  <c r="J13" i="5"/>
  <c r="J14" i="5"/>
  <c r="J15" i="5"/>
  <c r="N15" i="5" s="1"/>
  <c r="J16" i="5"/>
  <c r="N16" i="5" s="1"/>
  <c r="J17" i="5"/>
  <c r="J18" i="5"/>
  <c r="J19" i="5"/>
  <c r="N19" i="5" s="1"/>
  <c r="J20" i="5"/>
  <c r="N20" i="5" s="1"/>
  <c r="J21" i="5"/>
  <c r="J22" i="5"/>
  <c r="J23" i="5"/>
  <c r="N23" i="5" s="1"/>
  <c r="J24" i="5"/>
  <c r="N24" i="5" s="1"/>
  <c r="J25" i="5"/>
  <c r="J26" i="5"/>
  <c r="J27" i="5"/>
  <c r="N27" i="5" s="1"/>
  <c r="J28" i="5"/>
  <c r="N28" i="5" s="1"/>
  <c r="J29" i="5"/>
  <c r="J30" i="5"/>
  <c r="J31" i="5"/>
  <c r="N31" i="5" s="1"/>
  <c r="J32" i="5"/>
  <c r="N32" i="5" s="1"/>
  <c r="J33" i="5"/>
  <c r="J34" i="5"/>
  <c r="J35" i="5"/>
  <c r="N35" i="5" s="1"/>
  <c r="J36" i="5"/>
  <c r="N36" i="5" s="1"/>
  <c r="J37" i="5"/>
  <c r="J38" i="5"/>
  <c r="J39" i="5"/>
  <c r="N39" i="5" s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J9" i="1"/>
  <c r="J10" i="1"/>
  <c r="J11" i="1"/>
  <c r="N11" i="1" s="1"/>
  <c r="J12" i="1"/>
  <c r="J13" i="1"/>
  <c r="J14" i="1"/>
  <c r="J15" i="1"/>
  <c r="N15" i="1" s="1"/>
  <c r="J16" i="1"/>
  <c r="J17" i="1"/>
  <c r="J18" i="1"/>
  <c r="J19" i="1"/>
  <c r="N19" i="1" s="1"/>
  <c r="J20" i="1"/>
  <c r="J21" i="1"/>
  <c r="J22" i="1"/>
  <c r="J23" i="1"/>
  <c r="N23" i="1" s="1"/>
  <c r="J24" i="1"/>
  <c r="J25" i="1"/>
  <c r="J26" i="1"/>
  <c r="J27" i="1"/>
  <c r="N27" i="1" s="1"/>
  <c r="J28" i="1"/>
  <c r="J29" i="1"/>
  <c r="J30" i="1"/>
  <c r="J31" i="1"/>
  <c r="N31" i="1" s="1"/>
  <c r="J32" i="1"/>
  <c r="J33" i="1"/>
  <c r="J34" i="1"/>
  <c r="J35" i="1"/>
  <c r="N35" i="1" s="1"/>
  <c r="J36" i="1"/>
  <c r="J37" i="1"/>
  <c r="J38" i="1"/>
  <c r="J39" i="1"/>
  <c r="N39" i="1" s="1"/>
  <c r="F20" i="3"/>
  <c r="G20" i="3" s="1"/>
  <c r="N39" i="6" l="1"/>
  <c r="N35" i="6"/>
  <c r="N31" i="6"/>
  <c r="N27" i="6"/>
  <c r="N23" i="6"/>
  <c r="N19" i="6"/>
  <c r="N15" i="6"/>
  <c r="N11" i="6"/>
  <c r="N38" i="15"/>
  <c r="N37" i="5"/>
  <c r="N33" i="5"/>
  <c r="N29" i="5"/>
  <c r="N25" i="5"/>
  <c r="N21" i="5"/>
  <c r="N17" i="5"/>
  <c r="N13" i="5"/>
  <c r="N9" i="5"/>
  <c r="N36" i="6"/>
  <c r="N32" i="6"/>
  <c r="N28" i="6"/>
  <c r="N24" i="6"/>
  <c r="N20" i="6"/>
  <c r="N16" i="6"/>
  <c r="N12" i="6"/>
  <c r="N39" i="7"/>
  <c r="N35" i="7"/>
  <c r="N31" i="7"/>
  <c r="N27" i="7"/>
  <c r="N23" i="7"/>
  <c r="N19" i="7"/>
  <c r="N15" i="7"/>
  <c r="N11" i="7"/>
  <c r="N38" i="8"/>
  <c r="N34" i="8"/>
  <c r="N30" i="8"/>
  <c r="N26" i="8"/>
  <c r="N22" i="8"/>
  <c r="N18" i="8"/>
  <c r="N14" i="8"/>
  <c r="N10" i="8"/>
  <c r="N37" i="9"/>
  <c r="N33" i="9"/>
  <c r="N29" i="9"/>
  <c r="N25" i="9"/>
  <c r="N21" i="9"/>
  <c r="N17" i="9"/>
  <c r="N13" i="9"/>
  <c r="N9" i="9"/>
  <c r="N36" i="10"/>
  <c r="N32" i="10"/>
  <c r="N28" i="10"/>
  <c r="N24" i="10"/>
  <c r="N20" i="10"/>
  <c r="N16" i="10"/>
  <c r="N12" i="10"/>
  <c r="N39" i="11"/>
  <c r="N35" i="11"/>
  <c r="N31" i="11"/>
  <c r="N27" i="11"/>
  <c r="N23" i="11"/>
  <c r="N19" i="11"/>
  <c r="N15" i="11"/>
  <c r="N11" i="11"/>
  <c r="N38" i="12"/>
  <c r="N34" i="12"/>
  <c r="N30" i="12"/>
  <c r="N26" i="12"/>
  <c r="N22" i="12"/>
  <c r="N18" i="12"/>
  <c r="N14" i="12"/>
  <c r="N10" i="12"/>
  <c r="N37" i="13"/>
  <c r="N33" i="13"/>
  <c r="N29" i="13"/>
  <c r="N25" i="13"/>
  <c r="N21" i="13"/>
  <c r="N17" i="13"/>
  <c r="N13" i="13"/>
  <c r="N9" i="13"/>
  <c r="N36" i="14"/>
  <c r="N32" i="14"/>
  <c r="N28" i="14"/>
  <c r="N24" i="14"/>
  <c r="N20" i="14"/>
  <c r="N16" i="14"/>
  <c r="N12" i="14"/>
  <c r="N39" i="15"/>
  <c r="N35" i="15"/>
  <c r="N31" i="15"/>
  <c r="N27" i="15"/>
  <c r="N23" i="15"/>
  <c r="N19" i="15"/>
  <c r="N15" i="15"/>
  <c r="N11" i="15"/>
  <c r="N38" i="1"/>
  <c r="N26" i="1"/>
  <c r="N10" i="1"/>
  <c r="N34" i="1"/>
  <c r="N22" i="1"/>
  <c r="N14" i="1"/>
  <c r="N37" i="1"/>
  <c r="N29" i="1"/>
  <c r="N21" i="1"/>
  <c r="N13" i="1"/>
  <c r="N30" i="1"/>
  <c r="N18" i="1"/>
  <c r="N33" i="1"/>
  <c r="N25" i="1"/>
  <c r="N17" i="1"/>
  <c r="N9" i="1"/>
  <c r="N36" i="1"/>
  <c r="N32" i="1"/>
  <c r="N28" i="1"/>
  <c r="N24" i="1"/>
  <c r="N20" i="1"/>
  <c r="N16" i="1"/>
  <c r="N12" i="1"/>
  <c r="N38" i="5"/>
  <c r="N34" i="5"/>
  <c r="N30" i="5"/>
  <c r="N26" i="5"/>
  <c r="N22" i="5"/>
  <c r="N18" i="5"/>
  <c r="N14" i="5"/>
  <c r="N10" i="5"/>
  <c r="N37" i="6"/>
  <c r="N33" i="6"/>
  <c r="N29" i="6"/>
  <c r="N25" i="6"/>
  <c r="N21" i="6"/>
  <c r="N17" i="6"/>
  <c r="N13" i="6"/>
  <c r="N9" i="6"/>
  <c r="N36" i="7"/>
  <c r="N32" i="7"/>
  <c r="N28" i="7"/>
  <c r="N24" i="7"/>
  <c r="N20" i="7"/>
  <c r="N16" i="7"/>
  <c r="N12" i="7"/>
  <c r="N39" i="8"/>
  <c r="N35" i="8"/>
  <c r="N31" i="8"/>
  <c r="N27" i="8"/>
  <c r="N23" i="8"/>
  <c r="N19" i="8"/>
  <c r="N15" i="8"/>
  <c r="N11" i="8"/>
  <c r="N38" i="9"/>
  <c r="N34" i="9"/>
  <c r="N30" i="9"/>
  <c r="N26" i="9"/>
  <c r="N22" i="9"/>
  <c r="N18" i="9"/>
  <c r="N14" i="9"/>
  <c r="N10" i="9"/>
  <c r="N37" i="10"/>
  <c r="N33" i="10"/>
  <c r="N29" i="10"/>
  <c r="N25" i="10"/>
  <c r="N21" i="10"/>
  <c r="N17" i="10"/>
  <c r="N13" i="10"/>
  <c r="N9" i="10"/>
  <c r="N36" i="11"/>
  <c r="N32" i="11"/>
  <c r="N28" i="11"/>
  <c r="N24" i="11"/>
  <c r="N20" i="11"/>
  <c r="N16" i="11"/>
  <c r="N12" i="11"/>
  <c r="N39" i="12"/>
  <c r="N35" i="12"/>
  <c r="N31" i="12"/>
  <c r="N27" i="12"/>
  <c r="N23" i="12"/>
  <c r="N19" i="12"/>
  <c r="N15" i="12"/>
  <c r="N11" i="12"/>
  <c r="N38" i="13"/>
  <c r="N34" i="13"/>
  <c r="N30" i="13"/>
  <c r="N26" i="13"/>
  <c r="N22" i="13"/>
  <c r="N18" i="13"/>
  <c r="N14" i="13"/>
  <c r="N10" i="13"/>
  <c r="N37" i="14"/>
  <c r="N33" i="14"/>
  <c r="N29" i="14"/>
  <c r="N25" i="14"/>
  <c r="N21" i="14"/>
  <c r="N17" i="14"/>
  <c r="N13" i="14"/>
  <c r="N9" i="14"/>
  <c r="N36" i="15"/>
  <c r="N32" i="15"/>
  <c r="N28" i="15"/>
  <c r="N24" i="15"/>
  <c r="N20" i="15"/>
  <c r="N16" i="15"/>
  <c r="N12" i="15"/>
  <c r="U39" i="15"/>
  <c r="U38" i="15"/>
  <c r="U37" i="15"/>
  <c r="U36" i="15"/>
  <c r="U35" i="15"/>
  <c r="U34" i="15"/>
  <c r="U33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E6" i="15"/>
  <c r="D6" i="15"/>
  <c r="O1" i="15"/>
  <c r="U39" i="14"/>
  <c r="U38" i="14"/>
  <c r="U37" i="14"/>
  <c r="U36" i="14"/>
  <c r="U35" i="14"/>
  <c r="U34" i="14"/>
  <c r="U33" i="14"/>
  <c r="U32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L19" i="14"/>
  <c r="U18" i="14"/>
  <c r="U17" i="14"/>
  <c r="U16" i="14"/>
  <c r="U15" i="14"/>
  <c r="U14" i="14"/>
  <c r="U13" i="14"/>
  <c r="U12" i="14"/>
  <c r="U11" i="14"/>
  <c r="U10" i="14"/>
  <c r="U9" i="14"/>
  <c r="E6" i="14"/>
  <c r="D6" i="14"/>
  <c r="O1" i="14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E6" i="13"/>
  <c r="D6" i="13"/>
  <c r="O1" i="13"/>
  <c r="U39" i="12"/>
  <c r="U38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U12" i="12"/>
  <c r="U11" i="12"/>
  <c r="U10" i="12"/>
  <c r="U9" i="12"/>
  <c r="E6" i="12"/>
  <c r="D6" i="12"/>
  <c r="O1" i="12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E6" i="11"/>
  <c r="D6" i="11"/>
  <c r="O1" i="11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E6" i="10"/>
  <c r="D6" i="10"/>
  <c r="O1" i="10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E6" i="9"/>
  <c r="D6" i="9"/>
  <c r="O1" i="9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E6" i="8"/>
  <c r="D6" i="8"/>
  <c r="O1" i="8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E6" i="7"/>
  <c r="D6" i="7"/>
  <c r="O1" i="7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E6" i="6"/>
  <c r="D6" i="6"/>
  <c r="O1" i="6"/>
  <c r="E6" i="5"/>
  <c r="D6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O1" i="5"/>
  <c r="F6" i="9" l="1"/>
  <c r="B9" i="9" s="1"/>
  <c r="F6" i="6"/>
  <c r="B9" i="6" s="1"/>
  <c r="F6" i="7"/>
  <c r="B9" i="7" s="1"/>
  <c r="C9" i="7" s="1"/>
  <c r="F6" i="8"/>
  <c r="B9" i="8" s="1"/>
  <c r="L16" i="15"/>
  <c r="L32" i="15"/>
  <c r="F6" i="11"/>
  <c r="B9" i="11" s="1"/>
  <c r="B10" i="11" s="1"/>
  <c r="F6" i="12"/>
  <c r="B9" i="12" s="1"/>
  <c r="F6" i="15"/>
  <c r="B9" i="15" s="1"/>
  <c r="B10" i="15" s="1"/>
  <c r="L39" i="15"/>
  <c r="L28" i="10"/>
  <c r="L33" i="12"/>
  <c r="L18" i="14"/>
  <c r="L33" i="14"/>
  <c r="T11" i="15"/>
  <c r="S27" i="15"/>
  <c r="Q18" i="15"/>
  <c r="Q22" i="15"/>
  <c r="T34" i="15"/>
  <c r="Q38" i="15"/>
  <c r="S9" i="15"/>
  <c r="S13" i="15"/>
  <c r="T25" i="15"/>
  <c r="Q29" i="15"/>
  <c r="Q21" i="14"/>
  <c r="L25" i="14"/>
  <c r="Q33" i="14"/>
  <c r="Q38" i="14"/>
  <c r="L12" i="7"/>
  <c r="L28" i="7"/>
  <c r="L24" i="8"/>
  <c r="S30" i="11"/>
  <c r="L18" i="12"/>
  <c r="L26" i="12"/>
  <c r="L30" i="12"/>
  <c r="S35" i="12"/>
  <c r="F6" i="13"/>
  <c r="B9" i="13" s="1"/>
  <c r="C9" i="13" s="1"/>
  <c r="L10" i="13"/>
  <c r="L14" i="13"/>
  <c r="L19" i="13"/>
  <c r="S30" i="13"/>
  <c r="L31" i="13"/>
  <c r="T22" i="14"/>
  <c r="S31" i="14"/>
  <c r="L35" i="14"/>
  <c r="Q17" i="15"/>
  <c r="S21" i="15"/>
  <c r="Q26" i="15"/>
  <c r="Q30" i="15"/>
  <c r="Q35" i="15"/>
  <c r="S39" i="15"/>
  <c r="L23" i="9"/>
  <c r="L31" i="9"/>
  <c r="F6" i="10"/>
  <c r="B9" i="10" s="1"/>
  <c r="B10" i="10" s="1"/>
  <c r="M10" i="10" s="1"/>
  <c r="L11" i="10"/>
  <c r="L15" i="10"/>
  <c r="S26" i="10"/>
  <c r="L27" i="10"/>
  <c r="Q35" i="10"/>
  <c r="L36" i="10"/>
  <c r="T15" i="11"/>
  <c r="L20" i="11"/>
  <c r="L11" i="12"/>
  <c r="L19" i="12"/>
  <c r="L27" i="12"/>
  <c r="L31" i="12"/>
  <c r="T36" i="12"/>
  <c r="L37" i="12"/>
  <c r="Q12" i="13"/>
  <c r="L16" i="13"/>
  <c r="L20" i="13"/>
  <c r="L28" i="13"/>
  <c r="L32" i="13"/>
  <c r="L9" i="14"/>
  <c r="Q12" i="14"/>
  <c r="L17" i="14"/>
  <c r="T24" i="14"/>
  <c r="T28" i="14"/>
  <c r="Q10" i="15"/>
  <c r="Q14" i="15"/>
  <c r="Q19" i="15"/>
  <c r="L24" i="15"/>
  <c r="Q33" i="15"/>
  <c r="S37" i="15"/>
  <c r="T35" i="13"/>
  <c r="S15" i="14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Q17" i="14"/>
  <c r="S23" i="14"/>
  <c r="L31" i="14"/>
  <c r="L34" i="14"/>
  <c r="T37" i="14"/>
  <c r="L12" i="15"/>
  <c r="L14" i="15"/>
  <c r="L15" i="15"/>
  <c r="T16" i="15"/>
  <c r="L20" i="15"/>
  <c r="L22" i="15"/>
  <c r="L23" i="15"/>
  <c r="S24" i="15"/>
  <c r="L28" i="15"/>
  <c r="L30" i="15"/>
  <c r="L31" i="15"/>
  <c r="S32" i="15"/>
  <c r="L36" i="15"/>
  <c r="L38" i="15"/>
  <c r="T9" i="15"/>
  <c r="S34" i="15"/>
  <c r="S11" i="15"/>
  <c r="T13" i="15"/>
  <c r="T21" i="15"/>
  <c r="Q39" i="15"/>
  <c r="S25" i="15"/>
  <c r="L9" i="15"/>
  <c r="L13" i="15"/>
  <c r="L17" i="15"/>
  <c r="L21" i="15"/>
  <c r="L25" i="15"/>
  <c r="L29" i="15"/>
  <c r="L33" i="15"/>
  <c r="L37" i="15"/>
  <c r="L37" i="14"/>
  <c r="T11" i="13"/>
  <c r="Q15" i="13"/>
  <c r="Q24" i="13"/>
  <c r="L36" i="13"/>
  <c r="Q9" i="14"/>
  <c r="L11" i="14"/>
  <c r="S20" i="14"/>
  <c r="L22" i="14"/>
  <c r="L26" i="14"/>
  <c r="Q29" i="14"/>
  <c r="S30" i="14"/>
  <c r="T32" i="14"/>
  <c r="T34" i="14"/>
  <c r="L39" i="14"/>
  <c r="L17" i="12"/>
  <c r="L25" i="12"/>
  <c r="L38" i="12"/>
  <c r="T9" i="13"/>
  <c r="T13" i="13"/>
  <c r="L22" i="13"/>
  <c r="L23" i="13"/>
  <c r="L26" i="13"/>
  <c r="L27" i="13"/>
  <c r="L39" i="13"/>
  <c r="L10" i="14"/>
  <c r="Q13" i="14"/>
  <c r="T14" i="14"/>
  <c r="L15" i="14"/>
  <c r="Q16" i="14"/>
  <c r="L23" i="14"/>
  <c r="Q25" i="14"/>
  <c r="L27" i="14"/>
  <c r="S36" i="14"/>
  <c r="L38" i="14"/>
  <c r="Q14" i="14"/>
  <c r="Q22" i="14"/>
  <c r="F6" i="14"/>
  <c r="B9" i="14" s="1"/>
  <c r="T12" i="14"/>
  <c r="S13" i="14"/>
  <c r="Q15" i="14"/>
  <c r="T21" i="14"/>
  <c r="L12" i="14"/>
  <c r="L16" i="14"/>
  <c r="L20" i="14"/>
  <c r="L24" i="14"/>
  <c r="L28" i="14"/>
  <c r="L32" i="14"/>
  <c r="L36" i="14"/>
  <c r="L22" i="11"/>
  <c r="L23" i="11"/>
  <c r="L26" i="11"/>
  <c r="L27" i="11"/>
  <c r="L39" i="11"/>
  <c r="T10" i="12"/>
  <c r="L39" i="12"/>
  <c r="L15" i="13"/>
  <c r="Q20" i="13"/>
  <c r="S21" i="13"/>
  <c r="S23" i="13"/>
  <c r="L30" i="13"/>
  <c r="Q32" i="13"/>
  <c r="L34" i="13"/>
  <c r="L35" i="13"/>
  <c r="S39" i="13"/>
  <c r="L35" i="8"/>
  <c r="Q12" i="9"/>
  <c r="Q16" i="9"/>
  <c r="L20" i="9"/>
  <c r="Q28" i="9"/>
  <c r="S36" i="9"/>
  <c r="Q12" i="10"/>
  <c r="Q16" i="10"/>
  <c r="T13" i="11"/>
  <c r="Q9" i="12"/>
  <c r="L13" i="12"/>
  <c r="L21" i="12"/>
  <c r="Q29" i="12"/>
  <c r="Q33" i="12"/>
  <c r="S34" i="12"/>
  <c r="T10" i="13"/>
  <c r="L11" i="13"/>
  <c r="L12" i="13"/>
  <c r="S14" i="13"/>
  <c r="S19" i="13"/>
  <c r="S22" i="13"/>
  <c r="L24" i="13"/>
  <c r="Q28" i="13"/>
  <c r="S29" i="13"/>
  <c r="S31" i="13"/>
  <c r="L38" i="13"/>
  <c r="Q24" i="11"/>
  <c r="L28" i="11"/>
  <c r="L32" i="11"/>
  <c r="L36" i="11"/>
  <c r="Q12" i="12"/>
  <c r="Q16" i="12"/>
  <c r="T20" i="12"/>
  <c r="T24" i="12"/>
  <c r="Q16" i="13"/>
  <c r="L18" i="13"/>
  <c r="T27" i="13"/>
  <c r="Q36" i="13"/>
  <c r="T37" i="13"/>
  <c r="Q10" i="13"/>
  <c r="L9" i="13"/>
  <c r="L13" i="13"/>
  <c r="L17" i="13"/>
  <c r="L21" i="13"/>
  <c r="L25" i="13"/>
  <c r="L29" i="13"/>
  <c r="L33" i="13"/>
  <c r="L37" i="13"/>
  <c r="Q17" i="10"/>
  <c r="S18" i="10"/>
  <c r="L11" i="11"/>
  <c r="L14" i="11"/>
  <c r="L19" i="11"/>
  <c r="L31" i="11"/>
  <c r="Q35" i="11"/>
  <c r="L10" i="12"/>
  <c r="L14" i="12"/>
  <c r="Q17" i="12"/>
  <c r="Q18" i="12"/>
  <c r="L22" i="12"/>
  <c r="Q25" i="12"/>
  <c r="Q26" i="12"/>
  <c r="Q28" i="12"/>
  <c r="L35" i="12"/>
  <c r="S37" i="12"/>
  <c r="Q38" i="12"/>
  <c r="L9" i="12"/>
  <c r="T11" i="12"/>
  <c r="S19" i="12"/>
  <c r="S27" i="12"/>
  <c r="L29" i="12"/>
  <c r="Q39" i="12"/>
  <c r="Q12" i="11"/>
  <c r="L16" i="11"/>
  <c r="Q13" i="12"/>
  <c r="L15" i="12"/>
  <c r="Q21" i="12"/>
  <c r="L23" i="12"/>
  <c r="Q32" i="12"/>
  <c r="L34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Q38" i="10"/>
  <c r="L39" i="10"/>
  <c r="S11" i="11"/>
  <c r="L15" i="11"/>
  <c r="Q20" i="11"/>
  <c r="T21" i="11"/>
  <c r="Q23" i="11"/>
  <c r="L30" i="11"/>
  <c r="Q32" i="11"/>
  <c r="L34" i="11"/>
  <c r="L35" i="11"/>
  <c r="S39" i="11"/>
  <c r="L10" i="9"/>
  <c r="S14" i="9"/>
  <c r="L22" i="9"/>
  <c r="L26" i="9"/>
  <c r="S30" i="9"/>
  <c r="S10" i="10"/>
  <c r="L14" i="10"/>
  <c r="L16" i="10"/>
  <c r="S19" i="10"/>
  <c r="S23" i="10"/>
  <c r="Q28" i="10"/>
  <c r="S33" i="10"/>
  <c r="L10" i="11"/>
  <c r="L12" i="11"/>
  <c r="S14" i="11"/>
  <c r="S19" i="11"/>
  <c r="S22" i="11"/>
  <c r="L24" i="11"/>
  <c r="Q28" i="11"/>
  <c r="S29" i="11"/>
  <c r="Q31" i="11"/>
  <c r="Q38" i="11"/>
  <c r="L26" i="10"/>
  <c r="Q32" i="10"/>
  <c r="Q16" i="11"/>
  <c r="L18" i="11"/>
  <c r="S27" i="11"/>
  <c r="T36" i="11"/>
  <c r="Q37" i="11"/>
  <c r="T14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T12" i="8"/>
  <c r="L16" i="8"/>
  <c r="Q20" i="8"/>
  <c r="T32" i="8"/>
  <c r="L36" i="8"/>
  <c r="S13" i="9"/>
  <c r="L24" i="9"/>
  <c r="T27" i="9"/>
  <c r="T31" i="9"/>
  <c r="Q32" i="9"/>
  <c r="Q37" i="9"/>
  <c r="Q15" i="10"/>
  <c r="L19" i="10"/>
  <c r="Q24" i="10"/>
  <c r="S25" i="10"/>
  <c r="S27" i="10"/>
  <c r="L34" i="10"/>
  <c r="L35" i="10"/>
  <c r="Q39" i="10"/>
  <c r="L11" i="7"/>
  <c r="L27" i="7"/>
  <c r="T14" i="8"/>
  <c r="S18" i="8"/>
  <c r="L23" i="8"/>
  <c r="L26" i="8"/>
  <c r="L27" i="8"/>
  <c r="L30" i="8"/>
  <c r="T11" i="9"/>
  <c r="S15" i="9"/>
  <c r="Q19" i="9"/>
  <c r="Q20" i="9"/>
  <c r="S29" i="9"/>
  <c r="S35" i="9"/>
  <c r="S39" i="9"/>
  <c r="T9" i="10"/>
  <c r="L10" i="10"/>
  <c r="T11" i="10"/>
  <c r="L18" i="10"/>
  <c r="Q20" i="10"/>
  <c r="L22" i="10"/>
  <c r="L23" i="10"/>
  <c r="L24" i="10"/>
  <c r="S31" i="10"/>
  <c r="T36" i="10"/>
  <c r="S37" i="10"/>
  <c r="T35" i="10"/>
  <c r="L9" i="10"/>
  <c r="L13" i="10"/>
  <c r="L17" i="10"/>
  <c r="L21" i="10"/>
  <c r="L25" i="10"/>
  <c r="L29" i="10"/>
  <c r="L33" i="10"/>
  <c r="L37" i="10"/>
  <c r="L38" i="10"/>
  <c r="L35" i="9"/>
  <c r="L36" i="9"/>
  <c r="L27" i="6"/>
  <c r="Q31" i="6"/>
  <c r="T39" i="6"/>
  <c r="S21" i="7"/>
  <c r="L31" i="7"/>
  <c r="L36" i="7"/>
  <c r="T11" i="8"/>
  <c r="L15" i="8"/>
  <c r="S19" i="8"/>
  <c r="T23" i="8"/>
  <c r="Q24" i="8"/>
  <c r="T33" i="8"/>
  <c r="Q39" i="8"/>
  <c r="S23" i="9"/>
  <c r="T24" i="9"/>
  <c r="L38" i="9"/>
  <c r="S10" i="9"/>
  <c r="L11" i="9"/>
  <c r="L12" i="9"/>
  <c r="L15" i="9"/>
  <c r="L16" i="9"/>
  <c r="Q26" i="9"/>
  <c r="L27" i="9"/>
  <c r="L28" i="9"/>
  <c r="T17" i="6"/>
  <c r="T22" i="6"/>
  <c r="T25" i="6"/>
  <c r="T15" i="7"/>
  <c r="Q19" i="7"/>
  <c r="Q23" i="7"/>
  <c r="T9" i="8"/>
  <c r="S17" i="8"/>
  <c r="L28" i="8"/>
  <c r="T31" i="8"/>
  <c r="S35" i="8"/>
  <c r="S36" i="8"/>
  <c r="T37" i="8"/>
  <c r="L14" i="9"/>
  <c r="L18" i="9"/>
  <c r="L30" i="9"/>
  <c r="L34" i="9"/>
  <c r="B10" i="9"/>
  <c r="C9" i="9"/>
  <c r="T12" i="9"/>
  <c r="L9" i="9"/>
  <c r="L13" i="9"/>
  <c r="L17" i="9"/>
  <c r="L21" i="9"/>
  <c r="L25" i="9"/>
  <c r="L29" i="9"/>
  <c r="L33" i="9"/>
  <c r="L37" i="9"/>
  <c r="L11" i="6"/>
  <c r="L23" i="6"/>
  <c r="Q20" i="7"/>
  <c r="Q24" i="7"/>
  <c r="L33" i="7"/>
  <c r="L10" i="8"/>
  <c r="S27" i="8"/>
  <c r="Q28" i="8"/>
  <c r="L38" i="8"/>
  <c r="L15" i="7"/>
  <c r="L11" i="8"/>
  <c r="L12" i="8"/>
  <c r="L19" i="8"/>
  <c r="L20" i="8"/>
  <c r="S30" i="8"/>
  <c r="L31" i="8"/>
  <c r="L32" i="8"/>
  <c r="L39" i="8"/>
  <c r="L16" i="6"/>
  <c r="Q20" i="6"/>
  <c r="T34" i="6"/>
  <c r="L38" i="6"/>
  <c r="L18" i="7"/>
  <c r="S22" i="7"/>
  <c r="L29" i="7"/>
  <c r="T34" i="7"/>
  <c r="T39" i="7"/>
  <c r="L14" i="8"/>
  <c r="Q15" i="8"/>
  <c r="Q16" i="8"/>
  <c r="L18" i="8"/>
  <c r="L22" i="8"/>
  <c r="T25" i="8"/>
  <c r="T34" i="8"/>
  <c r="L9" i="8"/>
  <c r="L13" i="8"/>
  <c r="L17" i="8"/>
  <c r="L21" i="8"/>
  <c r="L25" i="8"/>
  <c r="L29" i="8"/>
  <c r="L33" i="8"/>
  <c r="L37" i="8"/>
  <c r="L34" i="8"/>
  <c r="T16" i="7"/>
  <c r="L21" i="7"/>
  <c r="L25" i="7"/>
  <c r="Q31" i="7"/>
  <c r="Q32" i="7"/>
  <c r="T33" i="7"/>
  <c r="T38" i="7"/>
  <c r="L12" i="6"/>
  <c r="L15" i="6"/>
  <c r="Q19" i="6"/>
  <c r="L24" i="6"/>
  <c r="T27" i="6"/>
  <c r="Q28" i="6"/>
  <c r="L39" i="6"/>
  <c r="S11" i="7"/>
  <c r="Q12" i="7"/>
  <c r="L14" i="7"/>
  <c r="Q18" i="7"/>
  <c r="L19" i="7"/>
  <c r="L20" i="7"/>
  <c r="L23" i="7"/>
  <c r="L24" i="7"/>
  <c r="Q27" i="7"/>
  <c r="Q28" i="7"/>
  <c r="L30" i="7"/>
  <c r="Q36" i="7"/>
  <c r="Q37" i="7"/>
  <c r="L39" i="7"/>
  <c r="L10" i="6"/>
  <c r="L14" i="6"/>
  <c r="Q32" i="6"/>
  <c r="L10" i="7"/>
  <c r="L22" i="7"/>
  <c r="L26" i="7"/>
  <c r="T29" i="7"/>
  <c r="L35" i="7"/>
  <c r="L9" i="7"/>
  <c r="L13" i="7"/>
  <c r="L17" i="7"/>
  <c r="L34" i="7"/>
  <c r="L38" i="7"/>
  <c r="L19" i="6"/>
  <c r="L20" i="6"/>
  <c r="L31" i="6"/>
  <c r="L32" i="6"/>
  <c r="L22" i="6"/>
  <c r="T23" i="6"/>
  <c r="Q24" i="6"/>
  <c r="L26" i="6"/>
  <c r="T35" i="6"/>
  <c r="T36" i="6"/>
  <c r="T37" i="6"/>
  <c r="S38" i="6"/>
  <c r="Q9" i="6"/>
  <c r="Q15" i="6"/>
  <c r="Q16" i="6"/>
  <c r="L18" i="6"/>
  <c r="L30" i="6"/>
  <c r="S33" i="6"/>
  <c r="L35" i="6"/>
  <c r="L36" i="6"/>
  <c r="C9" i="6"/>
  <c r="L9" i="6"/>
  <c r="L13" i="6"/>
  <c r="L17" i="6"/>
  <c r="L21" i="6"/>
  <c r="L25" i="6"/>
  <c r="L29" i="6"/>
  <c r="L33" i="6"/>
  <c r="L37" i="6"/>
  <c r="L34" i="6"/>
  <c r="F6" i="5"/>
  <c r="B9" i="5" s="1"/>
  <c r="S24" i="5"/>
  <c r="T28" i="5"/>
  <c r="L32" i="5"/>
  <c r="Q19" i="5"/>
  <c r="S23" i="5"/>
  <c r="Q25" i="5"/>
  <c r="L21" i="5"/>
  <c r="L10" i="5"/>
  <c r="L14" i="5"/>
  <c r="L22" i="5"/>
  <c r="L24" i="5"/>
  <c r="L25" i="5"/>
  <c r="Q17" i="5"/>
  <c r="L31" i="5"/>
  <c r="L35" i="5"/>
  <c r="S36" i="5"/>
  <c r="S37" i="5"/>
  <c r="L38" i="5"/>
  <c r="L16" i="5"/>
  <c r="L17" i="5"/>
  <c r="L13" i="5"/>
  <c r="L20" i="5"/>
  <c r="Q29" i="5"/>
  <c r="L33" i="5"/>
  <c r="S35" i="5"/>
  <c r="L36" i="5"/>
  <c r="L37" i="5"/>
  <c r="L12" i="5"/>
  <c r="L19" i="5"/>
  <c r="Q20" i="5"/>
  <c r="Q21" i="5"/>
  <c r="L23" i="5"/>
  <c r="L27" i="5"/>
  <c r="L30" i="5"/>
  <c r="L39" i="5"/>
  <c r="L9" i="5"/>
  <c r="L28" i="5"/>
  <c r="L29" i="5"/>
  <c r="L11" i="5"/>
  <c r="L15" i="5"/>
  <c r="S32" i="5"/>
  <c r="T33" i="5"/>
  <c r="L18" i="5"/>
  <c r="L34" i="5"/>
  <c r="L26" i="5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M10" i="9" l="1"/>
  <c r="R10" i="9" s="1"/>
  <c r="M9" i="7"/>
  <c r="B10" i="7"/>
  <c r="M10" i="7" s="1"/>
  <c r="R10" i="7" s="1"/>
  <c r="M9" i="6"/>
  <c r="M9" i="9"/>
  <c r="R9" i="9" s="1"/>
  <c r="B10" i="6"/>
  <c r="B10" i="5"/>
  <c r="B11" i="5" s="1"/>
  <c r="B10" i="13"/>
  <c r="M10" i="13" s="1"/>
  <c r="M9" i="13"/>
  <c r="R9" i="13" s="1"/>
  <c r="C9" i="12"/>
  <c r="M9" i="12"/>
  <c r="R9" i="12" s="1"/>
  <c r="B10" i="8"/>
  <c r="M9" i="8"/>
  <c r="R9" i="8" s="1"/>
  <c r="C9" i="11"/>
  <c r="M9" i="11"/>
  <c r="R9" i="11" s="1"/>
  <c r="C9" i="10"/>
  <c r="M9" i="10"/>
  <c r="C9" i="15"/>
  <c r="M9" i="15" s="1"/>
  <c r="R9" i="15" s="1"/>
  <c r="Q24" i="14"/>
  <c r="Q15" i="11"/>
  <c r="T35" i="9"/>
  <c r="Q34" i="6"/>
  <c r="T35" i="11"/>
  <c r="Q25" i="6"/>
  <c r="S12" i="12"/>
  <c r="Q35" i="13"/>
  <c r="T22" i="15"/>
  <c r="T24" i="8"/>
  <c r="S23" i="11"/>
  <c r="Q21" i="13"/>
  <c r="S17" i="15"/>
  <c r="T35" i="15"/>
  <c r="Q11" i="11"/>
  <c r="C9" i="8"/>
  <c r="S37" i="9"/>
  <c r="S9" i="13"/>
  <c r="S28" i="10"/>
  <c r="S28" i="11"/>
  <c r="T11" i="11"/>
  <c r="B10" i="12"/>
  <c r="T16" i="10"/>
  <c r="T23" i="11"/>
  <c r="Q29" i="11"/>
  <c r="S38" i="15"/>
  <c r="Q27" i="15"/>
  <c r="S28" i="9"/>
  <c r="Q31" i="14"/>
  <c r="S29" i="15"/>
  <c r="T35" i="8"/>
  <c r="Q11" i="8"/>
  <c r="Q24" i="9"/>
  <c r="S35" i="10"/>
  <c r="T34" i="12"/>
  <c r="T23" i="13"/>
  <c r="T15" i="14"/>
  <c r="S33" i="14"/>
  <c r="S12" i="14"/>
  <c r="S22" i="14"/>
  <c r="Q25" i="15"/>
  <c r="T39" i="15"/>
  <c r="Q34" i="15"/>
  <c r="Q39" i="6"/>
  <c r="S9" i="8"/>
  <c r="Q31" i="9"/>
  <c r="T15" i="9"/>
  <c r="Q36" i="12"/>
  <c r="Q21" i="15"/>
  <c r="Q11" i="15"/>
  <c r="S11" i="8"/>
  <c r="S12" i="10"/>
  <c r="S36" i="12"/>
  <c r="Q34" i="12"/>
  <c r="Q37" i="13"/>
  <c r="T33" i="14"/>
  <c r="S34" i="7"/>
  <c r="T19" i="8"/>
  <c r="Q20" i="12"/>
  <c r="Q30" i="13"/>
  <c r="T12" i="13"/>
  <c r="T18" i="15"/>
  <c r="T28" i="6"/>
  <c r="Q14" i="8"/>
  <c r="Q36" i="9"/>
  <c r="T26" i="10"/>
  <c r="S15" i="11"/>
  <c r="T21" i="13"/>
  <c r="S35" i="13"/>
  <c r="Q36" i="14"/>
  <c r="S24" i="14"/>
  <c r="S21" i="14"/>
  <c r="T17" i="15"/>
  <c r="Q13" i="15"/>
  <c r="S35" i="15"/>
  <c r="S19" i="15"/>
  <c r="Q26" i="10"/>
  <c r="T39" i="10"/>
  <c r="S12" i="13"/>
  <c r="T36" i="14"/>
  <c r="S16" i="14"/>
  <c r="T19" i="15"/>
  <c r="S22" i="15"/>
  <c r="S39" i="6"/>
  <c r="S11" i="13"/>
  <c r="R9" i="7"/>
  <c r="S16" i="12"/>
  <c r="T29" i="15"/>
  <c r="T27" i="15"/>
  <c r="S10" i="15"/>
  <c r="S33" i="15"/>
  <c r="T38" i="15"/>
  <c r="Q9" i="15"/>
  <c r="S30" i="15"/>
  <c r="T14" i="15"/>
  <c r="T30" i="15"/>
  <c r="S18" i="15"/>
  <c r="Q16" i="15"/>
  <c r="T37" i="15"/>
  <c r="Q23" i="14"/>
  <c r="Q37" i="14"/>
  <c r="S28" i="14"/>
  <c r="T23" i="14"/>
  <c r="Q28" i="14"/>
  <c r="T30" i="14"/>
  <c r="T38" i="14"/>
  <c r="T29" i="14"/>
  <c r="S38" i="14"/>
  <c r="S29" i="14"/>
  <c r="T13" i="14"/>
  <c r="S36" i="13"/>
  <c r="S15" i="13"/>
  <c r="Q13" i="13"/>
  <c r="T15" i="13"/>
  <c r="Q9" i="13"/>
  <c r="T30" i="13"/>
  <c r="S20" i="13"/>
  <c r="Q14" i="13"/>
  <c r="Q27" i="13"/>
  <c r="Q11" i="13"/>
  <c r="T37" i="12"/>
  <c r="S33" i="12"/>
  <c r="S24" i="12"/>
  <c r="Q10" i="12"/>
  <c r="S9" i="12"/>
  <c r="S21" i="12"/>
  <c r="T27" i="11"/>
  <c r="T30" i="11"/>
  <c r="S12" i="11"/>
  <c r="Q25" i="10"/>
  <c r="R9" i="10"/>
  <c r="T37" i="10"/>
  <c r="Q11" i="10"/>
  <c r="T19" i="10"/>
  <c r="T28" i="10"/>
  <c r="S17" i="10"/>
  <c r="S24" i="9"/>
  <c r="S20" i="9"/>
  <c r="T37" i="9"/>
  <c r="T36" i="9"/>
  <c r="T10" i="9"/>
  <c r="T20" i="9"/>
  <c r="S20" i="8"/>
  <c r="T18" i="8"/>
  <c r="T20" i="8"/>
  <c r="S34" i="8"/>
  <c r="Q18" i="8"/>
  <c r="S9" i="6"/>
  <c r="R9" i="6"/>
  <c r="Q21" i="7"/>
  <c r="Q29" i="9"/>
  <c r="Q19" i="10"/>
  <c r="S38" i="10"/>
  <c r="T12" i="10"/>
  <c r="Q30" i="11"/>
  <c r="T18" i="12"/>
  <c r="T12" i="12"/>
  <c r="S37" i="13"/>
  <c r="S28" i="13"/>
  <c r="Q23" i="13"/>
  <c r="Q32" i="14"/>
  <c r="S34" i="14"/>
  <c r="T9" i="14"/>
  <c r="S14" i="15"/>
  <c r="T10" i="15"/>
  <c r="Q24" i="15"/>
  <c r="Q37" i="15"/>
  <c r="C9" i="5"/>
  <c r="Q15" i="7"/>
  <c r="T30" i="9"/>
  <c r="S16" i="9"/>
  <c r="T18" i="10"/>
  <c r="T38" i="10"/>
  <c r="S20" i="11"/>
  <c r="S24" i="11"/>
  <c r="T32" i="11"/>
  <c r="T35" i="12"/>
  <c r="S28" i="12"/>
  <c r="T17" i="12"/>
  <c r="T28" i="13"/>
  <c r="S32" i="14"/>
  <c r="T33" i="15"/>
  <c r="S26" i="15"/>
  <c r="S16" i="15"/>
  <c r="Q30" i="9"/>
  <c r="T16" i="9"/>
  <c r="S31" i="11"/>
  <c r="T20" i="11"/>
  <c r="T24" i="11"/>
  <c r="Q35" i="12"/>
  <c r="Q27" i="12"/>
  <c r="T14" i="13"/>
  <c r="S16" i="13"/>
  <c r="T31" i="14"/>
  <c r="T26" i="15"/>
  <c r="Q32" i="15"/>
  <c r="S32" i="7"/>
  <c r="T28" i="9"/>
  <c r="T37" i="11"/>
  <c r="T31" i="11"/>
  <c r="T22" i="11"/>
  <c r="Q13" i="11"/>
  <c r="T19" i="11"/>
  <c r="S20" i="12"/>
  <c r="T29" i="12"/>
  <c r="T31" i="13"/>
  <c r="T20" i="13"/>
  <c r="T16" i="13"/>
  <c r="S37" i="14"/>
  <c r="T25" i="14"/>
  <c r="T17" i="14"/>
  <c r="Q30" i="14"/>
  <c r="T32" i="15"/>
  <c r="T24" i="15"/>
  <c r="S16" i="7"/>
  <c r="Q37" i="8"/>
  <c r="T33" i="10"/>
  <c r="T25" i="10"/>
  <c r="S39" i="10"/>
  <c r="Q33" i="10"/>
  <c r="S37" i="11"/>
  <c r="Q22" i="11"/>
  <c r="S13" i="11"/>
  <c r="S32" i="11"/>
  <c r="T16" i="11"/>
  <c r="T39" i="12"/>
  <c r="S29" i="12"/>
  <c r="S11" i="12"/>
  <c r="Q31" i="13"/>
  <c r="T22" i="13"/>
  <c r="S32" i="13"/>
  <c r="T24" i="13"/>
  <c r="Q20" i="14"/>
  <c r="S17" i="14"/>
  <c r="Q11" i="12"/>
  <c r="S39" i="8"/>
  <c r="T32" i="10"/>
  <c r="S36" i="11"/>
  <c r="Q39" i="11"/>
  <c r="T32" i="13"/>
  <c r="T20" i="14"/>
  <c r="T28" i="15"/>
  <c r="Q28" i="15"/>
  <c r="S28" i="15"/>
  <c r="T12" i="15"/>
  <c r="Q12" i="15"/>
  <c r="S12" i="15"/>
  <c r="Q23" i="15"/>
  <c r="S23" i="15"/>
  <c r="T23" i="15"/>
  <c r="Q31" i="15"/>
  <c r="S31" i="15"/>
  <c r="T31" i="15"/>
  <c r="T36" i="15"/>
  <c r="S36" i="15"/>
  <c r="Q36" i="15"/>
  <c r="T20" i="15"/>
  <c r="Q20" i="15"/>
  <c r="S20" i="15"/>
  <c r="Q15" i="15"/>
  <c r="S15" i="15"/>
  <c r="T15" i="15"/>
  <c r="B11" i="15"/>
  <c r="M11" i="15" s="1"/>
  <c r="C10" i="15"/>
  <c r="M10" i="15" s="1"/>
  <c r="R10" i="15" s="1"/>
  <c r="S25" i="6"/>
  <c r="Q35" i="8"/>
  <c r="Q9" i="8"/>
  <c r="S24" i="8"/>
  <c r="Q32" i="8"/>
  <c r="Q11" i="9"/>
  <c r="S32" i="10"/>
  <c r="S15" i="10"/>
  <c r="Q36" i="11"/>
  <c r="T12" i="11"/>
  <c r="S35" i="11"/>
  <c r="Q19" i="11"/>
  <c r="T33" i="12"/>
  <c r="T28" i="12"/>
  <c r="T9" i="12"/>
  <c r="Q24" i="12"/>
  <c r="Q37" i="12"/>
  <c r="S10" i="12"/>
  <c r="T36" i="13"/>
  <c r="S24" i="13"/>
  <c r="T16" i="14"/>
  <c r="Q34" i="14"/>
  <c r="S25" i="14"/>
  <c r="S9" i="14"/>
  <c r="S32" i="12"/>
  <c r="T13" i="12"/>
  <c r="S19" i="7"/>
  <c r="S12" i="9"/>
  <c r="Q27" i="9"/>
  <c r="T27" i="10"/>
  <c r="T17" i="10"/>
  <c r="T29" i="11"/>
  <c r="T39" i="11"/>
  <c r="T25" i="12"/>
  <c r="Q19" i="12"/>
  <c r="S18" i="12"/>
  <c r="T32" i="12"/>
  <c r="S13" i="12"/>
  <c r="T39" i="13"/>
  <c r="T19" i="13"/>
  <c r="S13" i="13"/>
  <c r="S14" i="14"/>
  <c r="Q35" i="14"/>
  <c r="T35" i="14"/>
  <c r="S35" i="14"/>
  <c r="Q19" i="14"/>
  <c r="T19" i="14"/>
  <c r="S19" i="14"/>
  <c r="Q26" i="14"/>
  <c r="S26" i="14"/>
  <c r="T26" i="14"/>
  <c r="B10" i="14"/>
  <c r="C9" i="14"/>
  <c r="M9" i="14" s="1"/>
  <c r="Q27" i="14"/>
  <c r="T27" i="14"/>
  <c r="S27" i="14"/>
  <c r="Q18" i="14"/>
  <c r="S18" i="14"/>
  <c r="T18" i="14"/>
  <c r="Q11" i="14"/>
  <c r="T11" i="14"/>
  <c r="S11" i="14"/>
  <c r="Q39" i="14"/>
  <c r="T39" i="14"/>
  <c r="S39" i="14"/>
  <c r="Q10" i="14"/>
  <c r="S10" i="14"/>
  <c r="T10" i="14"/>
  <c r="Q17" i="6"/>
  <c r="S32" i="6"/>
  <c r="S37" i="7"/>
  <c r="T11" i="7"/>
  <c r="Q39" i="7"/>
  <c r="T19" i="7"/>
  <c r="Q19" i="8"/>
  <c r="S37" i="8"/>
  <c r="T39" i="8"/>
  <c r="T13" i="9"/>
  <c r="S19" i="9"/>
  <c r="Q10" i="9"/>
  <c r="Q18" i="10"/>
  <c r="Q27" i="11"/>
  <c r="T26" i="12"/>
  <c r="T16" i="12"/>
  <c r="S26" i="12"/>
  <c r="Q22" i="13"/>
  <c r="Q39" i="13"/>
  <c r="S27" i="13"/>
  <c r="Q19" i="13"/>
  <c r="S10" i="13"/>
  <c r="S17" i="6"/>
  <c r="S27" i="7"/>
  <c r="T30" i="8"/>
  <c r="S38" i="11"/>
  <c r="S38" i="12"/>
  <c r="T29" i="13"/>
  <c r="Q29" i="13"/>
  <c r="S20" i="7"/>
  <c r="S38" i="7"/>
  <c r="T39" i="9"/>
  <c r="S16" i="10"/>
  <c r="T38" i="12"/>
  <c r="S17" i="13"/>
  <c r="Q17" i="13"/>
  <c r="T17" i="13"/>
  <c r="Q34" i="13"/>
  <c r="T34" i="13"/>
  <c r="S34" i="13"/>
  <c r="Q18" i="13"/>
  <c r="T18" i="13"/>
  <c r="S18" i="13"/>
  <c r="S38" i="13"/>
  <c r="Q38" i="13"/>
  <c r="T38" i="13"/>
  <c r="S33" i="13"/>
  <c r="Q33" i="13"/>
  <c r="T33" i="13"/>
  <c r="Q26" i="13"/>
  <c r="T26" i="13"/>
  <c r="S26" i="13"/>
  <c r="S25" i="13"/>
  <c r="Q25" i="13"/>
  <c r="T25" i="13"/>
  <c r="B11" i="13"/>
  <c r="R10" i="13"/>
  <c r="C10" i="13"/>
  <c r="T22" i="7"/>
  <c r="S16" i="8"/>
  <c r="Q17" i="8"/>
  <c r="Q15" i="9"/>
  <c r="Q35" i="9"/>
  <c r="Q37" i="10"/>
  <c r="T10" i="10"/>
  <c r="T23" i="10"/>
  <c r="T28" i="11"/>
  <c r="Q14" i="11"/>
  <c r="S39" i="12"/>
  <c r="T27" i="12"/>
  <c r="S25" i="12"/>
  <c r="T19" i="12"/>
  <c r="S17" i="12"/>
  <c r="T21" i="12"/>
  <c r="Q12" i="8"/>
  <c r="S12" i="8"/>
  <c r="Q33" i="8"/>
  <c r="S31" i="9"/>
  <c r="S11" i="10"/>
  <c r="Q21" i="11"/>
  <c r="T24" i="7"/>
  <c r="S15" i="7"/>
  <c r="Q36" i="8"/>
  <c r="S33" i="8"/>
  <c r="Q31" i="12"/>
  <c r="T31" i="12"/>
  <c r="S31" i="12"/>
  <c r="Q30" i="12"/>
  <c r="S30" i="12"/>
  <c r="T30" i="12"/>
  <c r="Q22" i="12"/>
  <c r="S22" i="12"/>
  <c r="T22" i="12"/>
  <c r="Q15" i="12"/>
  <c r="T15" i="12"/>
  <c r="S15" i="12"/>
  <c r="Q14" i="12"/>
  <c r="S14" i="12"/>
  <c r="T14" i="12"/>
  <c r="Q23" i="12"/>
  <c r="T23" i="12"/>
  <c r="S23" i="12"/>
  <c r="T36" i="7"/>
  <c r="T16" i="6"/>
  <c r="Q37" i="6"/>
  <c r="Q34" i="7"/>
  <c r="Q34" i="8"/>
  <c r="T16" i="8"/>
  <c r="S32" i="8"/>
  <c r="T29" i="9"/>
  <c r="T14" i="9"/>
  <c r="Q36" i="10"/>
  <c r="Q27" i="10"/>
  <c r="Q10" i="10"/>
  <c r="Q23" i="10"/>
  <c r="T15" i="10"/>
  <c r="T38" i="11"/>
  <c r="S21" i="11"/>
  <c r="S37" i="6"/>
  <c r="S24" i="6"/>
  <c r="Q14" i="9"/>
  <c r="S27" i="9"/>
  <c r="S11" i="9"/>
  <c r="S36" i="10"/>
  <c r="T31" i="10"/>
  <c r="T19" i="6"/>
  <c r="Q31" i="10"/>
  <c r="S20" i="10"/>
  <c r="S16" i="11"/>
  <c r="Q18" i="11"/>
  <c r="T18" i="11"/>
  <c r="S18" i="11"/>
  <c r="S33" i="11"/>
  <c r="Q33" i="11"/>
  <c r="T33" i="11"/>
  <c r="Q26" i="11"/>
  <c r="T26" i="11"/>
  <c r="S26" i="11"/>
  <c r="S9" i="11"/>
  <c r="Q9" i="11"/>
  <c r="T9" i="11"/>
  <c r="Q34" i="11"/>
  <c r="T34" i="11"/>
  <c r="S34" i="11"/>
  <c r="S25" i="11"/>
  <c r="Q25" i="11"/>
  <c r="T25" i="11"/>
  <c r="B11" i="11"/>
  <c r="C10" i="11"/>
  <c r="M10" i="11" s="1"/>
  <c r="S17" i="11"/>
  <c r="Q17" i="11"/>
  <c r="T17" i="11"/>
  <c r="Q10" i="11"/>
  <c r="T10" i="11"/>
  <c r="S10" i="11"/>
  <c r="T31" i="6"/>
  <c r="S35" i="6"/>
  <c r="Q16" i="7"/>
  <c r="S23" i="8"/>
  <c r="S31" i="8"/>
  <c r="S32" i="9"/>
  <c r="T19" i="9"/>
  <c r="Q13" i="9"/>
  <c r="Q39" i="9"/>
  <c r="S24" i="10"/>
  <c r="Q9" i="10"/>
  <c r="T20" i="10"/>
  <c r="S22" i="6"/>
  <c r="S27" i="6"/>
  <c r="Q35" i="6"/>
  <c r="T23" i="7"/>
  <c r="T28" i="7"/>
  <c r="Q23" i="8"/>
  <c r="Q31" i="8"/>
  <c r="T32" i="9"/>
  <c r="T23" i="9"/>
  <c r="T24" i="10"/>
  <c r="S9" i="10"/>
  <c r="Q27" i="6"/>
  <c r="Q22" i="6"/>
  <c r="S39" i="7"/>
  <c r="T27" i="8"/>
  <c r="S14" i="8"/>
  <c r="T26" i="9"/>
  <c r="B11" i="10"/>
  <c r="M11" i="10" s="1"/>
  <c r="R10" i="10"/>
  <c r="C10" i="10"/>
  <c r="S29" i="10"/>
  <c r="Q29" i="10"/>
  <c r="T29" i="10"/>
  <c r="Q22" i="10"/>
  <c r="T22" i="10"/>
  <c r="S22" i="10"/>
  <c r="S34" i="10"/>
  <c r="Q34" i="10"/>
  <c r="T34" i="10"/>
  <c r="S21" i="10"/>
  <c r="Q21" i="10"/>
  <c r="T21" i="10"/>
  <c r="S13" i="10"/>
  <c r="Q13" i="10"/>
  <c r="T13" i="10"/>
  <c r="Q30" i="10"/>
  <c r="T30" i="10"/>
  <c r="S30" i="10"/>
  <c r="Q14" i="10"/>
  <c r="T14" i="10"/>
  <c r="S14" i="10"/>
  <c r="T32" i="7"/>
  <c r="S15" i="8"/>
  <c r="S31" i="6"/>
  <c r="S28" i="6"/>
  <c r="S34" i="6"/>
  <c r="S23" i="7"/>
  <c r="T21" i="7"/>
  <c r="Q11" i="7"/>
  <c r="Q38" i="7"/>
  <c r="T17" i="8"/>
  <c r="T15" i="8"/>
  <c r="T36" i="8"/>
  <c r="S25" i="8"/>
  <c r="Q27" i="8"/>
  <c r="S26" i="9"/>
  <c r="Q23" i="9"/>
  <c r="T24" i="5"/>
  <c r="T32" i="6"/>
  <c r="T20" i="7"/>
  <c r="T37" i="7"/>
  <c r="T27" i="7"/>
  <c r="Q30" i="8"/>
  <c r="S17" i="9"/>
  <c r="Q17" i="9"/>
  <c r="T17" i="9"/>
  <c r="S25" i="9"/>
  <c r="Q25" i="9"/>
  <c r="T25" i="9"/>
  <c r="Q38" i="9"/>
  <c r="S38" i="9"/>
  <c r="T38" i="9"/>
  <c r="S21" i="9"/>
  <c r="Q21" i="9"/>
  <c r="T21" i="9"/>
  <c r="Q18" i="9"/>
  <c r="T18" i="9"/>
  <c r="S18" i="9"/>
  <c r="Q22" i="9"/>
  <c r="T22" i="9"/>
  <c r="S22" i="9"/>
  <c r="S33" i="9"/>
  <c r="Q33" i="9"/>
  <c r="T33" i="9"/>
  <c r="Q34" i="9"/>
  <c r="T34" i="9"/>
  <c r="S34" i="9"/>
  <c r="B11" i="9"/>
  <c r="C10" i="9"/>
  <c r="S9" i="9"/>
  <c r="Q9" i="9"/>
  <c r="T9" i="9"/>
  <c r="T38" i="6"/>
  <c r="Q22" i="7"/>
  <c r="Q29" i="7"/>
  <c r="Q33" i="7"/>
  <c r="T31" i="7"/>
  <c r="T12" i="7"/>
  <c r="T18" i="7"/>
  <c r="S28" i="8"/>
  <c r="Q25" i="8"/>
  <c r="S20" i="6"/>
  <c r="S29" i="7"/>
  <c r="T28" i="8"/>
  <c r="Q38" i="6"/>
  <c r="T20" i="6"/>
  <c r="S36" i="7"/>
  <c r="S24" i="7"/>
  <c r="Q38" i="8"/>
  <c r="T38" i="8"/>
  <c r="S38" i="8"/>
  <c r="S29" i="8"/>
  <c r="Q29" i="8"/>
  <c r="T29" i="8"/>
  <c r="B11" i="8"/>
  <c r="C10" i="8"/>
  <c r="S21" i="8"/>
  <c r="Q21" i="8"/>
  <c r="T21" i="8"/>
  <c r="Q22" i="8"/>
  <c r="T22" i="8"/>
  <c r="S22" i="8"/>
  <c r="Q26" i="8"/>
  <c r="T26" i="8"/>
  <c r="S26" i="8"/>
  <c r="S13" i="8"/>
  <c r="Q13" i="8"/>
  <c r="T13" i="8"/>
  <c r="Q10" i="8"/>
  <c r="T10" i="8"/>
  <c r="S10" i="8"/>
  <c r="S15" i="6"/>
  <c r="Q23" i="6"/>
  <c r="S19" i="6"/>
  <c r="S16" i="6"/>
  <c r="Q36" i="6"/>
  <c r="T9" i="6"/>
  <c r="S33" i="7"/>
  <c r="S31" i="7"/>
  <c r="S28" i="7"/>
  <c r="S12" i="7"/>
  <c r="T24" i="6"/>
  <c r="S18" i="7"/>
  <c r="Q35" i="7"/>
  <c r="T35" i="7"/>
  <c r="S35" i="7"/>
  <c r="S25" i="7"/>
  <c r="Q25" i="7"/>
  <c r="T25" i="7"/>
  <c r="S13" i="7"/>
  <c r="Q13" i="7"/>
  <c r="T13" i="7"/>
  <c r="Q10" i="7"/>
  <c r="T10" i="7"/>
  <c r="S10" i="7"/>
  <c r="S9" i="7"/>
  <c r="Q9" i="7"/>
  <c r="T9" i="7"/>
  <c r="Q26" i="7"/>
  <c r="T26" i="7"/>
  <c r="S26" i="7"/>
  <c r="S17" i="7"/>
  <c r="Q17" i="7"/>
  <c r="T17" i="7"/>
  <c r="Q14" i="7"/>
  <c r="T14" i="7"/>
  <c r="S14" i="7"/>
  <c r="Q35" i="5"/>
  <c r="Q9" i="5"/>
  <c r="Q33" i="6"/>
  <c r="T15" i="6"/>
  <c r="S36" i="6"/>
  <c r="T33" i="6"/>
  <c r="S23" i="6"/>
  <c r="Q30" i="6"/>
  <c r="T30" i="6"/>
  <c r="S30" i="6"/>
  <c r="Q18" i="6"/>
  <c r="T18" i="6"/>
  <c r="S18" i="6"/>
  <c r="B11" i="6"/>
  <c r="C10" i="6"/>
  <c r="Q14" i="6"/>
  <c r="T14" i="6"/>
  <c r="S14" i="6"/>
  <c r="S13" i="6"/>
  <c r="Q13" i="6"/>
  <c r="T13" i="6"/>
  <c r="Q10" i="6"/>
  <c r="T10" i="6"/>
  <c r="S10" i="6"/>
  <c r="S21" i="6"/>
  <c r="Q21" i="6"/>
  <c r="T21" i="6"/>
  <c r="S29" i="6"/>
  <c r="Q29" i="6"/>
  <c r="T29" i="6"/>
  <c r="T23" i="5"/>
  <c r="Q24" i="5"/>
  <c r="Q23" i="5"/>
  <c r="S17" i="5"/>
  <c r="L9" i="1"/>
  <c r="T19" i="5"/>
  <c r="S19" i="5"/>
  <c r="T20" i="5"/>
  <c r="Q28" i="5"/>
  <c r="T25" i="5"/>
  <c r="S28" i="5"/>
  <c r="S25" i="5"/>
  <c r="T37" i="5"/>
  <c r="T9" i="5"/>
  <c r="Q37" i="5"/>
  <c r="L26" i="1"/>
  <c r="L30" i="1"/>
  <c r="L34" i="1"/>
  <c r="L38" i="1"/>
  <c r="S9" i="5"/>
  <c r="T17" i="5"/>
  <c r="T21" i="5"/>
  <c r="Q36" i="5"/>
  <c r="S33" i="5"/>
  <c r="T36" i="5"/>
  <c r="T29" i="5"/>
  <c r="T35" i="5"/>
  <c r="Q33" i="5"/>
  <c r="S21" i="5"/>
  <c r="S29" i="5"/>
  <c r="L15" i="1"/>
  <c r="L39" i="1"/>
  <c r="T32" i="5"/>
  <c r="S20" i="5"/>
  <c r="Q32" i="5"/>
  <c r="Q31" i="5"/>
  <c r="T31" i="5"/>
  <c r="S31" i="5"/>
  <c r="Q15" i="5"/>
  <c r="T15" i="5"/>
  <c r="S15" i="5"/>
  <c r="Q30" i="5"/>
  <c r="S30" i="5"/>
  <c r="T30" i="5"/>
  <c r="Q14" i="5"/>
  <c r="S14" i="5"/>
  <c r="T14" i="5"/>
  <c r="Q27" i="5"/>
  <c r="T27" i="5"/>
  <c r="S27" i="5"/>
  <c r="Q10" i="5"/>
  <c r="S10" i="5"/>
  <c r="T10" i="5"/>
  <c r="Q34" i="5"/>
  <c r="S34" i="5"/>
  <c r="T34" i="5"/>
  <c r="Q39" i="5"/>
  <c r="T39" i="5"/>
  <c r="S39" i="5"/>
  <c r="Q26" i="5"/>
  <c r="S26" i="5"/>
  <c r="T26" i="5"/>
  <c r="Q38" i="5"/>
  <c r="T38" i="5"/>
  <c r="S38" i="5"/>
  <c r="Q22" i="5"/>
  <c r="S22" i="5"/>
  <c r="T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F6" i="1"/>
  <c r="P7" i="12" l="1"/>
  <c r="P7" i="14"/>
  <c r="M11" i="6"/>
  <c r="C10" i="5"/>
  <c r="B11" i="7"/>
  <c r="M11" i="7" s="1"/>
  <c r="P7" i="9"/>
  <c r="P7" i="8"/>
  <c r="M10" i="8"/>
  <c r="R10" i="8" s="1"/>
  <c r="P7" i="10"/>
  <c r="P7" i="13"/>
  <c r="C10" i="7"/>
  <c r="R9" i="14"/>
  <c r="M10" i="6"/>
  <c r="R10" i="6" s="1"/>
  <c r="P7" i="11"/>
  <c r="P7" i="15"/>
  <c r="M9" i="5"/>
  <c r="R9" i="5" s="1"/>
  <c r="B11" i="12"/>
  <c r="M11" i="12" s="1"/>
  <c r="R11" i="12" s="1"/>
  <c r="C10" i="12"/>
  <c r="M10" i="12" s="1"/>
  <c r="R10" i="11"/>
  <c r="S7" i="14"/>
  <c r="S7" i="15"/>
  <c r="T7" i="15"/>
  <c r="Q7" i="15"/>
  <c r="T7" i="14"/>
  <c r="B12" i="15"/>
  <c r="M12" i="15" s="1"/>
  <c r="R11" i="15"/>
  <c r="C11" i="15"/>
  <c r="Q7" i="14"/>
  <c r="S7" i="12"/>
  <c r="B11" i="14"/>
  <c r="C10" i="14"/>
  <c r="M10" i="14" s="1"/>
  <c r="S7" i="13"/>
  <c r="T7" i="13"/>
  <c r="Q7" i="13"/>
  <c r="C11" i="13"/>
  <c r="B12" i="13"/>
  <c r="T7" i="12"/>
  <c r="Q7" i="12"/>
  <c r="B12" i="12"/>
  <c r="M12" i="12" s="1"/>
  <c r="C11" i="12"/>
  <c r="T7" i="10"/>
  <c r="T7" i="11"/>
  <c r="B12" i="11"/>
  <c r="C11" i="11"/>
  <c r="Q7" i="11"/>
  <c r="S7" i="11"/>
  <c r="Q7" i="10"/>
  <c r="S7" i="10"/>
  <c r="C11" i="10"/>
  <c r="B12" i="10"/>
  <c r="R11" i="10"/>
  <c r="S7" i="9"/>
  <c r="T7" i="9"/>
  <c r="Q7" i="9"/>
  <c r="C11" i="9"/>
  <c r="B12" i="9"/>
  <c r="M12" i="9" s="1"/>
  <c r="Q7" i="8"/>
  <c r="S7" i="8"/>
  <c r="B12" i="8"/>
  <c r="C11" i="8"/>
  <c r="M11" i="8" s="1"/>
  <c r="T7" i="8"/>
  <c r="R11" i="7"/>
  <c r="C11" i="7"/>
  <c r="B12" i="7"/>
  <c r="C11" i="6"/>
  <c r="B12" i="6"/>
  <c r="B12" i="5"/>
  <c r="C11" i="5"/>
  <c r="M11" i="5" s="1"/>
  <c r="Q36" i="1"/>
  <c r="T36" i="1"/>
  <c r="S36" i="1"/>
  <c r="Q24" i="1"/>
  <c r="T24" i="1"/>
  <c r="S24" i="1"/>
  <c r="Q31" i="1"/>
  <c r="T31" i="1"/>
  <c r="S31" i="1"/>
  <c r="Q27" i="1"/>
  <c r="T27" i="1"/>
  <c r="S27" i="1"/>
  <c r="Q23" i="1"/>
  <c r="T23" i="1"/>
  <c r="S23" i="1"/>
  <c r="Q19" i="1"/>
  <c r="T19" i="1"/>
  <c r="S19" i="1"/>
  <c r="Q32" i="1"/>
  <c r="T32" i="1"/>
  <c r="S32" i="1"/>
  <c r="Q20" i="1"/>
  <c r="T20" i="1"/>
  <c r="S20" i="1"/>
  <c r="Q35" i="1"/>
  <c r="T35" i="1"/>
  <c r="S35" i="1"/>
  <c r="Q38" i="1"/>
  <c r="T38" i="1"/>
  <c r="S38" i="1"/>
  <c r="Q34" i="1"/>
  <c r="T34" i="1"/>
  <c r="S34" i="1"/>
  <c r="Q30" i="1"/>
  <c r="T30" i="1"/>
  <c r="S30" i="1"/>
  <c r="Q26" i="1"/>
  <c r="T26" i="1"/>
  <c r="S26" i="1"/>
  <c r="Q22" i="1"/>
  <c r="T22" i="1"/>
  <c r="S22" i="1"/>
  <c r="Q18" i="1"/>
  <c r="T18" i="1"/>
  <c r="S18" i="1"/>
  <c r="Q10" i="1"/>
  <c r="T10" i="1"/>
  <c r="S10" i="1"/>
  <c r="Q28" i="1"/>
  <c r="T28" i="1"/>
  <c r="S28" i="1"/>
  <c r="Q16" i="1"/>
  <c r="T16" i="1"/>
  <c r="S16" i="1"/>
  <c r="Q39" i="1"/>
  <c r="T39" i="1"/>
  <c r="S39" i="1"/>
  <c r="Q11" i="1"/>
  <c r="T11" i="1"/>
  <c r="S11" i="1"/>
  <c r="Q37" i="1"/>
  <c r="T37" i="1"/>
  <c r="S37" i="1"/>
  <c r="Q33" i="1"/>
  <c r="T33" i="1"/>
  <c r="S33" i="1"/>
  <c r="Q29" i="1"/>
  <c r="T29" i="1"/>
  <c r="S29" i="1"/>
  <c r="Q25" i="1"/>
  <c r="T25" i="1"/>
  <c r="S25" i="1"/>
  <c r="Q21" i="1"/>
  <c r="T21" i="1"/>
  <c r="S21" i="1"/>
  <c r="Q17" i="1"/>
  <c r="T17" i="1"/>
  <c r="S17" i="1"/>
  <c r="H3" i="2"/>
  <c r="M12" i="13" l="1"/>
  <c r="M11" i="9"/>
  <c r="R11" i="9" s="1"/>
  <c r="R10" i="14"/>
  <c r="M11" i="13"/>
  <c r="R11" i="13" s="1"/>
  <c r="M10" i="5"/>
  <c r="R10" i="5" s="1"/>
  <c r="M12" i="7"/>
  <c r="R11" i="8"/>
  <c r="R10" i="12"/>
  <c r="M11" i="11"/>
  <c r="R11" i="11" s="1"/>
  <c r="R11" i="6"/>
  <c r="R11" i="5"/>
  <c r="B13" i="15"/>
  <c r="R12" i="15"/>
  <c r="C12" i="15"/>
  <c r="B12" i="14"/>
  <c r="C11" i="14"/>
  <c r="M11" i="14" s="1"/>
  <c r="B13" i="13"/>
  <c r="C12" i="13"/>
  <c r="C12" i="12"/>
  <c r="R12" i="12"/>
  <c r="B13" i="12"/>
  <c r="B13" i="11"/>
  <c r="C12" i="11"/>
  <c r="B13" i="10"/>
  <c r="C12" i="10"/>
  <c r="M12" i="10" s="1"/>
  <c r="B13" i="9"/>
  <c r="M13" i="9" s="1"/>
  <c r="R12" i="9"/>
  <c r="C12" i="9"/>
  <c r="B13" i="8"/>
  <c r="C12" i="8"/>
  <c r="B13" i="7"/>
  <c r="C12" i="7"/>
  <c r="B13" i="6"/>
  <c r="M13" i="6" s="1"/>
  <c r="C12" i="6"/>
  <c r="M12" i="6" s="1"/>
  <c r="C12" i="5"/>
  <c r="M12" i="5" s="1"/>
  <c r="B13" i="5"/>
  <c r="B9" i="1"/>
  <c r="R12" i="13" l="1"/>
  <c r="M12" i="11"/>
  <c r="R12" i="11" s="1"/>
  <c r="M13" i="13"/>
  <c r="R12" i="7"/>
  <c r="R11" i="14"/>
  <c r="M12" i="8"/>
  <c r="R12" i="8" s="1"/>
  <c r="R12" i="10"/>
  <c r="R12" i="6"/>
  <c r="Q11" i="6"/>
  <c r="T11" i="6"/>
  <c r="S11" i="6"/>
  <c r="R12" i="5"/>
  <c r="S11" i="5"/>
  <c r="T11" i="5"/>
  <c r="Q11" i="5"/>
  <c r="B14" i="15"/>
  <c r="C13" i="15"/>
  <c r="B13" i="14"/>
  <c r="M13" i="14" s="1"/>
  <c r="C12" i="14"/>
  <c r="B14" i="13"/>
  <c r="C13" i="13"/>
  <c r="B14" i="12"/>
  <c r="C13" i="12"/>
  <c r="M13" i="12" s="1"/>
  <c r="B14" i="11"/>
  <c r="M14" i="11" s="1"/>
  <c r="C13" i="11"/>
  <c r="B14" i="10"/>
  <c r="C13" i="10"/>
  <c r="M13" i="10" s="1"/>
  <c r="B14" i="9"/>
  <c r="R13" i="9"/>
  <c r="C13" i="9"/>
  <c r="B14" i="8"/>
  <c r="C13" i="8"/>
  <c r="B14" i="7"/>
  <c r="C13" i="7"/>
  <c r="M13" i="7" s="1"/>
  <c r="B14" i="6"/>
  <c r="M14" i="6" s="1"/>
  <c r="R13" i="6"/>
  <c r="C13" i="6"/>
  <c r="B14" i="5"/>
  <c r="M14" i="5" s="1"/>
  <c r="C13" i="5"/>
  <c r="M13" i="5" s="1"/>
  <c r="B10" i="1"/>
  <c r="M10" i="1" s="1"/>
  <c r="C9" i="1"/>
  <c r="M9" i="1" s="1"/>
  <c r="O1" i="1"/>
  <c r="R13" i="13" l="1"/>
  <c r="M14" i="15"/>
  <c r="R13" i="10"/>
  <c r="R13" i="12"/>
  <c r="M12" i="14"/>
  <c r="R12" i="14" s="1"/>
  <c r="M13" i="15"/>
  <c r="R13" i="15" s="1"/>
  <c r="R13" i="7"/>
  <c r="M13" i="11"/>
  <c r="R13" i="11" s="1"/>
  <c r="M13" i="8"/>
  <c r="R13" i="8" s="1"/>
  <c r="Q12" i="6"/>
  <c r="S12" i="6"/>
  <c r="T12" i="6"/>
  <c r="R13" i="5"/>
  <c r="S12" i="5"/>
  <c r="T12" i="5"/>
  <c r="Q12" i="5"/>
  <c r="B15" i="15"/>
  <c r="C14" i="15"/>
  <c r="B14" i="14"/>
  <c r="M14" i="14" s="1"/>
  <c r="R13" i="14"/>
  <c r="C13" i="14"/>
  <c r="B15" i="13"/>
  <c r="C14" i="13"/>
  <c r="B15" i="12"/>
  <c r="C14" i="12"/>
  <c r="M14" i="12" s="1"/>
  <c r="B15" i="11"/>
  <c r="M15" i="11" s="1"/>
  <c r="R14" i="11"/>
  <c r="C14" i="11"/>
  <c r="B15" i="10"/>
  <c r="C14" i="10"/>
  <c r="B15" i="9"/>
  <c r="C14" i="9"/>
  <c r="B15" i="8"/>
  <c r="M15" i="8" s="1"/>
  <c r="C14" i="8"/>
  <c r="B15" i="7"/>
  <c r="C14" i="7"/>
  <c r="B15" i="6"/>
  <c r="R14" i="6"/>
  <c r="C14" i="6"/>
  <c r="B15" i="5"/>
  <c r="M15" i="5" s="1"/>
  <c r="R14" i="5"/>
  <c r="C14" i="5"/>
  <c r="B11" i="1"/>
  <c r="M11" i="1" s="1"/>
  <c r="C10" i="1"/>
  <c r="R10" i="1" s="1"/>
  <c r="I1" i="2"/>
  <c r="J1" i="2" s="1"/>
  <c r="M15" i="12" l="1"/>
  <c r="M14" i="7"/>
  <c r="R14" i="7" s="1"/>
  <c r="M15" i="7"/>
  <c r="R14" i="15"/>
  <c r="M14" i="13"/>
  <c r="R14" i="13" s="1"/>
  <c r="M14" i="8"/>
  <c r="R14" i="8" s="1"/>
  <c r="M14" i="10"/>
  <c r="R14" i="10" s="1"/>
  <c r="R14" i="12"/>
  <c r="M14" i="9"/>
  <c r="R14" i="9" s="1"/>
  <c r="S9" i="1"/>
  <c r="T9" i="1"/>
  <c r="O10" i="1"/>
  <c r="O11" i="1" s="1"/>
  <c r="Q9" i="1"/>
  <c r="R9" i="1"/>
  <c r="Q13" i="5"/>
  <c r="T13" i="5"/>
  <c r="S13" i="5"/>
  <c r="B16" i="15"/>
  <c r="C15" i="15"/>
  <c r="M15" i="15" s="1"/>
  <c r="R15" i="15" s="1"/>
  <c r="B15" i="14"/>
  <c r="R14" i="14"/>
  <c r="C14" i="14"/>
  <c r="C15" i="13"/>
  <c r="M15" i="13" s="1"/>
  <c r="B16" i="13"/>
  <c r="M16" i="13" s="1"/>
  <c r="B16" i="12"/>
  <c r="C15" i="12"/>
  <c r="C15" i="11"/>
  <c r="R15" i="11"/>
  <c r="B16" i="11"/>
  <c r="B16" i="10"/>
  <c r="C15" i="10"/>
  <c r="C15" i="9"/>
  <c r="B16" i="9"/>
  <c r="R15" i="8"/>
  <c r="C15" i="8"/>
  <c r="B16" i="8"/>
  <c r="M16" i="8" s="1"/>
  <c r="B16" i="7"/>
  <c r="C15" i="7"/>
  <c r="C15" i="6"/>
  <c r="B16" i="6"/>
  <c r="B16" i="5"/>
  <c r="R15" i="5"/>
  <c r="C15" i="5"/>
  <c r="R11" i="1"/>
  <c r="C11" i="1"/>
  <c r="B12" i="1"/>
  <c r="B1" i="2"/>
  <c r="C1" i="2" s="1"/>
  <c r="D1" i="2" s="1"/>
  <c r="M15" i="9" l="1"/>
  <c r="R15" i="9" s="1"/>
  <c r="R15" i="13"/>
  <c r="R15" i="7"/>
  <c r="R15" i="12"/>
  <c r="M15" i="6"/>
  <c r="R15" i="6" s="1"/>
  <c r="M16" i="12"/>
  <c r="M15" i="10"/>
  <c r="R15" i="10" s="1"/>
  <c r="B17" i="15"/>
  <c r="C16" i="15"/>
  <c r="M16" i="15" s="1"/>
  <c r="B16" i="14"/>
  <c r="C15" i="14"/>
  <c r="B17" i="13"/>
  <c r="M17" i="13" s="1"/>
  <c r="R16" i="13"/>
  <c r="C16" i="13"/>
  <c r="B17" i="12"/>
  <c r="C16" i="12"/>
  <c r="B17" i="11"/>
  <c r="C16" i="11"/>
  <c r="M16" i="11" s="1"/>
  <c r="B17" i="10"/>
  <c r="M17" i="10" s="1"/>
  <c r="C16" i="10"/>
  <c r="B17" i="9"/>
  <c r="C16" i="9"/>
  <c r="B17" i="8"/>
  <c r="R16" i="8"/>
  <c r="C16" i="8"/>
  <c r="B17" i="7"/>
  <c r="M17" i="7" s="1"/>
  <c r="C16" i="7"/>
  <c r="M16" i="7" s="1"/>
  <c r="B17" i="6"/>
  <c r="C16" i="6"/>
  <c r="B17" i="5"/>
  <c r="C16" i="5"/>
  <c r="M16" i="5" s="1"/>
  <c r="B13" i="1"/>
  <c r="C12" i="1"/>
  <c r="M12" i="1" s="1"/>
  <c r="L13" i="1"/>
  <c r="R16" i="12" l="1"/>
  <c r="M16" i="10"/>
  <c r="R16" i="10" s="1"/>
  <c r="M16" i="6"/>
  <c r="R16" i="6" s="1"/>
  <c r="R16" i="11"/>
  <c r="M16" i="14"/>
  <c r="R16" i="14" s="1"/>
  <c r="M16" i="9"/>
  <c r="R16" i="9" s="1"/>
  <c r="R16" i="7"/>
  <c r="R16" i="15"/>
  <c r="M15" i="14"/>
  <c r="R15" i="14" s="1"/>
  <c r="R12" i="1"/>
  <c r="R16" i="5"/>
  <c r="C17" i="15"/>
  <c r="B18" i="15"/>
  <c r="M18" i="15" s="1"/>
  <c r="C16" i="14"/>
  <c r="B17" i="14"/>
  <c r="B18" i="13"/>
  <c r="R17" i="13"/>
  <c r="C17" i="13"/>
  <c r="B18" i="12"/>
  <c r="M18" i="12" s="1"/>
  <c r="C17" i="12"/>
  <c r="B18" i="11"/>
  <c r="C17" i="11"/>
  <c r="B18" i="10"/>
  <c r="M18" i="10" s="1"/>
  <c r="R17" i="10"/>
  <c r="C17" i="10"/>
  <c r="B18" i="9"/>
  <c r="C17" i="9"/>
  <c r="B18" i="8"/>
  <c r="C17" i="8"/>
  <c r="B18" i="7"/>
  <c r="M18" i="7" s="1"/>
  <c r="R17" i="7"/>
  <c r="C17" i="7"/>
  <c r="B18" i="6"/>
  <c r="C17" i="6"/>
  <c r="B18" i="5"/>
  <c r="C17" i="5"/>
  <c r="C13" i="1"/>
  <c r="M13" i="1" s="1"/>
  <c r="B14" i="1"/>
  <c r="L14" i="1"/>
  <c r="M17" i="5" l="1"/>
  <c r="R17" i="5" s="1"/>
  <c r="M17" i="15"/>
  <c r="R17" i="15" s="1"/>
  <c r="M17" i="11"/>
  <c r="R17" i="11" s="1"/>
  <c r="M17" i="9"/>
  <c r="R17" i="9" s="1"/>
  <c r="M17" i="12"/>
  <c r="R17" i="12" s="1"/>
  <c r="M17" i="8"/>
  <c r="R17" i="8" s="1"/>
  <c r="M14" i="1"/>
  <c r="M17" i="6"/>
  <c r="R17" i="6" s="1"/>
  <c r="T12" i="1"/>
  <c r="S12" i="1"/>
  <c r="Q12" i="1"/>
  <c r="O12" i="1"/>
  <c r="R13" i="1"/>
  <c r="Q16" i="5"/>
  <c r="T16" i="5"/>
  <c r="S16" i="5"/>
  <c r="B19" i="15"/>
  <c r="M19" i="15" s="1"/>
  <c r="R18" i="15"/>
  <c r="C18" i="15"/>
  <c r="B18" i="14"/>
  <c r="C17" i="14"/>
  <c r="B19" i="13"/>
  <c r="C18" i="13"/>
  <c r="B19" i="12"/>
  <c r="M19" i="12" s="1"/>
  <c r="R18" i="12"/>
  <c r="C18" i="12"/>
  <c r="B19" i="11"/>
  <c r="C18" i="11"/>
  <c r="M18" i="11" s="1"/>
  <c r="B19" i="10"/>
  <c r="R18" i="10"/>
  <c r="C18" i="10"/>
  <c r="B19" i="9"/>
  <c r="M19" i="9" s="1"/>
  <c r="C18" i="9"/>
  <c r="B19" i="8"/>
  <c r="C18" i="8"/>
  <c r="M18" i="8" s="1"/>
  <c r="B19" i="7"/>
  <c r="R18" i="7"/>
  <c r="C18" i="7"/>
  <c r="B19" i="6"/>
  <c r="C18" i="6"/>
  <c r="B19" i="5"/>
  <c r="C18" i="5"/>
  <c r="M18" i="5" s="1"/>
  <c r="B15" i="1"/>
  <c r="C14" i="1"/>
  <c r="M19" i="5" l="1"/>
  <c r="R18" i="11"/>
  <c r="M18" i="6"/>
  <c r="R18" i="6" s="1"/>
  <c r="M18" i="9"/>
  <c r="R18" i="9" s="1"/>
  <c r="R18" i="8"/>
  <c r="M18" i="13"/>
  <c r="R18" i="13" s="1"/>
  <c r="M17" i="14"/>
  <c r="R17" i="14" s="1"/>
  <c r="R14" i="1"/>
  <c r="S13" i="1"/>
  <c r="O13" i="1"/>
  <c r="T13" i="1"/>
  <c r="Q13" i="1"/>
  <c r="R18" i="5"/>
  <c r="B20" i="15"/>
  <c r="R19" i="15"/>
  <c r="C19" i="15"/>
  <c r="B19" i="14"/>
  <c r="C18" i="14"/>
  <c r="M18" i="14" s="1"/>
  <c r="B20" i="13"/>
  <c r="C19" i="13"/>
  <c r="M19" i="13" s="1"/>
  <c r="R19" i="13" s="1"/>
  <c r="B20" i="12"/>
  <c r="R19" i="12"/>
  <c r="C19" i="12"/>
  <c r="B20" i="11"/>
  <c r="C19" i="11"/>
  <c r="M19" i="11" s="1"/>
  <c r="C19" i="10"/>
  <c r="B20" i="10"/>
  <c r="B20" i="9"/>
  <c r="M20" i="9" s="1"/>
  <c r="R19" i="9"/>
  <c r="C19" i="9"/>
  <c r="C19" i="8"/>
  <c r="B20" i="8"/>
  <c r="C19" i="7"/>
  <c r="M19" i="7" s="1"/>
  <c r="R19" i="7" s="1"/>
  <c r="B20" i="7"/>
  <c r="C19" i="6"/>
  <c r="M19" i="6" s="1"/>
  <c r="B20" i="6"/>
  <c r="M20" i="6" s="1"/>
  <c r="B20" i="5"/>
  <c r="C19" i="5"/>
  <c r="C15" i="1"/>
  <c r="M15" i="1" s="1"/>
  <c r="B16" i="1"/>
  <c r="R19" i="5" l="1"/>
  <c r="R19" i="11"/>
  <c r="R18" i="14"/>
  <c r="M19" i="10"/>
  <c r="R19" i="10" s="1"/>
  <c r="R19" i="6"/>
  <c r="M19" i="8"/>
  <c r="R19" i="8" s="1"/>
  <c r="Q14" i="1"/>
  <c r="O14" i="1"/>
  <c r="S14" i="1"/>
  <c r="T14" i="1"/>
  <c r="R15" i="1"/>
  <c r="S18" i="5"/>
  <c r="S7" i="5" s="1"/>
  <c r="T18" i="5"/>
  <c r="T7" i="5" s="1"/>
  <c r="Q18" i="5"/>
  <c r="B21" i="15"/>
  <c r="C20" i="15"/>
  <c r="B20" i="14"/>
  <c r="M20" i="14" s="1"/>
  <c r="C19" i="14"/>
  <c r="B21" i="13"/>
  <c r="C20" i="13"/>
  <c r="M20" i="13" s="1"/>
  <c r="R20" i="13" s="1"/>
  <c r="C20" i="12"/>
  <c r="M20" i="12" s="1"/>
  <c r="B21" i="12"/>
  <c r="B21" i="11"/>
  <c r="M21" i="11" s="1"/>
  <c r="C20" i="11"/>
  <c r="M20" i="11" s="1"/>
  <c r="B21" i="10"/>
  <c r="C20" i="10"/>
  <c r="M20" i="10" s="1"/>
  <c r="B21" i="9"/>
  <c r="R20" i="9"/>
  <c r="C20" i="9"/>
  <c r="B21" i="8"/>
  <c r="C20" i="8"/>
  <c r="B21" i="7"/>
  <c r="C20" i="7"/>
  <c r="B21" i="6"/>
  <c r="M21" i="6" s="1"/>
  <c r="R20" i="6"/>
  <c r="C20" i="6"/>
  <c r="C20" i="5"/>
  <c r="M20" i="5" s="1"/>
  <c r="R20" i="5" s="1"/>
  <c r="B21" i="5"/>
  <c r="M21" i="5" s="1"/>
  <c r="B17" i="1"/>
  <c r="M17" i="1" s="1"/>
  <c r="C16" i="1"/>
  <c r="M16" i="1" s="1"/>
  <c r="R16" i="1" s="1"/>
  <c r="R20" i="10" l="1"/>
  <c r="M20" i="8"/>
  <c r="R20" i="8" s="1"/>
  <c r="M21" i="10"/>
  <c r="R20" i="12"/>
  <c r="Q7" i="5"/>
  <c r="P7" i="5"/>
  <c r="M20" i="15"/>
  <c r="R20" i="15" s="1"/>
  <c r="M20" i="7"/>
  <c r="R20" i="7" s="1"/>
  <c r="M21" i="12"/>
  <c r="R20" i="11"/>
  <c r="M19" i="14"/>
  <c r="R19" i="14" s="1"/>
  <c r="S15" i="1"/>
  <c r="S7" i="1" s="1"/>
  <c r="T15" i="1"/>
  <c r="T7" i="1" s="1"/>
  <c r="Q15" i="1"/>
  <c r="Q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21" i="15"/>
  <c r="B22" i="15"/>
  <c r="R20" i="14"/>
  <c r="B21" i="14"/>
  <c r="M21" i="14" s="1"/>
  <c r="C20" i="14"/>
  <c r="B22" i="13"/>
  <c r="C21" i="13"/>
  <c r="M21" i="13" s="1"/>
  <c r="R21" i="13" s="1"/>
  <c r="B22" i="12"/>
  <c r="C21" i="12"/>
  <c r="B22" i="11"/>
  <c r="M22" i="11" s="1"/>
  <c r="R21" i="11"/>
  <c r="C21" i="11"/>
  <c r="B22" i="10"/>
  <c r="C21" i="10"/>
  <c r="B22" i="9"/>
  <c r="C21" i="9"/>
  <c r="M21" i="9" s="1"/>
  <c r="R21" i="9" s="1"/>
  <c r="B22" i="8"/>
  <c r="M22" i="8" s="1"/>
  <c r="C21" i="8"/>
  <c r="M21" i="8" s="1"/>
  <c r="B22" i="7"/>
  <c r="C21" i="7"/>
  <c r="B22" i="6"/>
  <c r="R21" i="6"/>
  <c r="C21" i="6"/>
  <c r="B22" i="5"/>
  <c r="M22" i="5" s="1"/>
  <c r="R21" i="5"/>
  <c r="C21" i="5"/>
  <c r="R17" i="1"/>
  <c r="B18" i="1"/>
  <c r="M18" i="1" s="1"/>
  <c r="C17" i="1"/>
  <c r="R21" i="10" l="1"/>
  <c r="R21" i="8"/>
  <c r="R21" i="12"/>
  <c r="M21" i="7"/>
  <c r="R21" i="7" s="1"/>
  <c r="M22" i="7"/>
  <c r="M21" i="15"/>
  <c r="R21" i="15" s="1"/>
  <c r="C5" i="16"/>
  <c r="O7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B23" i="15"/>
  <c r="C22" i="15"/>
  <c r="B22" i="14"/>
  <c r="R21" i="14"/>
  <c r="C21" i="14"/>
  <c r="B23" i="13"/>
  <c r="M23" i="13" s="1"/>
  <c r="C22" i="13"/>
  <c r="B23" i="12"/>
  <c r="C22" i="12"/>
  <c r="M22" i="12" s="1"/>
  <c r="B23" i="11"/>
  <c r="R22" i="11"/>
  <c r="C22" i="11"/>
  <c r="B23" i="10"/>
  <c r="C22" i="10"/>
  <c r="B23" i="9"/>
  <c r="C22" i="9"/>
  <c r="B23" i="8"/>
  <c r="M23" i="8" s="1"/>
  <c r="R22" i="8"/>
  <c r="C22" i="8"/>
  <c r="B23" i="7"/>
  <c r="C22" i="7"/>
  <c r="B23" i="6"/>
  <c r="C22" i="6"/>
  <c r="M22" i="6" s="1"/>
  <c r="B23" i="5"/>
  <c r="R22" i="5"/>
  <c r="C22" i="5"/>
  <c r="R18" i="1"/>
  <c r="C18" i="1"/>
  <c r="B19" i="1"/>
  <c r="M23" i="7" l="1"/>
  <c r="M22" i="13"/>
  <c r="R22" i="13" s="1"/>
  <c r="M23" i="9"/>
  <c r="M22" i="10"/>
  <c r="R22" i="10" s="1"/>
  <c r="R22" i="6"/>
  <c r="M19" i="1"/>
  <c r="R22" i="7"/>
  <c r="R22" i="12"/>
  <c r="M23" i="15"/>
  <c r="M22" i="15"/>
  <c r="R22" i="15" s="1"/>
  <c r="M22" i="9"/>
  <c r="R22" i="9" s="1"/>
  <c r="O7" i="6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B24" i="15"/>
  <c r="C23" i="15"/>
  <c r="B23" i="14"/>
  <c r="C22" i="14"/>
  <c r="C23" i="13"/>
  <c r="R23" i="13"/>
  <c r="B24" i="13"/>
  <c r="M24" i="13" s="1"/>
  <c r="B24" i="12"/>
  <c r="C23" i="12"/>
  <c r="C23" i="11"/>
  <c r="M23" i="11" s="1"/>
  <c r="B24" i="11"/>
  <c r="B24" i="10"/>
  <c r="M24" i="10" s="1"/>
  <c r="C23" i="10"/>
  <c r="B24" i="9"/>
  <c r="C23" i="9"/>
  <c r="R23" i="8"/>
  <c r="C23" i="8"/>
  <c r="B24" i="8"/>
  <c r="C23" i="7"/>
  <c r="B24" i="7"/>
  <c r="M24" i="7" s="1"/>
  <c r="B24" i="6"/>
  <c r="C23" i="6"/>
  <c r="M23" i="6" s="1"/>
  <c r="B24" i="5"/>
  <c r="C23" i="5"/>
  <c r="M23" i="5" s="1"/>
  <c r="C19" i="1"/>
  <c r="B20" i="1"/>
  <c r="R23" i="9" l="1"/>
  <c r="R19" i="1"/>
  <c r="M24" i="15"/>
  <c r="M22" i="14"/>
  <c r="R22" i="14" s="1"/>
  <c r="R23" i="5"/>
  <c r="R23" i="7"/>
  <c r="M20" i="1"/>
  <c r="R23" i="6"/>
  <c r="R23" i="11"/>
  <c r="R23" i="15"/>
  <c r="M23" i="10"/>
  <c r="R23" i="10" s="1"/>
  <c r="M23" i="12"/>
  <c r="R23" i="12" s="1"/>
  <c r="B25" i="15"/>
  <c r="M25" i="15" s="1"/>
  <c r="C24" i="15"/>
  <c r="B24" i="14"/>
  <c r="C23" i="14"/>
  <c r="B25" i="13"/>
  <c r="R24" i="13"/>
  <c r="C24" i="13"/>
  <c r="B25" i="12"/>
  <c r="M25" i="12" s="1"/>
  <c r="C24" i="12"/>
  <c r="B25" i="11"/>
  <c r="C24" i="11"/>
  <c r="M24" i="11" s="1"/>
  <c r="R24" i="11" s="1"/>
  <c r="B25" i="10"/>
  <c r="M25" i="10" s="1"/>
  <c r="R24" i="10"/>
  <c r="C24" i="10"/>
  <c r="B25" i="9"/>
  <c r="C24" i="9"/>
  <c r="B25" i="8"/>
  <c r="C24" i="8"/>
  <c r="B25" i="7"/>
  <c r="M25" i="7" s="1"/>
  <c r="R24" i="7"/>
  <c r="C24" i="7"/>
  <c r="B25" i="6"/>
  <c r="C24" i="6"/>
  <c r="M24" i="6" s="1"/>
  <c r="C24" i="5"/>
  <c r="B25" i="5"/>
  <c r="B21" i="1"/>
  <c r="C20" i="1"/>
  <c r="R20" i="1"/>
  <c r="R24" i="15" l="1"/>
  <c r="M24" i="9"/>
  <c r="R24" i="9" s="1"/>
  <c r="M23" i="14"/>
  <c r="R23" i="14" s="1"/>
  <c r="R24" i="6"/>
  <c r="M24" i="8"/>
  <c r="R24" i="8" s="1"/>
  <c r="M24" i="12"/>
  <c r="R24" i="12" s="1"/>
  <c r="M24" i="5"/>
  <c r="R24" i="5" s="1"/>
  <c r="R25" i="15"/>
  <c r="B26" i="15"/>
  <c r="M26" i="15" s="1"/>
  <c r="C25" i="15"/>
  <c r="C24" i="14"/>
  <c r="B25" i="14"/>
  <c r="B26" i="13"/>
  <c r="C25" i="13"/>
  <c r="M25" i="13" s="1"/>
  <c r="R25" i="13" s="1"/>
  <c r="B26" i="12"/>
  <c r="M26" i="12" s="1"/>
  <c r="R25" i="12"/>
  <c r="C25" i="12"/>
  <c r="B26" i="11"/>
  <c r="C25" i="11"/>
  <c r="M25" i="11" s="1"/>
  <c r="R25" i="11" s="1"/>
  <c r="B26" i="10"/>
  <c r="R25" i="10"/>
  <c r="C25" i="10"/>
  <c r="B26" i="9"/>
  <c r="M26" i="9" s="1"/>
  <c r="C25" i="9"/>
  <c r="M25" i="9" s="1"/>
  <c r="R25" i="9" s="1"/>
  <c r="B26" i="8"/>
  <c r="C25" i="8"/>
  <c r="B26" i="7"/>
  <c r="R25" i="7"/>
  <c r="C25" i="7"/>
  <c r="B26" i="6"/>
  <c r="C25" i="6"/>
  <c r="M25" i="6" s="1"/>
  <c r="R25" i="6" s="1"/>
  <c r="B26" i="5"/>
  <c r="C25" i="5"/>
  <c r="M25" i="5" s="1"/>
  <c r="B22" i="1"/>
  <c r="C21" i="1"/>
  <c r="R25" i="5" l="1"/>
  <c r="M21" i="1"/>
  <c r="R21" i="1" s="1"/>
  <c r="M22" i="1"/>
  <c r="M24" i="14"/>
  <c r="R24" i="14" s="1"/>
  <c r="M25" i="8"/>
  <c r="R25" i="8" s="1"/>
  <c r="B27" i="15"/>
  <c r="R26" i="15"/>
  <c r="C26" i="15"/>
  <c r="B26" i="14"/>
  <c r="C25" i="14"/>
  <c r="M25" i="14" s="1"/>
  <c r="B27" i="13"/>
  <c r="C26" i="13"/>
  <c r="M26" i="13" s="1"/>
  <c r="R26" i="13" s="1"/>
  <c r="B27" i="12"/>
  <c r="R26" i="12"/>
  <c r="C26" i="12"/>
  <c r="B27" i="11"/>
  <c r="C26" i="11"/>
  <c r="M26" i="11" s="1"/>
  <c r="R26" i="11" s="1"/>
  <c r="B27" i="10"/>
  <c r="C26" i="10"/>
  <c r="B27" i="9"/>
  <c r="M27" i="9" s="1"/>
  <c r="R26" i="9"/>
  <c r="C26" i="9"/>
  <c r="B27" i="8"/>
  <c r="C26" i="8"/>
  <c r="B27" i="7"/>
  <c r="C26" i="7"/>
  <c r="M26" i="7" s="1"/>
  <c r="R26" i="7" s="1"/>
  <c r="B27" i="6"/>
  <c r="M27" i="6" s="1"/>
  <c r="C26" i="6"/>
  <c r="M26" i="6" s="1"/>
  <c r="B27" i="5"/>
  <c r="C26" i="5"/>
  <c r="B23" i="1"/>
  <c r="C22" i="1"/>
  <c r="R22" i="1" l="1"/>
  <c r="M26" i="5"/>
  <c r="R26" i="5" s="1"/>
  <c r="R25" i="14"/>
  <c r="M27" i="15"/>
  <c r="R27" i="15" s="1"/>
  <c r="M26" i="8"/>
  <c r="R26" i="8" s="1"/>
  <c r="M26" i="10"/>
  <c r="R26" i="10" s="1"/>
  <c r="R26" i="6"/>
  <c r="B28" i="15"/>
  <c r="C27" i="15"/>
  <c r="B27" i="14"/>
  <c r="M27" i="14" s="1"/>
  <c r="C26" i="14"/>
  <c r="B28" i="13"/>
  <c r="C27" i="13"/>
  <c r="B28" i="12"/>
  <c r="C27" i="12"/>
  <c r="M27" i="12" s="1"/>
  <c r="R27" i="12" s="1"/>
  <c r="B28" i="11"/>
  <c r="M28" i="11" s="1"/>
  <c r="C27" i="11"/>
  <c r="C27" i="10"/>
  <c r="M27" i="10" s="1"/>
  <c r="B28" i="10"/>
  <c r="R27" i="9"/>
  <c r="C27" i="9"/>
  <c r="B28" i="9"/>
  <c r="B28" i="8"/>
  <c r="C27" i="8"/>
  <c r="M27" i="8" s="1"/>
  <c r="R27" i="8" s="1"/>
  <c r="C27" i="7"/>
  <c r="B28" i="7"/>
  <c r="R27" i="6"/>
  <c r="C27" i="6"/>
  <c r="B28" i="6"/>
  <c r="M28" i="6" s="1"/>
  <c r="B28" i="5"/>
  <c r="M28" i="5" s="1"/>
  <c r="C27" i="5"/>
  <c r="M27" i="5" s="1"/>
  <c r="R27" i="5" s="1"/>
  <c r="B24" i="1"/>
  <c r="M24" i="1" s="1"/>
  <c r="C23" i="1"/>
  <c r="M28" i="12" l="1"/>
  <c r="R27" i="10"/>
  <c r="M27" i="13"/>
  <c r="R27" i="13" s="1"/>
  <c r="M26" i="14"/>
  <c r="R26" i="14" s="1"/>
  <c r="M27" i="7"/>
  <c r="R27" i="7" s="1"/>
  <c r="M27" i="11"/>
  <c r="R27" i="11" s="1"/>
  <c r="M23" i="1"/>
  <c r="R23" i="1" s="1"/>
  <c r="S26" i="6"/>
  <c r="S7" i="6" s="1"/>
  <c r="Q26" i="6"/>
  <c r="T26" i="6"/>
  <c r="T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B29" i="15"/>
  <c r="C28" i="15"/>
  <c r="B28" i="14"/>
  <c r="M28" i="14" s="1"/>
  <c r="R27" i="14"/>
  <c r="C27" i="14"/>
  <c r="B29" i="13"/>
  <c r="C28" i="13"/>
  <c r="M28" i="13" s="1"/>
  <c r="R28" i="13" s="1"/>
  <c r="C28" i="12"/>
  <c r="R28" i="12"/>
  <c r="B29" i="12"/>
  <c r="B29" i="11"/>
  <c r="M29" i="11" s="1"/>
  <c r="R28" i="11"/>
  <c r="C28" i="11"/>
  <c r="B29" i="10"/>
  <c r="C28" i="10"/>
  <c r="B29" i="9"/>
  <c r="C28" i="9"/>
  <c r="B29" i="8"/>
  <c r="M29" i="8" s="1"/>
  <c r="C28" i="8"/>
  <c r="B29" i="7"/>
  <c r="C28" i="7"/>
  <c r="B29" i="6"/>
  <c r="R28" i="6"/>
  <c r="C28" i="6"/>
  <c r="R28" i="5"/>
  <c r="C28" i="5"/>
  <c r="B29" i="5"/>
  <c r="M29" i="5" s="1"/>
  <c r="R24" i="1"/>
  <c r="B25" i="1"/>
  <c r="M25" i="1" s="1"/>
  <c r="C24" i="1"/>
  <c r="Q7" i="6" l="1"/>
  <c r="P7" i="6"/>
  <c r="M28" i="7"/>
  <c r="R28" i="7" s="1"/>
  <c r="M29" i="9"/>
  <c r="M28" i="10"/>
  <c r="R28" i="10" s="1"/>
  <c r="M28" i="15"/>
  <c r="R28" i="15" s="1"/>
  <c r="M29" i="6"/>
  <c r="M28" i="8"/>
  <c r="R28" i="8" s="1"/>
  <c r="M28" i="9"/>
  <c r="R28" i="9" s="1"/>
  <c r="O7" i="7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B30" i="15"/>
  <c r="C29" i="15"/>
  <c r="M29" i="15" s="1"/>
  <c r="R29" i="15" s="1"/>
  <c r="R28" i="14"/>
  <c r="B29" i="14"/>
  <c r="C28" i="14"/>
  <c r="B30" i="13"/>
  <c r="M30" i="13" s="1"/>
  <c r="C29" i="13"/>
  <c r="B30" i="12"/>
  <c r="C29" i="12"/>
  <c r="B30" i="11"/>
  <c r="R29" i="11"/>
  <c r="C29" i="11"/>
  <c r="B30" i="10"/>
  <c r="C29" i="10"/>
  <c r="B30" i="9"/>
  <c r="C29" i="9"/>
  <c r="B30" i="8"/>
  <c r="M30" i="8" s="1"/>
  <c r="R29" i="8"/>
  <c r="C29" i="8"/>
  <c r="B30" i="7"/>
  <c r="C29" i="7"/>
  <c r="B30" i="6"/>
  <c r="C29" i="6"/>
  <c r="B30" i="5"/>
  <c r="R29" i="5"/>
  <c r="C29" i="5"/>
  <c r="R25" i="1"/>
  <c r="B26" i="1"/>
  <c r="C25" i="1"/>
  <c r="M29" i="10" l="1"/>
  <c r="R29" i="10" s="1"/>
  <c r="R29" i="9"/>
  <c r="M29" i="7"/>
  <c r="R29" i="7" s="1"/>
  <c r="R29" i="6"/>
  <c r="M29" i="12"/>
  <c r="R29" i="12" s="1"/>
  <c r="M29" i="13"/>
  <c r="R29" i="13" s="1"/>
  <c r="B31" i="15"/>
  <c r="C30" i="15"/>
  <c r="B30" i="14"/>
  <c r="C29" i="14"/>
  <c r="B31" i="13"/>
  <c r="M31" i="13" s="1"/>
  <c r="R30" i="13"/>
  <c r="C30" i="13"/>
  <c r="B31" i="12"/>
  <c r="C30" i="12"/>
  <c r="M30" i="12" s="1"/>
  <c r="B31" i="11"/>
  <c r="C30" i="11"/>
  <c r="M30" i="11" s="1"/>
  <c r="R30" i="11" s="1"/>
  <c r="B31" i="10"/>
  <c r="M31" i="10" s="1"/>
  <c r="C30" i="10"/>
  <c r="B31" i="9"/>
  <c r="C30" i="9"/>
  <c r="M30" i="9" s="1"/>
  <c r="R30" i="9" s="1"/>
  <c r="B31" i="8"/>
  <c r="R30" i="8"/>
  <c r="C30" i="8"/>
  <c r="B31" i="7"/>
  <c r="M31" i="7" s="1"/>
  <c r="C30" i="7"/>
  <c r="M30" i="7" s="1"/>
  <c r="B31" i="6"/>
  <c r="C30" i="6"/>
  <c r="B31" i="5"/>
  <c r="C30" i="5"/>
  <c r="M30" i="5" s="1"/>
  <c r="R30" i="5" s="1"/>
  <c r="C26" i="1"/>
  <c r="M26" i="1" s="1"/>
  <c r="R26" i="1" s="1"/>
  <c r="B27" i="1"/>
  <c r="M30" i="14" l="1"/>
  <c r="M29" i="14"/>
  <c r="R29" i="14" s="1"/>
  <c r="M30" i="15"/>
  <c r="R30" i="15" s="1"/>
  <c r="M30" i="6"/>
  <c r="R30" i="6" s="1"/>
  <c r="M31" i="5"/>
  <c r="R31" i="5" s="1"/>
  <c r="R30" i="12"/>
  <c r="M30" i="10"/>
  <c r="R30" i="10" s="1"/>
  <c r="R30" i="7"/>
  <c r="B32" i="15"/>
  <c r="M32" i="15" s="1"/>
  <c r="C31" i="15"/>
  <c r="M31" i="15" s="1"/>
  <c r="R31" i="15" s="1"/>
  <c r="B31" i="14"/>
  <c r="C30" i="14"/>
  <c r="C31" i="13"/>
  <c r="R31" i="13"/>
  <c r="B32" i="13"/>
  <c r="B32" i="12"/>
  <c r="M32" i="12" s="1"/>
  <c r="C31" i="12"/>
  <c r="M31" i="12" s="1"/>
  <c r="R31" i="12" s="1"/>
  <c r="C31" i="11"/>
  <c r="M31" i="11" s="1"/>
  <c r="R31" i="11" s="1"/>
  <c r="B32" i="11"/>
  <c r="R31" i="10"/>
  <c r="B32" i="10"/>
  <c r="M32" i="10" s="1"/>
  <c r="C31" i="10"/>
  <c r="C31" i="9"/>
  <c r="M31" i="9" s="1"/>
  <c r="R31" i="9" s="1"/>
  <c r="B32" i="9"/>
  <c r="B32" i="8"/>
  <c r="C31" i="8"/>
  <c r="M31" i="8" s="1"/>
  <c r="R31" i="8" s="1"/>
  <c r="B32" i="7"/>
  <c r="M32" i="7" s="1"/>
  <c r="R31" i="7"/>
  <c r="C31" i="7"/>
  <c r="B32" i="6"/>
  <c r="C31" i="6"/>
  <c r="B32" i="5"/>
  <c r="C31" i="5"/>
  <c r="C27" i="1"/>
  <c r="M27" i="1" s="1"/>
  <c r="B28" i="1"/>
  <c r="M32" i="5" l="1"/>
  <c r="R32" i="5" s="1"/>
  <c r="R30" i="14"/>
  <c r="R27" i="1"/>
  <c r="M31" i="14"/>
  <c r="M31" i="6"/>
  <c r="R31" i="6" s="1"/>
  <c r="Q30" i="7"/>
  <c r="T30" i="7"/>
  <c r="T7" i="7" s="1"/>
  <c r="S30" i="7"/>
  <c r="S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B33" i="15"/>
  <c r="M33" i="15" s="1"/>
  <c r="R32" i="15"/>
  <c r="C32" i="15"/>
  <c r="B32" i="14"/>
  <c r="C31" i="14"/>
  <c r="B33" i="13"/>
  <c r="C32" i="13"/>
  <c r="M32" i="13" s="1"/>
  <c r="R32" i="13" s="1"/>
  <c r="R32" i="12"/>
  <c r="B33" i="12"/>
  <c r="M33" i="12" s="1"/>
  <c r="C32" i="12"/>
  <c r="B33" i="11"/>
  <c r="C32" i="11"/>
  <c r="M32" i="11" s="1"/>
  <c r="R32" i="11" s="1"/>
  <c r="B33" i="10"/>
  <c r="R32" i="10"/>
  <c r="C32" i="10"/>
  <c r="B33" i="9"/>
  <c r="M33" i="9" s="1"/>
  <c r="C32" i="9"/>
  <c r="M32" i="9" s="1"/>
  <c r="R32" i="9" s="1"/>
  <c r="B33" i="8"/>
  <c r="C32" i="8"/>
  <c r="M32" i="8" s="1"/>
  <c r="B33" i="7"/>
  <c r="R32" i="7"/>
  <c r="C32" i="7"/>
  <c r="B33" i="6"/>
  <c r="C32" i="6"/>
  <c r="B33" i="5"/>
  <c r="C32" i="5"/>
  <c r="B29" i="1"/>
  <c r="C28" i="1"/>
  <c r="M33" i="7" l="1"/>
  <c r="M28" i="1"/>
  <c r="R28" i="1" s="1"/>
  <c r="M32" i="14"/>
  <c r="R32" i="8"/>
  <c r="R31" i="14"/>
  <c r="Q7" i="7"/>
  <c r="P7" i="7"/>
  <c r="M32" i="6"/>
  <c r="R32" i="6" s="1"/>
  <c r="O7" i="8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C8" i="16"/>
  <c r="B34" i="15"/>
  <c r="R33" i="15"/>
  <c r="C33" i="15"/>
  <c r="C32" i="14"/>
  <c r="B33" i="14"/>
  <c r="B34" i="13"/>
  <c r="C33" i="13"/>
  <c r="M33" i="13" s="1"/>
  <c r="R33" i="13" s="1"/>
  <c r="B34" i="12"/>
  <c r="R33" i="12"/>
  <c r="C33" i="12"/>
  <c r="B34" i="11"/>
  <c r="C33" i="11"/>
  <c r="M33" i="11" s="1"/>
  <c r="B34" i="10"/>
  <c r="C33" i="10"/>
  <c r="M33" i="10" s="1"/>
  <c r="R33" i="10" s="1"/>
  <c r="B34" i="9"/>
  <c r="M34" i="9" s="1"/>
  <c r="R33" i="9"/>
  <c r="C33" i="9"/>
  <c r="B34" i="8"/>
  <c r="C33" i="8"/>
  <c r="M33" i="8" s="1"/>
  <c r="R33" i="8" s="1"/>
  <c r="B34" i="7"/>
  <c r="C33" i="7"/>
  <c r="B34" i="6"/>
  <c r="M34" i="6" s="1"/>
  <c r="C33" i="6"/>
  <c r="M33" i="6" s="1"/>
  <c r="B34" i="5"/>
  <c r="C33" i="5"/>
  <c r="B30" i="1"/>
  <c r="C29" i="1"/>
  <c r="M29" i="1" s="1"/>
  <c r="R33" i="7" l="1"/>
  <c r="R32" i="14"/>
  <c r="M33" i="5"/>
  <c r="R33" i="5" s="1"/>
  <c r="R33" i="11"/>
  <c r="R29" i="1"/>
  <c r="R33" i="6"/>
  <c r="O7" i="9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C9" i="16"/>
  <c r="B35" i="15"/>
  <c r="C34" i="15"/>
  <c r="M34" i="15" s="1"/>
  <c r="B34" i="14"/>
  <c r="M34" i="14" s="1"/>
  <c r="C33" i="14"/>
  <c r="B35" i="13"/>
  <c r="C34" i="13"/>
  <c r="B35" i="12"/>
  <c r="C34" i="12"/>
  <c r="M34" i="12" s="1"/>
  <c r="R34" i="12" s="1"/>
  <c r="B35" i="11"/>
  <c r="M35" i="11" s="1"/>
  <c r="C34" i="11"/>
  <c r="B35" i="10"/>
  <c r="C34" i="10"/>
  <c r="B35" i="9"/>
  <c r="R34" i="9"/>
  <c r="C34" i="9"/>
  <c r="B35" i="8"/>
  <c r="C34" i="8"/>
  <c r="M34" i="8" s="1"/>
  <c r="B35" i="7"/>
  <c r="C34" i="7"/>
  <c r="B35" i="6"/>
  <c r="M35" i="6" s="1"/>
  <c r="R34" i="6"/>
  <c r="C34" i="6"/>
  <c r="B35" i="5"/>
  <c r="M35" i="5" s="1"/>
  <c r="C34" i="5"/>
  <c r="B31" i="1"/>
  <c r="M31" i="1" s="1"/>
  <c r="C30" i="1"/>
  <c r="M34" i="10" l="1"/>
  <c r="R34" i="10" s="1"/>
  <c r="M30" i="1"/>
  <c r="R30" i="1" s="1"/>
  <c r="R34" i="8"/>
  <c r="R34" i="15"/>
  <c r="M34" i="13"/>
  <c r="R34" i="13" s="1"/>
  <c r="M34" i="7"/>
  <c r="R34" i="7" s="1"/>
  <c r="M34" i="5"/>
  <c r="R34" i="5" s="1"/>
  <c r="M34" i="11"/>
  <c r="R34" i="11" s="1"/>
  <c r="M33" i="14"/>
  <c r="R33" i="14" s="1"/>
  <c r="O7" i="10"/>
  <c r="O9" i="10" s="1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C10" i="16"/>
  <c r="B36" i="15"/>
  <c r="C35" i="15"/>
  <c r="B35" i="14"/>
  <c r="M35" i="14" s="1"/>
  <c r="R34" i="14"/>
  <c r="C34" i="14"/>
  <c r="C35" i="13"/>
  <c r="M35" i="13" s="1"/>
  <c r="B36" i="13"/>
  <c r="B36" i="12"/>
  <c r="C35" i="12"/>
  <c r="M35" i="12" s="1"/>
  <c r="R35" i="11"/>
  <c r="B36" i="11"/>
  <c r="M36" i="11" s="1"/>
  <c r="C35" i="11"/>
  <c r="B36" i="10"/>
  <c r="C35" i="10"/>
  <c r="M35" i="10" s="1"/>
  <c r="B36" i="9"/>
  <c r="C35" i="9"/>
  <c r="M35" i="9" s="1"/>
  <c r="B36" i="8"/>
  <c r="M36" i="8" s="1"/>
  <c r="C35" i="8"/>
  <c r="M35" i="8" s="1"/>
  <c r="R35" i="8" s="1"/>
  <c r="B36" i="7"/>
  <c r="C35" i="7"/>
  <c r="M35" i="7" s="1"/>
  <c r="C35" i="6"/>
  <c r="B36" i="6"/>
  <c r="R35" i="6"/>
  <c r="B36" i="5"/>
  <c r="M36" i="5" s="1"/>
  <c r="R35" i="5"/>
  <c r="C35" i="5"/>
  <c r="C31" i="1"/>
  <c r="B32" i="1"/>
  <c r="M32" i="1" s="1"/>
  <c r="R31" i="1"/>
  <c r="R35" i="12" l="1"/>
  <c r="R35" i="10"/>
  <c r="R35" i="13"/>
  <c r="R35" i="7"/>
  <c r="R35" i="9"/>
  <c r="M35" i="15"/>
  <c r="R35" i="15" s="1"/>
  <c r="C11" i="16"/>
  <c r="O7" i="1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B37" i="15"/>
  <c r="C36" i="15"/>
  <c r="M36" i="15" s="1"/>
  <c r="R36" i="15" s="1"/>
  <c r="B36" i="14"/>
  <c r="R35" i="14"/>
  <c r="C35" i="14"/>
  <c r="B37" i="13"/>
  <c r="M37" i="13" s="1"/>
  <c r="C36" i="13"/>
  <c r="M36" i="13" s="1"/>
  <c r="C36" i="12"/>
  <c r="B37" i="12"/>
  <c r="B37" i="11"/>
  <c r="R36" i="11"/>
  <c r="C36" i="11"/>
  <c r="B37" i="10"/>
  <c r="C36" i="10"/>
  <c r="B37" i="9"/>
  <c r="C36" i="9"/>
  <c r="M36" i="9" s="1"/>
  <c r="B37" i="8"/>
  <c r="M37" i="8" s="1"/>
  <c r="R36" i="8"/>
  <c r="C36" i="8"/>
  <c r="B37" i="7"/>
  <c r="C36" i="7"/>
  <c r="M36" i="7" s="1"/>
  <c r="B37" i="6"/>
  <c r="C36" i="6"/>
  <c r="B37" i="5"/>
  <c r="R36" i="5"/>
  <c r="C36" i="5"/>
  <c r="R32" i="1"/>
  <c r="B33" i="1"/>
  <c r="C32" i="1"/>
  <c r="M37" i="6" l="1"/>
  <c r="R36" i="13"/>
  <c r="R36" i="7"/>
  <c r="M36" i="10"/>
  <c r="R36" i="10" s="1"/>
  <c r="R36" i="9"/>
  <c r="M36" i="12"/>
  <c r="R36" i="12" s="1"/>
  <c r="M36" i="6"/>
  <c r="R36" i="6" s="1"/>
  <c r="O7" i="12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C12" i="16"/>
  <c r="B38" i="15"/>
  <c r="C37" i="15"/>
  <c r="M37" i="15" s="1"/>
  <c r="R37" i="15" s="1"/>
  <c r="C36" i="14"/>
  <c r="M36" i="14" s="1"/>
  <c r="R36" i="14" s="1"/>
  <c r="B37" i="14"/>
  <c r="B38" i="13"/>
  <c r="M38" i="13" s="1"/>
  <c r="R37" i="13"/>
  <c r="C37" i="13"/>
  <c r="B38" i="12"/>
  <c r="C37" i="12"/>
  <c r="M37" i="12" s="1"/>
  <c r="R37" i="12" s="1"/>
  <c r="B38" i="11"/>
  <c r="C37" i="11"/>
  <c r="B38" i="10"/>
  <c r="M38" i="10" s="1"/>
  <c r="C37" i="10"/>
  <c r="B38" i="9"/>
  <c r="C37" i="9"/>
  <c r="B38" i="8"/>
  <c r="R37" i="8"/>
  <c r="C37" i="8"/>
  <c r="B38" i="7"/>
  <c r="M38" i="7" s="1"/>
  <c r="C37" i="7"/>
  <c r="B38" i="6"/>
  <c r="C37" i="6"/>
  <c r="B38" i="5"/>
  <c r="M38" i="5" s="1"/>
  <c r="C37" i="5"/>
  <c r="M37" i="5" s="1"/>
  <c r="R37" i="5" s="1"/>
  <c r="B34" i="1"/>
  <c r="C33" i="1"/>
  <c r="M33" i="1" l="1"/>
  <c r="R33" i="1" s="1"/>
  <c r="M38" i="12"/>
  <c r="R37" i="6"/>
  <c r="M37" i="7"/>
  <c r="R37" i="7" s="1"/>
  <c r="M37" i="9"/>
  <c r="R37" i="9" s="1"/>
  <c r="M38" i="9"/>
  <c r="M37" i="10"/>
  <c r="R37" i="10" s="1"/>
  <c r="M37" i="11"/>
  <c r="R37" i="11" s="1"/>
  <c r="O7" i="13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C13" i="16"/>
  <c r="B39" i="15"/>
  <c r="M39" i="15" s="1"/>
  <c r="C38" i="15"/>
  <c r="B38" i="14"/>
  <c r="C37" i="14"/>
  <c r="M37" i="14" s="1"/>
  <c r="B39" i="13"/>
  <c r="R38" i="13"/>
  <c r="C38" i="13"/>
  <c r="B39" i="12"/>
  <c r="M39" i="12" s="1"/>
  <c r="C38" i="12"/>
  <c r="B39" i="11"/>
  <c r="C38" i="11"/>
  <c r="M38" i="11" s="1"/>
  <c r="R38" i="11" s="1"/>
  <c r="B39" i="10"/>
  <c r="M39" i="10" s="1"/>
  <c r="R38" i="10"/>
  <c r="C38" i="10"/>
  <c r="B39" i="9"/>
  <c r="M39" i="9" s="1"/>
  <c r="C38" i="9"/>
  <c r="B39" i="8"/>
  <c r="C38" i="8"/>
  <c r="M38" i="8" s="1"/>
  <c r="R38" i="8" s="1"/>
  <c r="B39" i="7"/>
  <c r="M39" i="7" s="1"/>
  <c r="R38" i="7"/>
  <c r="C38" i="7"/>
  <c r="B39" i="6"/>
  <c r="C38" i="6"/>
  <c r="M38" i="6" s="1"/>
  <c r="R38" i="6" s="1"/>
  <c r="B39" i="5"/>
  <c r="M39" i="5" s="1"/>
  <c r="R38" i="5"/>
  <c r="C38" i="5"/>
  <c r="C34" i="1"/>
  <c r="B35" i="1"/>
  <c r="M38" i="14" l="1"/>
  <c r="M38" i="15"/>
  <c r="R38" i="15" s="1"/>
  <c r="R38" i="9"/>
  <c r="M34" i="1"/>
  <c r="R34" i="1" s="1"/>
  <c r="R38" i="12"/>
  <c r="M39" i="6"/>
  <c r="R37" i="14"/>
  <c r="C14" i="16"/>
  <c r="O7" i="14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R39" i="15"/>
  <c r="C39" i="15"/>
  <c r="B39" i="14"/>
  <c r="M39" i="14" s="1"/>
  <c r="C38" i="14"/>
  <c r="C39" i="13"/>
  <c r="R39" i="12"/>
  <c r="R7" i="12" s="1"/>
  <c r="C39" i="12"/>
  <c r="C39" i="11"/>
  <c r="M39" i="11" s="1"/>
  <c r="R39" i="11" s="1"/>
  <c r="R7" i="11" s="1"/>
  <c r="C39" i="10"/>
  <c r="R39" i="10"/>
  <c r="R7" i="10" s="1"/>
  <c r="R39" i="9"/>
  <c r="C39" i="9"/>
  <c r="C39" i="8"/>
  <c r="M39" i="8" s="1"/>
  <c r="R39" i="8" s="1"/>
  <c r="R7" i="8" s="1"/>
  <c r="C39" i="7"/>
  <c r="R39" i="7"/>
  <c r="R7" i="7" s="1"/>
  <c r="C39" i="6"/>
  <c r="R39" i="5"/>
  <c r="R7" i="5" s="1"/>
  <c r="C39" i="5"/>
  <c r="C35" i="1"/>
  <c r="M35" i="1" s="1"/>
  <c r="B36" i="1"/>
  <c r="R7" i="9" l="1"/>
  <c r="R38" i="14"/>
  <c r="R35" i="1"/>
  <c r="R7" i="15"/>
  <c r="M39" i="13"/>
  <c r="R39" i="13" s="1"/>
  <c r="R7" i="13" s="1"/>
  <c r="R39" i="6"/>
  <c r="R7" i="6" s="1"/>
  <c r="C15" i="16"/>
  <c r="O7" i="15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R39" i="14"/>
  <c r="R7" i="14" s="1"/>
  <c r="C39" i="14"/>
  <c r="B37" i="1"/>
  <c r="C36" i="1"/>
  <c r="M36" i="1" l="1"/>
  <c r="R36" i="1" s="1"/>
  <c r="C17" i="16"/>
  <c r="B38" i="1"/>
  <c r="M38" i="1" s="1"/>
  <c r="C37" i="1"/>
  <c r="M37" i="1" s="1"/>
  <c r="R37" i="1" s="1"/>
  <c r="B39" i="1" l="1"/>
  <c r="M39" i="1" s="1"/>
  <c r="C38" i="1"/>
  <c r="R38" i="1" s="1"/>
  <c r="R39" i="1" l="1"/>
  <c r="R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<sst xmlns="http://schemas.openxmlformats.org/spreadsheetml/2006/main" count="620" uniqueCount="111">
  <si>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</si>
  <si>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</si>
  <si>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</si>
  <si>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</si>
  <si>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</si>
  <si>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</si>
  <si>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</si>
  <si>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</si>
  <si>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</si>
  <si>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</si>
  <si>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</si>
  <si>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</si>
  <si>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</si>
  <si>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</si>
  <si>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</si>
  <si>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</si>
  <si>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</si>
  <si>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</si>
  <si>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</si>
  <si>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</si>
  <si>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</si>
  <si>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</si>
  <si>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</si>
  <si>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</si>
  <si>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</si>
  <si>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</si>
  <si>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</si>
  <si>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</si>
  <si>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</si>
  <si>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</si>
  <si>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</si>
  <si>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</si>
  <si>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</si>
  <si>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</si>
  <si>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</si>
  <si>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</si>
  <si>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</si>
  <si>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</si>
  <si>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</si>
  <si>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</si>
  <si>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</si>
  <si>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</si>
  <si>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</si>
  <si>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</si>
  <si>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</si>
  <si>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</si>
  <si>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</si>
  <si>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</si>
  <si>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</si>
  <si>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</si>
  <si>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</si>
  <si>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</si>
  <si>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</si>
  <si>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</si>
  <si>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</si>
  <si>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</si>
  <si>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</si>
  <si>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</si>
  <si>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</si>
  <si>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</si>
  <si>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</si>
  <si>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</si>
  <si>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</si>
  <si>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</si>
  <si>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</si>
  <si>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</si>
  <si>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</si>
  <si>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</si>
  <si>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</si>
  <si>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</si>
  <si>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</si>
  <si>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</si>
  <si>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</si>
  <si>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</si>
  <si>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</si>
  <si>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</si>
  <si>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</si>
  <si>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</si>
  <si>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</si>
  <si>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</si>
  <si>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</si>
  <si>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</si>
  <si>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</si>
  <si>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</si>
  <si>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</si>
  <si>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</si>
  <si>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</si>
  <si>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</si>
  <si>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</si>
  <si>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</si>
  <si>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</si>
  <si>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</si>
  <si>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</si>
  <si>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</si>
  <si>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</si>
  <si>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</si>
  <si>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</si>
  <si>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</si>
  <si>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</si>
  <si>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</si>
  <si>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</si>
  <si>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</si>
  <si>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</si>
  <si>
    <t>1º Período</t>
  </si>
  <si>
    <t>2º Período</t>
  </si>
  <si>
    <t>Total Jornada</t>
  </si>
  <si>
    <t>Período</t>
  </si>
  <si>
    <t>Qtd. Horas por Jornada</t>
  </si>
  <si>
    <t>1° Período</t>
  </si>
  <si>
    <t>2° Período</t>
  </si>
  <si>
    <t>Intervalo Almoço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</si>
</sst>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9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  <border>
      <left style="double">
        <color theme="5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double">
        <color theme="5"/>
      </right>
      <top style="medium">
        <color theme="6"/>
      </top>
      <bottom style="medium">
        <color theme="6"/>
      </bottom>
      <diagonal/>
    </border>
    <border>
      <left style="double">
        <color theme="5"/>
      </left>
      <right/>
      <top/>
      <bottom/>
      <diagonal/>
    </border>
    <border>
      <left/>
      <right style="double">
        <color theme="5"/>
      </right>
      <top/>
      <bottom/>
      <diagonal/>
    </border>
    <border>
      <left style="double">
        <color theme="5"/>
      </left>
      <right/>
      <top/>
      <bottom style="double">
        <color theme="5"/>
      </bottom>
      <diagonal/>
    </border>
    <border>
      <left/>
      <right/>
      <top/>
      <bottom style="double">
        <color theme="5"/>
      </bottom>
      <diagonal/>
    </border>
    <border>
      <left/>
      <right style="double">
        <color theme="5"/>
      </right>
      <top/>
      <bottom style="double">
        <color theme="5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6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24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164" fontId="1" fillId="0" borderId="6" xfId="0" applyNumberFormat="1" applyFont="1" applyBorder="1" applyAlignment="1" applyProtection="1">
      <alignment horizontal="center"/>
    </xf>
    <xf numFmtId="20" fontId="0" fillId="6" borderId="11" xfId="0" applyNumberFormat="1" applyFont="1" applyFill="1" applyBorder="1" applyAlignment="1">
      <alignment horizontal="center"/>
    </xf>
    <xf numFmtId="20" fontId="0" fillId="0" borderId="0" xfId="0" applyNumberFormat="1" applyAlignment="1" applyProtection="1">
      <alignment horizontal="center"/>
      <protection locked="0"/>
    </xf>
    <xf numFmtId="166" fontId="0" fillId="0" borderId="24" xfId="0" applyNumberFormat="1" applyBorder="1" applyAlignment="1" applyProtection="1">
      <alignment horizontal="center"/>
      <protection locked="0"/>
    </xf>
    <xf numFmtId="166" fontId="0" fillId="0" borderId="26" xfId="0" applyNumberFormat="1" applyBorder="1" applyAlignment="1" applyProtection="1">
      <alignment horizontal="center"/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166" fontId="0" fillId="0" borderId="25" xfId="0" applyNumberFormat="1" applyBorder="1" applyAlignment="1" applyProtection="1">
      <alignment horizontal="center"/>
    </xf>
    <xf numFmtId="166" fontId="0" fillId="0" borderId="27" xfId="0" applyNumberFormat="1" applyBorder="1" applyAlignment="1" applyProtection="1">
      <alignment horizontal="center"/>
      <protection locked="0"/>
    </xf>
    <xf numFmtId="166" fontId="0" fillId="0" borderId="28" xfId="0" applyNumberFormat="1" applyBorder="1" applyAlignment="1" applyProtection="1">
      <alignment horizontal="center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2" xfId="0" applyNumberFormat="1" applyFill="1" applyBorder="1" applyAlignment="1" applyProtection="1">
      <alignment horizontal="center"/>
      <protection locked="0"/>
    </xf>
    <xf numFmtId="0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0" fontId="0" fillId="3" borderId="3" xfId="0" applyNumberFormat="1" applyFill="1" applyBorder="1" applyAlignment="1" applyProtection="1">
      <alignment horizontal="center"/>
      <protection locked="0"/>
    </xf>
    <xf numFmtId="0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</cellXfs>
  <cellStyles count="2">
    <cellStyle name="Hiperlink" xfId="1" builtinId="8"/>
    <cellStyle name="Normal" xfId="0" builtinId="0"/>
  </cellStyles>
  <dxfs count="428"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 style="double">
          <color theme="5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 style="double">
          <color theme="5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427" dataDxfId="426">
  <sortState ref="A3:F13">
    <sortCondition ref="A8"/>
  </sortState>
  <tableColumns count="6">
    <tableColumn id="1" name="Evento" dataDxfId="425"/>
    <tableColumn id="2" name="Colorir Linha" dataDxfId="424"/>
    <tableColumn id="5" name="Colorir Período" dataDxfId="423"/>
    <tableColumn id="6" name="Libera o Período" dataDxfId="422"/>
    <tableColumn id="4" name="Conta hora Extra" dataDxfId="421"/>
    <tableColumn id="3" name="Descrição" dataDxfId="42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419" dataDxfId="418">
  <autoFilter ref="H2:J4"/>
  <tableColumns count="3">
    <tableColumn id="1" name="Limite de horas" dataDxfId="417"/>
    <tableColumn id="3" name="Limite" dataDxfId="416"/>
    <tableColumn id="2" name="h" dataDxfId="41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414" dataDxfId="413">
  <autoFilter ref="L2:L14"/>
  <tableColumns count="1">
    <tableColumn id="1" name="Mês" dataDxfId="412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1:G18" totalsRowShown="0" headerRowDxfId="410" dataDxfId="409">
  <tableColumns count="6">
    <tableColumn id="1" name="Dia da Semana" dataDxfId="408"/>
    <tableColumn id="4" name="Abreviatura" dataDxfId="407"/>
    <tableColumn id="2" name="É dia util?" dataDxfId="406"/>
    <tableColumn id="3" name="1º Período" dataDxfId="405"/>
    <tableColumn id="5" name="2º Período" dataDxfId="404"/>
    <tableColumn id="6" name="Total Jornada" dataDxfId="403">
      <calculatedColumnFormula>IF(tblDiaUtil[[#This Row],[1º Período]]+tblDiaUtil[[#This Row],[2º Período]]&gt;0,tblDiaUtil[[#This Row],[1º Período]]+tblDiaUtil[[#This Row],[2º Período]],"")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8" name="tblDiaUtil7" displayName="tblDiaUtil7" ref="B21:D23" totalsRowShown="0" headerRowDxfId="402" dataDxfId="401">
  <tableColumns count="3">
    <tableColumn id="1" name="Período" dataDxfId="400"/>
    <tableColumn id="4" name="Abreviatura" dataDxfId="399"/>
    <tableColumn id="2" name="Qtd. Horas por Jornada" dataDxfId="398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7" name="Tabela17" displayName="Tabela17" ref="B4:C17" totalsRowCount="1" headerRowDxfId="397">
  <tableColumns count="2">
    <tableColumn id="1" name="Mês" totalsRowLabel="Total" dataDxfId="396" totalsRowDxfId="395"/>
    <tableColumn id="2" name="Saldo de Horas" totalsRowFunction="sum" dataDxfId="394" totalsRowDxfId="393">
      <calculatedColumnFormula>Janeiro!O39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1" name="tblHorasJan" displayName="tblHorasJan" ref="B8:U39" totalsRowShown="0" headerRowDxfId="382" dataDxfId="381">
  <tableColumns count="20">
    <tableColumn id="1" name="Data" dataDxfId="380">
      <calculatedColumnFormula>IF(B8&lt;&gt;"",IF(DAY(B8+1)=1,"",B8+1),"")</calculatedColumnFormula>
    </tableColumn>
    <tableColumn id="2" name="Dia" dataDxfId="379">
      <calculatedColumnFormula>TEXT(tblHorasJan[[#This Row],[Data]],"ddd")</calculatedColumnFormula>
    </tableColumn>
    <tableColumn id="3" name="Evento _x000a_(1º Período)" dataDxfId="378"/>
    <tableColumn id="4" name="Entrada - 1" dataDxfId="377"/>
    <tableColumn id="5" name="Saída - 1 (Almoço)" dataDxfId="376"/>
    <tableColumn id="6" name="Entrada - 2 (Almoço)" dataDxfId="375"/>
    <tableColumn id="7" name="Saída - 2" dataDxfId="374"/>
    <tableColumn id="13" name="Evento _x000a_(2º Período)" dataDxfId="373"/>
    <tableColumn id="15" name="Horas Trabalhadas (1º Período)" dataDxfId="372">
      <calculatedColumnFormula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calculatedColumnFormula>
    </tableColumn>
    <tableColumn id="16" name="Horas Trabalhadas (2º Período)" dataDxfId="371">
      <calculatedColumnFormula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calculatedColumnFormula>
    </tableColumn>
    <tableColumn id="8" name="Horas Trabalhadas" dataDxfId="370">
      <calculatedColumnFormula>tblHorasJan[[#This Row],[Horas Trabalhadas (1º Período)]]+tblHorasJan[[#This Row],[Horas Trabalhadas (2º Período)]]</calculatedColumnFormula>
    </tableColumn>
    <tableColumn id="17" name="Jornada Diária" dataDxfId="369">
      <calculatedColumnFormula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calculatedColumnFormula>
    </tableColumn>
    <tableColumn id="11" name="Horas Trabalhadas Além Jornada" dataDxfId="368">
      <calculatedColumnFormula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calculatedColumnFormula>
    </tableColumn>
    <tableColumn id="18" name="Saldo de Horas" dataDxfId="367">
      <calculatedColumnFormula>IF(tblHorasJan[[#This Row],[Horas Trabalhadas Além Jornada]]&gt;0,
        IF(tblHorasJan[[#This Row],[Jornada Diária]]&lt;&gt;"",
              IF(HOUR(tblHorasJan[[#This Row],[Horas Trabalhadas Além Jornada]])&gt;=VLOOKUP(LIMITE,tblLimiteHora[],Tabelas!$I$1,FALSE),
                    VLOOKUP(LIMITE,tblLimiteHora[],Tabelas!$J$1,FALSE),
                    tblHorasJan[[#This Row],[Horas Trabalhadas Além Jornada]]),
              tblHorasJan[[#This Row],[Horas Trabalhadas Além Jornada]]),
        0)</calculatedColumnFormula>
    </tableColumn>
    <tableColumn id="20" name="Intervalo Almoço" dataDxfId="366">
      <calculatedColumnFormula>G9-F9</calculatedColumnFormula>
    </tableColumn>
    <tableColumn id="19" name="Atrasos_x000a_(horas)" dataDxfId="365">
      <calculatedColumnFormula>IF(tblHorasJan[[#This Row],[Horas Trabalhadas Além Jornada]]&lt;0,IF(OR(tblHorasJan[[#This Row],[Evento 
(1º Período)]]="",tblHorasJan[[#This Row],[Evento 
(2º Período)]]=""),tblHorasJan[[#This Row],[Horas Trabalhadas Além Jornada]],""),"")</calculatedColumnFormula>
    </tableColumn>
    <tableColumn id="14" name="Faltas_x000a_(dias)" dataDxfId="364">
      <calculatedColumnFormula>IF(tblHorasJan[[#This Row],[Jornada Diária]]&lt;&gt;"",IF((N(tblHorasJan[[#This Row],[Jornada Diária]])-ABS(N(tblHorasJan[[#This Row],[Horas Trabalhadas Além Jornada]])))=0,1,""),"")</calculatedColumnFormula>
    </tableColumn>
    <tableColumn id="10" name="Hora Extra Normal" dataDxfId="363">
      <calculatedColumnFormula>IF(tblHorasJan[[#This Row],[Horas Trabalhadas Além Jornada]]&gt;0,
IF(AND(VLOOKUP(TEXT(tblHorasJan[[#This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tblHorasJan[[#This Row],[Horas Trabalhadas Além Jornada]],""),"")</calculatedColumnFormula>
    </tableColumn>
    <tableColumn id="9" name="Hora Extra _x000a_Especial" dataDxfId="362">
      <calculatedColumnFormula>IF(tblHorasJan[[#This Row],[Horas Trabalhadas Além Jornada]]&gt;0,
IF(OR(VLOOKUP(TEXT(tblHorasJan[[#This Row],[Data]],"dddd"),tblDiaUtil[],3,FALSE)="Não",IF(tblHorasJan[[#This Row],[Evento 
(1º Período)]]&lt;&gt;"",IF(VLOOKUP(tblHorasJan[[#This Row],[Evento 
(1º Período)]],tblEvento[],Tabelas!$E$1,FALSE)="Sim",TRUE,FALSE),FALSE),IF(tblHorasJan[[#This Row],[Evento 
(2º Período)]]&lt;&gt;"",IF(VLOOKUP(tblHorasJan[[#This Row],[Evento 
(2º Período)]],tblEvento[],Tabelas!$E$1,FALSE)="Sim",TRUE,FALSE),FALSE)),
tblHorasJan[[#This Row],[Horas Trabalhadas Além Jornada]],""),"")</calculatedColumnFormula>
    </tableColumn>
    <tableColumn id="12" name="Informação" dataDxfId="361">
      <calculatedColumnFormula>IF(tblHorasJan[[#This Row],[Evento 
(1º Período)]]&lt;&gt;""," - " &amp;VLOOKUP(tblHorasJan[[#This Row],[Evento 
(1º Período)]],tblEvento[],Tabelas!$F$1,FALSE),"")&amp;IF(AND(tblHorasJan[[#This Row],[Evento 
(2º Período)]]&lt;&gt;"",tblHorasJan[[#This Row],[Evento 
(2º Período)]]&lt;&gt;tblHorasJan[[#This Row],[Evento 
(1º Período)]])," - " &amp; VLOOKUP(tblHorasJan[[#This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6" name="tblHorasFev" displayName="tblHorasFev" ref="B8:U39" totalsRowShown="0" headerRowDxfId="347" dataDxfId="346">
  <tableColumns count="20">
    <tableColumn id="1" name="Data" dataDxfId="345">
      <calculatedColumnFormula>IF(B8&lt;&gt;"",IF(DAY(B8+1)=1,"",B8+1),"")</calculatedColumnFormula>
    </tableColumn>
    <tableColumn id="2" name="Dia" dataDxfId="344">
      <calculatedColumnFormula>TEXT(tblHorasFev[Data],"ddd")</calculatedColumnFormula>
    </tableColumn>
    <tableColumn id="3" name="Evento _x000a_(1º Período)" dataDxfId="343"/>
    <tableColumn id="4" name="Entrada - 1" dataDxfId="342"/>
    <tableColumn id="5" name="Saída - 1 (Almoço)" dataDxfId="341"/>
    <tableColumn id="6" name="Entrada - 2 (Almoço)" dataDxfId="340"/>
    <tableColumn id="7" name="Saída - 2" dataDxfId="339"/>
    <tableColumn id="13" name="Evento _x000a_(2º Período)" dataDxfId="338"/>
    <tableColumn id="15" name="Horas Trabalhadas (1º Período)" dataDxfId="337">
      <calculatedColumnFormula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calculatedColumnFormula>
    </tableColumn>
    <tableColumn id="16" name="Horas Trabalhadas (2º Período)" dataDxfId="336">
      <calculatedColumnFormula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calculatedColumnFormula>
    </tableColumn>
    <tableColumn id="8" name="Horas Trabalhadas" dataDxfId="335">
      <calculatedColumnFormula>tblHorasFev[Horas Trabalhadas (1º Período)]+tblHorasFev[Horas Trabalhadas (2º Período)]</calculatedColumnFormula>
    </tableColumn>
    <tableColumn id="17" name="Jornada Diária" dataDxfId="334">
      <calculatedColumnFormula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calculatedColumnFormula>
    </tableColumn>
    <tableColumn id="11" name="Horas Trabalhadas Além Jornada" dataDxfId="333">
      <calculatedColumnFormula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calculatedColumnFormula>
    </tableColumn>
    <tableColumn id="18" name="Saldo de Horas" dataDxfId="332">
      <calculatedColumnFormula>IF(tblHorasFev[[#This Row],[Horas Trabalhadas Além Jornada]]&gt;0,
        IF(tblHorasFev[[#This Row],[Jornada Diária]]&lt;&gt;"",
              IF(HOUR(tblHorasFev[[#This Row],[Horas Trabalhadas Além Jornada]])&gt;=VLOOKUP(LIMITE,tblLimiteHora[],Tabelas!$I$1,FALSE),
                    VLOOKUP(LIMITE,tblLimiteHora[],Tabelas!$J$1,FALSE),
                    tblHorasFev[[#This Row],[Horas Trabalhadas Além Jornada]]),
              tblHorasFev[[#This Row],[Horas Trabalhadas Além Jornada]]),
        0)</calculatedColumnFormula>
    </tableColumn>
    <tableColumn id="20" name="Intervalo Almoço" dataDxfId="331">
      <calculatedColumnFormula>G9-F9</calculatedColumnFormula>
    </tableColumn>
    <tableColumn id="19" name="Atrasos_x000a_(horas)" dataDxfId="330">
      <calculatedColumnFormula>IF(tblHorasFev[Horas Trabalhadas Além Jornada]&lt;0,IF(OR(tblHorasFev[Evento 
(1º Período)]="",tblHorasFev[Evento 
(2º Período)]=""),tblHorasFev[Horas Trabalhadas Além Jornada],""),"")</calculatedColumnFormula>
    </tableColumn>
    <tableColumn id="14" name="Faltas_x000a_(dias)" dataDxfId="329">
      <calculatedColumnFormula>IF(tblHorasFev[Jornada Diária]&lt;&gt;"",IF((N(tblHorasFev[Jornada Diária])-ABS(N(tblHorasFev[Horas Trabalhadas Além Jornada])))=0,1,""),"")</calculatedColumnFormula>
    </tableColumn>
    <tableColumn id="10" name="Hora Extra Normal" dataDxfId="328">
      <calculatedColumnFormula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calculatedColumnFormula>
    </tableColumn>
    <tableColumn id="9" name="Hora Extra _x000a_Especial" dataDxfId="327">
      <calculatedColumnFormula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calculatedColumnFormula>
    </tableColumn>
    <tableColumn id="12" name="Informação" dataDxfId="326">
      <calculatedColumnFormula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7" name="tblHorasMar" displayName="tblHorasMar" ref="B8:U39" totalsRowShown="0" headerRowDxfId="312" dataDxfId="311">
  <tableColumns count="20">
    <tableColumn id="1" name="Data" dataDxfId="310">
      <calculatedColumnFormula>IF(B8&lt;&gt;"",IF(DAY(B8+1)=1,"",B8+1),"")</calculatedColumnFormula>
    </tableColumn>
    <tableColumn id="2" name="Dia" dataDxfId="309">
      <calculatedColumnFormula>TEXT(tblHorasMar[Data],"ddd")</calculatedColumnFormula>
    </tableColumn>
    <tableColumn id="3" name="Evento _x000a_(1º Período)" dataDxfId="308"/>
    <tableColumn id="4" name="Entrada - 1" dataDxfId="307"/>
    <tableColumn id="5" name="Saída - 1 (Almoço)" dataDxfId="306"/>
    <tableColumn id="6" name="Entrada - 2 (Almoço)" dataDxfId="305"/>
    <tableColumn id="7" name="Saída - 2" dataDxfId="304"/>
    <tableColumn id="13" name="Evento _x000a_(2º Período)" dataDxfId="303"/>
    <tableColumn id="15" name="Horas Trabalhadas (1º Período)" dataDxfId="302">
      <calculatedColumnFormula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calculatedColumnFormula>
    </tableColumn>
    <tableColumn id="16" name="Horas Trabalhadas (2º Período)" dataDxfId="301">
      <calculatedColumnFormula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calculatedColumnFormula>
    </tableColumn>
    <tableColumn id="8" name="Horas Trabalhadas" dataDxfId="300">
      <calculatedColumnFormula>tblHorasMar[Horas Trabalhadas (1º Período)]+tblHorasMar[Horas Trabalhadas (2º Período)]</calculatedColumnFormula>
    </tableColumn>
    <tableColumn id="17" name="Jornada Diária" dataDxfId="299">
      <calculatedColumnFormula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calculatedColumnFormula>
    </tableColumn>
    <tableColumn id="11" name="Horas Trabalhadas Além Jornada" dataDxfId="298">
      <calculatedColumnFormula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calculatedColumnFormula>
    </tableColumn>
    <tableColumn id="18" name="Saldo de Horas" dataDxfId="297">
      <calculatedColumnFormula>IF(tblHorasMar[[#This Row],[Horas Trabalhadas Além Jornada]]&gt;0,
        IF(tblHorasMar[[#This Row],[Jornada Diária]]&lt;&gt;"",
              IF(HOUR(tblHorasMar[[#This Row],[Horas Trabalhadas Além Jornada]])&gt;=VLOOKUP(LIMITE,tblLimiteHora[],Tabelas!$I$1,FALSE),
                    VLOOKUP(LIMITE,tblLimiteHora[],Tabelas!$J$1,FALSE),
                    tblHorasMar[[#This Row],[Horas Trabalhadas Além Jornada]]),
              tblHorasMar[[#This Row],[Horas Trabalhadas Além Jornada]]),
        0)</calculatedColumnFormula>
    </tableColumn>
    <tableColumn id="20" name="Intervalo Almoço" dataDxfId="296">
      <calculatedColumnFormula>G9-F9</calculatedColumnFormula>
    </tableColumn>
    <tableColumn id="19" name="Atrasos_x000a_(horas)" dataDxfId="295">
      <calculatedColumnFormula>IF(tblHorasMar[Horas Trabalhadas Além Jornada]&lt;0,IF(OR(tblHorasMar[Evento 
(1º Período)]="",tblHorasMar[Evento 
(2º Período)]=""),tblHorasMar[Horas Trabalhadas Além Jornada],""),"")</calculatedColumnFormula>
    </tableColumn>
    <tableColumn id="14" name="Faltas_x000a_(dias)" dataDxfId="294">
      <calculatedColumnFormula>IF(tblHorasMar[Jornada Diária]&lt;&gt;"",IF((N(tblHorasMar[Jornada Diária])-ABS(N(tblHorasMar[Horas Trabalhadas Além Jornada])))=0,1,""),"")</calculatedColumnFormula>
    </tableColumn>
    <tableColumn id="10" name="Hora Extra Normal" dataDxfId="293">
      <calculatedColumnFormula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calculatedColumnFormula>
    </tableColumn>
    <tableColumn id="9" name="Hora Extra _x000a_Especial" dataDxfId="292">
      <calculatedColumnFormula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calculatedColumnFormula>
    </tableColumn>
    <tableColumn id="12" name="Informação" dataDxfId="291">
      <calculatedColumnFormula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8" name="tblHorasAbr" displayName="tblHorasAbr" ref="B8:U39" totalsRowShown="0" headerRowDxfId="277" dataDxfId="276">
  <tableColumns count="20">
    <tableColumn id="1" name="Data" dataDxfId="275">
      <calculatedColumnFormula>IF(B8&lt;&gt;"",IF(DAY(B8+1)=1,"",B8+1),"")</calculatedColumnFormula>
    </tableColumn>
    <tableColumn id="2" name="Dia" dataDxfId="274">
      <calculatedColumnFormula>TEXT(tblHorasAbr[Data],"ddd")</calculatedColumnFormula>
    </tableColumn>
    <tableColumn id="3" name="Evento _x000a_(1º Período)" dataDxfId="273"/>
    <tableColumn id="4" name="Entrada - 1" dataDxfId="272"/>
    <tableColumn id="5" name="Saída - 1 (Almoço)" dataDxfId="271"/>
    <tableColumn id="6" name="Entrada - 2 (Almoço)" dataDxfId="270"/>
    <tableColumn id="7" name="Saída - 2" dataDxfId="269"/>
    <tableColumn id="13" name="Evento _x000a_(2º Período)" dataDxfId="268"/>
    <tableColumn id="15" name="Horas Trabalhadas (1º Período)" dataDxfId="267">
      <calculatedColumnFormula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calculatedColumnFormula>
    </tableColumn>
    <tableColumn id="16" name="Horas Trabalhadas (2º Período)" dataDxfId="266">
      <calculatedColumnFormula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calculatedColumnFormula>
    </tableColumn>
    <tableColumn id="8" name="Horas Trabalhadas" dataDxfId="265">
      <calculatedColumnFormula>tblHorasAbr[Horas Trabalhadas (1º Período)]+tblHorasAbr[Horas Trabalhadas (2º Período)]</calculatedColumnFormula>
    </tableColumn>
    <tableColumn id="17" name="Jornada Diária" dataDxfId="264">
      <calculatedColumnFormula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calculatedColumnFormula>
    </tableColumn>
    <tableColumn id="11" name="Horas Trabalhadas Além Jornada" dataDxfId="263">
      <calculatedColumnFormula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calculatedColumnFormula>
    </tableColumn>
    <tableColumn id="18" name="Saldo de Horas" dataDxfId="262">
      <calculatedColumnFormula>IF(tblHorasAbr[[#This Row],[Horas Trabalhadas Além Jornada]]&gt;0,
        IF(tblHorasAbr[[#This Row],[Jornada Diária]]&lt;&gt;"",
              IF(HOUR(tblHorasAbr[[#This Row],[Horas Trabalhadas Além Jornada]])&gt;=VLOOKUP(LIMITE,tblLimiteHora[],Tabelas!$I$1,FALSE),
                    VLOOKUP(LIMITE,tblLimiteHora[],Tabelas!$J$1,FALSE),
                    tblHorasAbr[[#This Row],[Horas Trabalhadas Além Jornada]]),
              tblHorasAbr[[#This Row],[Horas Trabalhadas Além Jornada]]),
        0)</calculatedColumnFormula>
    </tableColumn>
    <tableColumn id="20" name="Intervalo Almoço" dataDxfId="261">
      <calculatedColumnFormula>G9-F9</calculatedColumnFormula>
    </tableColumn>
    <tableColumn id="19" name="Atrasos_x000a_(horas)" dataDxfId="260">
      <calculatedColumnFormula>IF(tblHorasAbr[Horas Trabalhadas Além Jornada]&lt;0,IF(OR(tblHorasAbr[Evento 
(1º Período)]="",tblHorasAbr[Evento 
(2º Período)]=""),tblHorasAbr[Horas Trabalhadas Além Jornada],""),"")</calculatedColumnFormula>
    </tableColumn>
    <tableColumn id="14" name="Faltas_x000a_(dias)" dataDxfId="259">
      <calculatedColumnFormula>IF(tblHorasAbr[Jornada Diária]&lt;&gt;"",IF((N(tblHorasAbr[Jornada Diária])-ABS(N(tblHorasAbr[Horas Trabalhadas Além Jornada])))=0,1,""),"")</calculatedColumnFormula>
    </tableColumn>
    <tableColumn id="10" name="Hora Extra Normal" dataDxfId="258">
      <calculatedColumnFormula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calculatedColumnFormula>
    </tableColumn>
    <tableColumn id="9" name="Hora Extra _x000a_Especial" dataDxfId="257">
      <calculatedColumnFormula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calculatedColumnFormula>
    </tableColumn>
    <tableColumn id="12" name="Informação" dataDxfId="256">
      <calculatedColumnFormula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9" name="tblHorasMai" displayName="tblHorasMai" ref="B8:U39" totalsRowShown="0" headerRowDxfId="245" dataDxfId="244">
  <tableColumns count="20">
    <tableColumn id="1" name="Data" dataDxfId="243">
      <calculatedColumnFormula>IF(B8&lt;&gt;"",IF(DAY(B8+1)=1,"",B8+1),"")</calculatedColumnFormula>
    </tableColumn>
    <tableColumn id="2" name="Dia" dataDxfId="242">
      <calculatedColumnFormula>TEXT(tblHorasMai[Data],"ddd")</calculatedColumnFormula>
    </tableColumn>
    <tableColumn id="3" name="Evento _x000a_(1º Período)" dataDxfId="241"/>
    <tableColumn id="4" name="Entrada - 1" dataDxfId="240"/>
    <tableColumn id="5" name="Saída - 1 (Almoço)" dataDxfId="239"/>
    <tableColumn id="6" name="Entrada - 2 (Almoço)" dataDxfId="238"/>
    <tableColumn id="7" name="Saída - 2" dataDxfId="237"/>
    <tableColumn id="13" name="Evento _x000a_(2º Período)" dataDxfId="236"/>
    <tableColumn id="15" name="Horas Trabalhadas (1º Período)" dataDxfId="235">
      <calculatedColumnFormula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calculatedColumnFormula>
    </tableColumn>
    <tableColumn id="16" name="Horas Trabalhadas (2º Período)" dataDxfId="234">
      <calculatedColumnFormula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calculatedColumnFormula>
    </tableColumn>
    <tableColumn id="8" name="Horas Trabalhadas" dataDxfId="233">
      <calculatedColumnFormula>tblHorasMai[Horas Trabalhadas (1º Período)]+tblHorasMai[Horas Trabalhadas (2º Período)]</calculatedColumnFormula>
    </tableColumn>
    <tableColumn id="17" name="Jornada Diária" dataDxfId="232">
      <calculatedColumnFormula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calculatedColumnFormula>
    </tableColumn>
    <tableColumn id="11" name="Horas Trabalhadas Além Jornada" dataDxfId="231">
      <calculatedColumnFormula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calculatedColumnFormula>
    </tableColumn>
    <tableColumn id="18" name="Saldo de Horas" dataDxfId="230">
      <calculatedColumnFormula>IF(tblHorasMai[[#This Row],[Horas Trabalhadas Além Jornada]]&gt;0,
        IF(tblHorasMai[[#This Row],[Jornada Diária]]&lt;&gt;"",
              IF(HOUR(tblHorasMai[[#This Row],[Horas Trabalhadas Além Jornada]])&gt;=VLOOKUP(LIMITE,tblLimiteHora[],Tabelas!$I$1,FALSE),
                    VLOOKUP(LIMITE,tblLimiteHora[],Tabelas!$J$1,FALSE),
                    tblHorasMai[[#This Row],[Horas Trabalhadas Além Jornada]]),
              tblHorasMai[[#This Row],[Horas Trabalhadas Além Jornada]]),
        0)</calculatedColumnFormula>
    </tableColumn>
    <tableColumn id="20" name="Intervalo Almoço" dataDxfId="229">
      <calculatedColumnFormula>G9-F9</calculatedColumnFormula>
    </tableColumn>
    <tableColumn id="19" name="Atrasos_x000a_(horas)" dataDxfId="228">
      <calculatedColumnFormula>IF(tblHorasMai[Horas Trabalhadas Além Jornada]&lt;0,IF(OR(tblHorasMai[Evento 
(1º Período)]="",tblHorasMai[Evento 
(2º Período)]=""),tblHorasMai[Horas Trabalhadas Além Jornada],""),"")</calculatedColumnFormula>
    </tableColumn>
    <tableColumn id="14" name="Faltas_x000a_(dias)" dataDxfId="227">
      <calculatedColumnFormula>IF(tblHorasMai[Jornada Diária]&lt;&gt;"",IF((N(tblHorasMai[Jornada Diária])-ABS(N(tblHorasMai[Horas Trabalhadas Além Jornada])))=0,1,""),"")</calculatedColumnFormula>
    </tableColumn>
    <tableColumn id="10" name="Hora Extra Normal" dataDxfId="226">
      <calculatedColumnFormula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calculatedColumnFormula>
    </tableColumn>
    <tableColumn id="9" name="Hora Extra _x000a_Especial" dataDxfId="225">
      <calculatedColumnFormula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calculatedColumnFormula>
    </tableColumn>
    <tableColumn id="12" name="Informação" dataDxfId="224">
      <calculatedColumnFormula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blHorasJun" displayName="tblHorasJun" ref="B8:U39" totalsRowShown="0" headerRowDxfId="213" dataDxfId="212">
  <tableColumns count="20">
    <tableColumn id="1" name="Data" dataDxfId="211">
      <calculatedColumnFormula>IF(B8&lt;&gt;"",IF(DAY(B8+1)=1,"",B8+1),"")</calculatedColumnFormula>
    </tableColumn>
    <tableColumn id="2" name="Dia" dataDxfId="210">
      <calculatedColumnFormula>TEXT(tblHorasJun[Data],"ddd")</calculatedColumnFormula>
    </tableColumn>
    <tableColumn id="3" name="Evento _x000a_(1º Período)" dataDxfId="209"/>
    <tableColumn id="4" name="Entrada - 1" dataDxfId="208"/>
    <tableColumn id="5" name="Saída - 1 (Almoço)" dataDxfId="207"/>
    <tableColumn id="6" name="Entrada - 2 (Almoço)" dataDxfId="206"/>
    <tableColumn id="7" name="Saída - 2" dataDxfId="205"/>
    <tableColumn id="13" name="Evento _x000a_(2º Período)" dataDxfId="204"/>
    <tableColumn id="15" name="Horas Trabalhadas (1º Período)" dataDxfId="203">
      <calculatedColumnFormula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calculatedColumnFormula>
    </tableColumn>
    <tableColumn id="16" name="Horas Trabalhadas (2º Período)" dataDxfId="202">
      <calculatedColumnFormula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calculatedColumnFormula>
    </tableColumn>
    <tableColumn id="8" name="Horas Trabalhadas" dataDxfId="201">
      <calculatedColumnFormula>tblHorasJun[Horas Trabalhadas (1º Período)]+tblHorasJun[Horas Trabalhadas (2º Período)]</calculatedColumnFormula>
    </tableColumn>
    <tableColumn id="17" name="Jornada Diária" dataDxfId="200">
      <calculatedColumnFormula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calculatedColumnFormula>
    </tableColumn>
    <tableColumn id="11" name="Horas Trabalhadas Além Jornada" dataDxfId="199">
      <calculatedColumnFormula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calculatedColumnFormula>
    </tableColumn>
    <tableColumn id="18" name="Saldo de Horas" dataDxfId="198">
      <calculatedColumnFormula>IF(tblHorasJun[[#This Row],[Horas Trabalhadas Além Jornada]]&gt;0,
        IF(tblHorasJun[[#This Row],[Jornada Diária]]&lt;&gt;"",
              IF(HOUR(tblHorasJun[[#This Row],[Horas Trabalhadas Além Jornada]])&gt;=VLOOKUP(LIMITE,tblLimiteHora[],Tabelas!$I$1,FALSE),
                    VLOOKUP(LIMITE,tblLimiteHora[],Tabelas!$J$1,FALSE),
                    tblHorasJun[[#This Row],[Horas Trabalhadas Além Jornada]]),
              tblHorasJun[[#This Row],[Horas Trabalhadas Além Jornada]]),
        0)</calculatedColumnFormula>
    </tableColumn>
    <tableColumn id="20" name="Intervalo Almoço" dataDxfId="197">
      <calculatedColumnFormula>G9-F9</calculatedColumnFormula>
    </tableColumn>
    <tableColumn id="19" name="Atrasos_x000a_(horas)" dataDxfId="196">
      <calculatedColumnFormula>IF(tblHorasJun[Horas Trabalhadas Além Jornada]&lt;0,IF(OR(tblHorasJun[Evento 
(1º Período)]="",tblHorasJun[Evento 
(2º Período)]=""),tblHorasJun[Horas Trabalhadas Além Jornada],""),"")</calculatedColumnFormula>
    </tableColumn>
    <tableColumn id="14" name="Faltas_x000a_(dias)" dataDxfId="195">
      <calculatedColumnFormula>IF(tblHorasJun[Jornada Diária]&lt;&gt;"",IF((N(tblHorasJun[Jornada Diária])-ABS(N(tblHorasJun[Horas Trabalhadas Além Jornada])))=0,1,""),"")</calculatedColumnFormula>
    </tableColumn>
    <tableColumn id="10" name="Hora Extra Normal" dataDxfId="194">
      <calculatedColumnFormula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calculatedColumnFormula>
    </tableColumn>
    <tableColumn id="9" name="Hora Extra _x000a_Especial" dataDxfId="193">
      <calculatedColumnFormula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calculatedColumnFormula>
    </tableColumn>
    <tableColumn id="12" name="Informação" dataDxfId="192">
      <calculatedColumnFormula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1" name="tblHorasJul" displayName="tblHorasJul" ref="B8:U39" totalsRowShown="0" headerRowDxfId="181" dataDxfId="180">
  <tableColumns count="20">
    <tableColumn id="1" name="Data" dataDxfId="179">
      <calculatedColumnFormula>IF(B8&lt;&gt;"",IF(DAY(B8+1)=1,"",B8+1),"")</calculatedColumnFormula>
    </tableColumn>
    <tableColumn id="2" name="Dia" dataDxfId="178">
      <calculatedColumnFormula>TEXT(tblHorasJul[Data],"ddd")</calculatedColumnFormula>
    </tableColumn>
    <tableColumn id="3" name="Evento _x000a_(1º Período)" dataDxfId="177"/>
    <tableColumn id="4" name="Entrada - 1" dataDxfId="176"/>
    <tableColumn id="5" name="Saída - 1 (Almoço)" dataDxfId="175"/>
    <tableColumn id="6" name="Entrada - 2 (Almoço)" dataDxfId="174"/>
    <tableColumn id="7" name="Saída - 2" dataDxfId="173"/>
    <tableColumn id="13" name="Evento _x000a_(2º Período)" dataDxfId="172"/>
    <tableColumn id="15" name="Horas Trabalhadas (1º Período)" dataDxfId="171">
      <calculatedColumnFormula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calculatedColumnFormula>
    </tableColumn>
    <tableColumn id="16" name="Horas Trabalhadas (2º Período)" dataDxfId="170">
      <calculatedColumnFormula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calculatedColumnFormula>
    </tableColumn>
    <tableColumn id="8" name="Horas Trabalhadas" dataDxfId="169">
      <calculatedColumnFormula>tblHorasJul[Horas Trabalhadas (1º Período)]+tblHorasJul[Horas Trabalhadas (2º Período)]</calculatedColumnFormula>
    </tableColumn>
    <tableColumn id="17" name="Jornada Diária" dataDxfId="168">
      <calculatedColumnFormula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calculatedColumnFormula>
    </tableColumn>
    <tableColumn id="11" name="Horas Trabalhadas Além Jornada" dataDxfId="167">
      <calculatedColumnFormula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calculatedColumnFormula>
    </tableColumn>
    <tableColumn id="18" name="Saldo de Horas" dataDxfId="166">
      <calculatedColumnFormula>IF(tblHorasJul[[#This Row],[Horas Trabalhadas Além Jornada]]&gt;0,
        IF(tblHorasJul[[#This Row],[Jornada Diária]]&lt;&gt;"",
              IF(HOUR(tblHorasJul[[#This Row],[Horas Trabalhadas Além Jornada]])&gt;=VLOOKUP(LIMITE,tblLimiteHora[],Tabelas!$I$1,FALSE),
                    VLOOKUP(LIMITE,tblLimiteHora[],Tabelas!$J$1,FALSE),
                    tblHorasJul[[#This Row],[Horas Trabalhadas Além Jornada]]),
              tblHorasJul[[#This Row],[Horas Trabalhadas Além Jornada]]),
        0)</calculatedColumnFormula>
    </tableColumn>
    <tableColumn id="20" name="Intervalo Almoço" dataDxfId="165">
      <calculatedColumnFormula>G9-F9</calculatedColumnFormula>
    </tableColumn>
    <tableColumn id="19" name="Atrasos_x000a_(horas)" dataDxfId="164">
      <calculatedColumnFormula>IF(tblHorasJul[Horas Trabalhadas Além Jornada]&lt;0,IF(OR(tblHorasJul[Evento 
(1º Período)]="",tblHorasJul[Evento 
(2º Período)]=""),tblHorasJul[Horas Trabalhadas Além Jornada],""),"")</calculatedColumnFormula>
    </tableColumn>
    <tableColumn id="14" name="Faltas_x000a_(dias)" dataDxfId="163">
      <calculatedColumnFormula>IF(tblHorasJul[Jornada Diária]&lt;&gt;"",IF((N(tblHorasJul[Jornada Diária])-ABS(N(tblHorasJul[Horas Trabalhadas Além Jornada])))=0,1,""),"")</calculatedColumnFormula>
    </tableColumn>
    <tableColumn id="10" name="Hora Extra Normal" dataDxfId="162">
      <calculatedColumnFormula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calculatedColumnFormula>
    </tableColumn>
    <tableColumn id="9" name="Hora Extra _x000a_Especial" dataDxfId="161">
      <calculatedColumnFormula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calculatedColumnFormula>
    </tableColumn>
    <tableColumn id="12" name="Informação" dataDxfId="160">
      <calculatedColumnFormula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2" name="tblHorasAgo" displayName="tblHorasAgo" ref="B8:U39" totalsRowShown="0" headerRowDxfId="149" dataDxfId="148">
  <tableColumns count="20">
    <tableColumn id="1" name="Data" dataDxfId="147">
      <calculatedColumnFormula>IF(B8&lt;&gt;"",IF(DAY(B8+1)=1,"",B8+1),"")</calculatedColumnFormula>
    </tableColumn>
    <tableColumn id="2" name="Dia" dataDxfId="146">
      <calculatedColumnFormula>TEXT(tblHorasAgo[Data],"ddd")</calculatedColumnFormula>
    </tableColumn>
    <tableColumn id="3" name="Evento _x000a_(1º Período)" dataDxfId="145"/>
    <tableColumn id="4" name="Entrada - 1" dataDxfId="144"/>
    <tableColumn id="5" name="Saída - 1 (Almoço)" dataDxfId="143"/>
    <tableColumn id="6" name="Entrada - 2 (Almoço)" dataDxfId="142"/>
    <tableColumn id="7" name="Saída - 2" dataDxfId="141"/>
    <tableColumn id="13" name="Evento _x000a_(2º Período)" dataDxfId="140"/>
    <tableColumn id="15" name="Horas Trabalhadas (1º Período)" dataDxfId="139">
      <calculatedColumnFormula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calculatedColumnFormula>
    </tableColumn>
    <tableColumn id="16" name="Horas Trabalhadas (2º Período)" dataDxfId="138">
      <calculatedColumnFormula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calculatedColumnFormula>
    </tableColumn>
    <tableColumn id="8" name="Horas Trabalhadas" dataDxfId="137">
      <calculatedColumnFormula>tblHorasAgo[Horas Trabalhadas (1º Período)]+tblHorasAgo[Horas Trabalhadas (2º Período)]</calculatedColumnFormula>
    </tableColumn>
    <tableColumn id="17" name="Jornada Diária" dataDxfId="136">
      <calculatedColumnFormula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calculatedColumnFormula>
    </tableColumn>
    <tableColumn id="11" name="Horas Trabalhadas Além Jornada" dataDxfId="135">
      <calculatedColumnFormula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calculatedColumnFormula>
    </tableColumn>
    <tableColumn id="18" name="Saldo de Horas" dataDxfId="134">
      <calculatedColumnFormula>IF(tblHorasAgo[[#This Row],[Horas Trabalhadas Além Jornada]]&gt;0,
        IF(tblHorasAgo[[#This Row],[Jornada Diária]]&lt;&gt;"",
              IF(HOUR(tblHorasAgo[[#This Row],[Horas Trabalhadas Além Jornada]])&gt;=VLOOKUP(LIMITE,tblLimiteHora[],Tabelas!$I$1,FALSE),
                    VLOOKUP(LIMITE,tblLimiteHora[],Tabelas!$J$1,FALSE),
                    tblHorasAgo[[#This Row],[Horas Trabalhadas Além Jornada]]),
              tblHorasAgo[[#This Row],[Horas Trabalhadas Além Jornada]]),
        0)</calculatedColumnFormula>
    </tableColumn>
    <tableColumn id="20" name="Intervalo Almoço" dataDxfId="133">
      <calculatedColumnFormula>G9-F9</calculatedColumnFormula>
    </tableColumn>
    <tableColumn id="19" name="Atrasos_x000a_(horas)" dataDxfId="132">
      <calculatedColumnFormula>IF(tblHorasAgo[Horas Trabalhadas Além Jornada]&lt;0,IF(OR(tblHorasAgo[Evento 
(1º Período)]="",tblHorasAgo[Evento 
(2º Período)]=""),tblHorasAgo[Horas Trabalhadas Além Jornada],""),"")</calculatedColumnFormula>
    </tableColumn>
    <tableColumn id="14" name="Faltas_x000a_(dias)" dataDxfId="131">
      <calculatedColumnFormula>IF(tblHorasAgo[Jornada Diária]&lt;&gt;"",IF((N(tblHorasAgo[Jornada Diária])-ABS(N(tblHorasAgo[Horas Trabalhadas Além Jornada])))=0,1,""),"")</calculatedColumnFormula>
    </tableColumn>
    <tableColumn id="10" name="Hora Extra Normal" dataDxfId="130">
      <calculatedColumnFormula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calculatedColumnFormula>
    </tableColumn>
    <tableColumn id="9" name="Hora Extra _x000a_Especial" dataDxfId="129">
      <calculatedColumnFormula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calculatedColumnFormula>
    </tableColumn>
    <tableColumn id="12" name="Informação" dataDxfId="128">
      <calculatedColumnFormula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3" name="tblHorasSet" displayName="tblHorasSet" ref="B8:U39" totalsRowShown="0" headerRowDxfId="117" dataDxfId="116">
  <tableColumns count="20">
    <tableColumn id="1" name="Data" dataDxfId="115">
      <calculatedColumnFormula>IF(B8&lt;&gt;"",IF(DAY(B8+1)=1,"",B8+1),"")</calculatedColumnFormula>
    </tableColumn>
    <tableColumn id="2" name="Dia" dataDxfId="114">
      <calculatedColumnFormula>TEXT(tblHorasSet[Data],"ddd")</calculatedColumnFormula>
    </tableColumn>
    <tableColumn id="3" name="Evento _x000a_(1º Período)" dataDxfId="113"/>
    <tableColumn id="4" name="Entrada - 1" dataDxfId="112"/>
    <tableColumn id="5" name="Saída - 1 (Almoço)" dataDxfId="111"/>
    <tableColumn id="6" name="Entrada - 2 (Almoço)" dataDxfId="110"/>
    <tableColumn id="7" name="Saída - 2" dataDxfId="109"/>
    <tableColumn id="13" name="Evento _x000a_(2º Período)" dataDxfId="108"/>
    <tableColumn id="15" name="Horas Trabalhadas (1º Período)" dataDxfId="107">
      <calculatedColumnFormula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calculatedColumnFormula>
    </tableColumn>
    <tableColumn id="16" name="Horas Trabalhadas (2º Período)" dataDxfId="106">
      <calculatedColumnFormula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calculatedColumnFormula>
    </tableColumn>
    <tableColumn id="8" name="Horas Trabalhadas" dataDxfId="105">
      <calculatedColumnFormula>tblHorasSet[Horas Trabalhadas (1º Período)]+tblHorasSet[Horas Trabalhadas (2º Período)]</calculatedColumnFormula>
    </tableColumn>
    <tableColumn id="17" name="Jornada Diária" dataDxfId="104">
      <calculatedColumnFormula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calculatedColumnFormula>
    </tableColumn>
    <tableColumn id="11" name="Horas Trabalhadas Além Jornada" dataDxfId="103">
      <calculatedColumnFormula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calculatedColumnFormula>
    </tableColumn>
    <tableColumn id="18" name="Saldo de Horas" dataDxfId="102">
      <calculatedColumnFormula>IF(tblHorasSet[[#This Row],[Horas Trabalhadas Além Jornada]]&gt;0,
        IF(tblHorasSet[[#This Row],[Jornada Diária]]&lt;&gt;"",
              IF(HOUR(tblHorasSet[[#This Row],[Horas Trabalhadas Além Jornada]])&gt;=VLOOKUP(LIMITE,tblLimiteHora[],Tabelas!$I$1,FALSE),
                    VLOOKUP(LIMITE,tblLimiteHora[],Tabelas!$J$1,FALSE),
                    tblHorasSet[[#This Row],[Horas Trabalhadas Além Jornada]]),
              tblHorasSet[[#This Row],[Horas Trabalhadas Além Jornada]]),
        0)</calculatedColumnFormula>
    </tableColumn>
    <tableColumn id="20" name="Intervalo Almoço" dataDxfId="101">
      <calculatedColumnFormula>G9-F9</calculatedColumnFormula>
    </tableColumn>
    <tableColumn id="19" name="Atrasos_x000a_(horas)" dataDxfId="100">
      <calculatedColumnFormula>IF(tblHorasSet[Horas Trabalhadas Além Jornada]&lt;0,IF(OR(tblHorasSet[Evento 
(1º Período)]="",tblHorasSet[Evento 
(2º Período)]=""),tblHorasSet[Horas Trabalhadas Além Jornada],""),"")</calculatedColumnFormula>
    </tableColumn>
    <tableColumn id="14" name="Faltas_x000a_(dias)" dataDxfId="99">
      <calculatedColumnFormula>IF(tblHorasSet[Jornada Diária]&lt;&gt;"",IF((N(tblHorasSet[Jornada Diária])-ABS(N(tblHorasSet[Horas Trabalhadas Além Jornada])))=0,1,""),"")</calculatedColumnFormula>
    </tableColumn>
    <tableColumn id="10" name="Hora Extra Normal" dataDxfId="98">
      <calculatedColumnFormula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calculatedColumnFormula>
    </tableColumn>
    <tableColumn id="9" name="Hora Extra _x000a_Especial" dataDxfId="97">
      <calculatedColumnFormula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calculatedColumnFormula>
    </tableColumn>
    <tableColumn id="12" name="Informação" dataDxfId="96">
      <calculatedColumnFormula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4" name="tblHorasOut" displayName="tblHorasOut" ref="B8:U39" totalsRowShown="0" headerRowDxfId="85" dataDxfId="84">
  <tableColumns count="20">
    <tableColumn id="1" name="Data" dataDxfId="83">
      <calculatedColumnFormula>IF(B8&lt;&gt;"",IF(DAY(B8+1)=1,"",B8+1),"")</calculatedColumnFormula>
    </tableColumn>
    <tableColumn id="2" name="Dia" dataDxfId="82">
      <calculatedColumnFormula>TEXT(tblHorasOut[Data],"ddd")</calculatedColumnFormula>
    </tableColumn>
    <tableColumn id="3" name="Evento _x000a_(1º Período)" dataDxfId="81"/>
    <tableColumn id="4" name="Entrada - 1" dataDxfId="80"/>
    <tableColumn id="5" name="Saída - 1 (Almoço)" dataDxfId="79"/>
    <tableColumn id="6" name="Entrada - 2 (Almoço)" dataDxfId="78"/>
    <tableColumn id="7" name="Saída - 2" dataDxfId="77"/>
    <tableColumn id="13" name="Evento _x000a_(2º Período)" dataDxfId="76"/>
    <tableColumn id="15" name="Horas Trabalhadas (1º Período)" dataDxfId="75">
      <calculatedColumnFormula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calculatedColumnFormula>
    </tableColumn>
    <tableColumn id="16" name="Horas Trabalhadas (2º Período)" dataDxfId="74">
      <calculatedColumnFormula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calculatedColumnFormula>
    </tableColumn>
    <tableColumn id="8" name="Horas Trabalhadas" dataDxfId="73">
      <calculatedColumnFormula>tblHorasOut[Horas Trabalhadas (1º Período)]+tblHorasOut[Horas Trabalhadas (2º Período)]</calculatedColumnFormula>
    </tableColumn>
    <tableColumn id="17" name="Jornada Diária" dataDxfId="72">
      <calculatedColumnFormula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calculatedColumnFormula>
    </tableColumn>
    <tableColumn id="11" name="Horas Trabalhadas Além Jornada" dataDxfId="71">
      <calculatedColumnFormula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calculatedColumnFormula>
    </tableColumn>
    <tableColumn id="18" name="Saldo de Horas" dataDxfId="70">
      <calculatedColumnFormula>IF(tblHorasOut[[#This Row],[Horas Trabalhadas Além Jornada]]&gt;0,
        IF(tblHorasOut[[#This Row],[Jornada Diária]]&lt;&gt;"",
              IF(HOUR(tblHorasOut[[#This Row],[Horas Trabalhadas Além Jornada]])&gt;=VLOOKUP(LIMITE,tblLimiteHora[],Tabelas!$I$1,FALSE),
                    VLOOKUP(LIMITE,tblLimiteHora[],Tabelas!$J$1,FALSE),
                    tblHorasOut[[#This Row],[Horas Trabalhadas Além Jornada]]),
              tblHorasOut[[#This Row],[Horas Trabalhadas Além Jornada]]),
        0)</calculatedColumnFormula>
    </tableColumn>
    <tableColumn id="20" name="Intervalo Almoço" dataDxfId="69">
      <calculatedColumnFormula>G9-F9</calculatedColumnFormula>
    </tableColumn>
    <tableColumn id="19" name="Atrasos_x000a_(horas)" dataDxfId="68">
      <calculatedColumnFormula>IF(tblHorasOut[Horas Trabalhadas Além Jornada]&lt;0,IF(OR(tblHorasOut[Evento 
(1º Período)]="",tblHorasOut[Evento 
(2º Período)]=""),tblHorasOut[Horas Trabalhadas Além Jornada],""),"")</calculatedColumnFormula>
    </tableColumn>
    <tableColumn id="14" name="Faltas_x000a_(dias)" dataDxfId="67">
      <calculatedColumnFormula>IF(tblHorasOut[Jornada Diária]&lt;&gt;"",IF((N(tblHorasOut[Jornada Diária])-ABS(N(tblHorasOut[Horas Trabalhadas Além Jornada])))=0,1,""),"")</calculatedColumnFormula>
    </tableColumn>
    <tableColumn id="10" name="Hora Extra Normal" dataDxfId="66">
      <calculatedColumnFormula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calculatedColumnFormula>
    </tableColumn>
    <tableColumn id="9" name="Hora Extra _x000a_Especial" dataDxfId="65">
      <calculatedColumnFormula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calculatedColumnFormula>
    </tableColumn>
    <tableColumn id="12" name="Informação" dataDxfId="64">
      <calculatedColumnFormula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5" name="tblHorasNov" displayName="tblHorasNov" ref="B8:U39" totalsRowShown="0" headerRowDxfId="53" dataDxfId="52">
  <tableColumns count="20">
    <tableColumn id="1" name="Data" dataDxfId="51">
      <calculatedColumnFormula>IF(B8&lt;&gt;"",IF(DAY(B8+1)=1,"",B8+1),"")</calculatedColumnFormula>
    </tableColumn>
    <tableColumn id="2" name="Dia" dataDxfId="50">
      <calculatedColumnFormula>TEXT(tblHorasNov[Data],"ddd")</calculatedColumnFormula>
    </tableColumn>
    <tableColumn id="3" name="Evento _x000a_(1º Período)" dataDxfId="49"/>
    <tableColumn id="4" name="Entrada - 1" dataDxfId="48"/>
    <tableColumn id="5" name="Saída - 1 (Almoço)" dataDxfId="47"/>
    <tableColumn id="6" name="Entrada - 2 (Almoço)" dataDxfId="46"/>
    <tableColumn id="7" name="Saída - 2" dataDxfId="45"/>
    <tableColumn id="13" name="Evento _x000a_(2º Período)" dataDxfId="44"/>
    <tableColumn id="15" name="Horas Trabalhadas (1º Período)" dataDxfId="43">
      <calculatedColumnFormula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calculatedColumnFormula>
    </tableColumn>
    <tableColumn id="16" name="Horas Trabalhadas (2º Período)" dataDxfId="42">
      <calculatedColumnFormula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calculatedColumnFormula>
    </tableColumn>
    <tableColumn id="8" name="Horas Trabalhadas" dataDxfId="41">
      <calculatedColumnFormula>tblHorasNov[Horas Trabalhadas (1º Período)]+tblHorasNov[Horas Trabalhadas (2º Período)]</calculatedColumnFormula>
    </tableColumn>
    <tableColumn id="17" name="Jornada Diária" dataDxfId="40">
      <calculatedColumnFormula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calculatedColumnFormula>
    </tableColumn>
    <tableColumn id="11" name="Horas Trabalhadas Além Jornada" dataDxfId="39">
      <calculatedColumnFormula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calculatedColumnFormula>
    </tableColumn>
    <tableColumn id="18" name="Saldo de Horas" dataDxfId="38">
      <calculatedColumnFormula>IF(tblHorasNov[[#This Row],[Horas Trabalhadas Além Jornada]]&gt;0,
        IF(tblHorasNov[[#This Row],[Jornada Diária]]&lt;&gt;"",
              IF(HOUR(tblHorasNov[[#This Row],[Horas Trabalhadas Além Jornada]])&gt;=VLOOKUP(LIMITE,tblLimiteHora[],Tabelas!$I$1,FALSE),
                    VLOOKUP(LIMITE,tblLimiteHora[],Tabelas!$J$1,FALSE),
                    tblHorasNov[[#This Row],[Horas Trabalhadas Além Jornada]]),
              tblHorasNov[[#This Row],[Horas Trabalhadas Além Jornada]]),
        0)</calculatedColumnFormula>
    </tableColumn>
    <tableColumn id="20" name="Intervalo Almoço" dataDxfId="37">
      <calculatedColumnFormula>G9-F9</calculatedColumnFormula>
    </tableColumn>
    <tableColumn id="19" name="Atrasos_x000a_(horas)" dataDxfId="36">
      <calculatedColumnFormula>IF(tblHorasNov[Horas Trabalhadas Além Jornada]&lt;0,IF(OR(tblHorasNov[Evento 
(1º Período)]="",tblHorasNov[Evento 
(2º Período)]=""),tblHorasNov[Horas Trabalhadas Além Jornada],""),"")</calculatedColumnFormula>
    </tableColumn>
    <tableColumn id="14" name="Faltas_x000a_(dias)" dataDxfId="35">
      <calculatedColumnFormula>IF(tblHorasNov[Jornada Diária]&lt;&gt;"",IF((N(tblHorasNov[Jornada Diária])-ABS(N(tblHorasNov[Horas Trabalhadas Além Jornada])))=0,1,""),"")</calculatedColumnFormula>
    </tableColumn>
    <tableColumn id="10" name="Hora Extra Normal" dataDxfId="34">
      <calculatedColumnFormula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calculatedColumnFormula>
    </tableColumn>
    <tableColumn id="9" name="Hora Extra _x000a_Especial" dataDxfId="33">
      <calculatedColumnFormula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calculatedColumnFormula>
    </tableColumn>
    <tableColumn id="12" name="Informação" dataDxfId="32">
      <calculatedColumnFormula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8.xml><?xml version="1.0" encoding="utf-8"?>
<table xmlns="http://schemas.openxmlformats.org/spreadsheetml/2006/main" id="16" name="tblHorasDez" displayName="tblHorasDez" ref="B8:U39" totalsRowShown="0" headerRowDxfId="21" dataDxfId="20">
  <tableColumns count="20">
    <tableColumn id="1" name="Data" dataDxfId="19">
      <calculatedColumnFormula>IF(B8&lt;&gt;"",IF(DAY(B8+1)=1,"",B8+1),"")</calculatedColumnFormula>
    </tableColumn>
    <tableColumn id="2" name="Dia" dataDxfId="18">
      <calculatedColumnFormula>TEXT(tblHorasDez[Data],"ddd")</calculatedColumnFormula>
    </tableColumn>
    <tableColumn id="3" name="Evento _x000a_(1º Período)" dataDxfId="17"/>
    <tableColumn id="4" name="Entrada - 1" dataDxfId="16"/>
    <tableColumn id="5" name="Saída - 1 (Almoço)" dataDxfId="15"/>
    <tableColumn id="6" name="Entrada - 2 (Almoço)" dataDxfId="14"/>
    <tableColumn id="7" name="Saída - 2" dataDxfId="13"/>
    <tableColumn id="13" name="Evento _x000a_(2º Período)" dataDxfId="12"/>
    <tableColumn id="15" name="Horas Trabalhadas (1º Período)" dataDxfId="11">
      <calculatedColumnFormula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calculatedColumnFormula>
    </tableColumn>
    <tableColumn id="16" name="Horas Trabalhadas (2º Período)" dataDxfId="10">
      <calculatedColumnFormula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calculatedColumnFormula>
    </tableColumn>
    <tableColumn id="8" name="Horas Trabalhadas" dataDxfId="9">
      <calculatedColumnFormula>tblHorasDez[Horas Trabalhadas (1º Período)]+tblHorasDez[Horas Trabalhadas (2º Período)]</calculatedColumnFormula>
    </tableColumn>
    <tableColumn id="17" name="Jornada Diária" dataDxfId="8">
      <calculatedColumnFormula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calculatedColumnFormula>
    </tableColumn>
    <tableColumn id="11" name="Horas Trabalhadas Além Jornada" dataDxfId="7">
      <calculatedColumnFormula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calculatedColumnFormula>
    </tableColumn>
    <tableColumn id="18" name="Saldo de Horas" dataDxfId="6">
      <calculatedColumnFormula>IF(tblHorasDez[[#This Row],[Horas Trabalhadas Além Jornada]]&gt;0,
        IF(tblHorasDez[[#This Row],[Jornada Diária]]&lt;&gt;"",
              IF(HOUR(tblHorasDez[[#This Row],[Horas Trabalhadas Além Jornada]])&gt;=VLOOKUP(LIMITE,tblLimiteHora[],Tabelas!$I$1,FALSE),
                    VLOOKUP(LIMITE,tblLimiteHora[],Tabelas!$J$1,FALSE),
                    tblHorasDez[[#This Row],[Horas Trabalhadas Além Jornada]]),
              tblHorasDez[[#This Row],[Horas Trabalhadas Além Jornada]]),
        0)</calculatedColumnFormula>
    </tableColumn>
    <tableColumn id="20" name="Intervalo Almoço" dataDxfId="5">
      <calculatedColumnFormula>G9-F9</calculatedColumnFormula>
    </tableColumn>
    <tableColumn id="19" name="Atrasos_x000a_(horas)" dataDxfId="4">
      <calculatedColumnFormula>IF(tblHorasDez[Horas Trabalhadas Além Jornada]&lt;0,IF(OR(tblHorasDez[Evento 
(1º Período)]="",tblHorasDez[Evento 
(2º Período)]=""),tblHorasDez[Horas Trabalhadas Além Jornada],""),"")</calculatedColumnFormula>
    </tableColumn>
    <tableColumn id="14" name="Faltas_x000a_(dias)" dataDxfId="3">
      <calculatedColumnFormula>IF(tblHorasDez[Jornada Diária]&lt;&gt;"",IF((N(tblHorasDez[Jornada Diária])-ABS(N(tblHorasDez[Horas Trabalhadas Além Jornada])))=0,1,""),"")</calculatedColumnFormula>
    </tableColumn>
    <tableColumn id="10" name="Hora Extra Normal" dataDxfId="2">
      <calculatedColumnFormula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calculatedColumnFormula>
    </tableColumn>
    <tableColumn id="9" name="Hora Extra _x000a_Especial" dataDxfId="1">
      <calculatedColumnFormula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calculatedColumnFormula>
    </tableColumn>
    <tableColumn id="12" name="Informação" dataDxfId="0">
      <calculatedColumnFormula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opLeftCell="A2" workbookViewId="0">
      <selection activeCell="B3" sqref="B3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 customWidth="1"/>
    <col min="12" max="12" width="12.5703125" style="5" hidden="1" customWidth="1"/>
    <col min="13" max="14" width="9.140625" style="5" customWidth="1"/>
    <col min="15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6" t="s">
        <v>31</v>
      </c>
      <c r="C3" s="36" t="s">
        <v>30</v>
      </c>
      <c r="D3" s="36" t="s">
        <v>30</v>
      </c>
      <c r="E3" s="36"/>
      <c r="F3" s="23" t="s">
        <v>11</v>
      </c>
      <c r="H3" s="37" t="str">
        <f>tblLimiteHora[[#This Row],[Limite]]&amp;"h diárias"</f>
        <v>2h diárias</v>
      </c>
      <c r="I3" s="38">
        <v>2</v>
      </c>
      <c r="J3" s="1">
        <v>8.3333333333333329E-2</v>
      </c>
      <c r="L3" s="31" t="s">
        <v>63</v>
      </c>
    </row>
    <row r="4" spans="1:12" x14ac:dyDescent="0.25">
      <c r="A4" s="5" t="s">
        <v>24</v>
      </c>
      <c r="B4" s="36" t="s">
        <v>31</v>
      </c>
      <c r="C4" s="36" t="s">
        <v>30</v>
      </c>
      <c r="D4" s="36" t="s">
        <v>30</v>
      </c>
      <c r="E4" s="36"/>
      <c r="F4" s="23" t="s">
        <v>9</v>
      </c>
      <c r="H4" s="12" t="s">
        <v>15</v>
      </c>
      <c r="I4" s="12">
        <v>9999</v>
      </c>
      <c r="J4" s="13">
        <v>0</v>
      </c>
      <c r="L4" s="31" t="s">
        <v>64</v>
      </c>
    </row>
    <row r="5" spans="1:12" x14ac:dyDescent="0.25">
      <c r="A5" s="5" t="s">
        <v>53</v>
      </c>
      <c r="B5" s="36" t="s">
        <v>31</v>
      </c>
      <c r="C5" s="36" t="s">
        <v>30</v>
      </c>
      <c r="D5" s="36" t="s">
        <v>30</v>
      </c>
      <c r="E5" s="36"/>
      <c r="F5" s="23" t="s">
        <v>54</v>
      </c>
      <c r="L5" s="31" t="s">
        <v>65</v>
      </c>
    </row>
    <row r="6" spans="1:12" x14ac:dyDescent="0.25">
      <c r="A6" s="5" t="s">
        <v>89</v>
      </c>
      <c r="B6" s="36" t="s">
        <v>31</v>
      </c>
      <c r="C6" s="36" t="s">
        <v>30</v>
      </c>
      <c r="D6" s="36" t="s">
        <v>31</v>
      </c>
      <c r="E6" s="36"/>
      <c r="F6" s="23" t="s">
        <v>90</v>
      </c>
      <c r="L6" s="31" t="s">
        <v>66</v>
      </c>
    </row>
    <row r="7" spans="1:12" x14ac:dyDescent="0.25">
      <c r="A7" s="5" t="s">
        <v>29</v>
      </c>
      <c r="B7" s="36" t="s">
        <v>31</v>
      </c>
      <c r="C7" s="36" t="s">
        <v>30</v>
      </c>
      <c r="D7" s="36" t="s">
        <v>30</v>
      </c>
      <c r="E7" s="36"/>
      <c r="F7" s="23" t="s">
        <v>8</v>
      </c>
      <c r="L7" s="31" t="s">
        <v>67</v>
      </c>
    </row>
    <row r="8" spans="1:12" x14ac:dyDescent="0.25">
      <c r="A8" s="5" t="s">
        <v>28</v>
      </c>
      <c r="B8" s="36" t="s">
        <v>31</v>
      </c>
      <c r="C8" s="36" t="s">
        <v>30</v>
      </c>
      <c r="D8" s="36" t="s">
        <v>31</v>
      </c>
      <c r="E8" s="36"/>
      <c r="F8" s="23" t="s">
        <v>22</v>
      </c>
      <c r="L8" s="31" t="s">
        <v>68</v>
      </c>
    </row>
    <row r="9" spans="1:12" x14ac:dyDescent="0.25">
      <c r="A9" s="5" t="s">
        <v>2</v>
      </c>
      <c r="B9" s="36" t="s">
        <v>30</v>
      </c>
      <c r="C9" s="36" t="s">
        <v>31</v>
      </c>
      <c r="D9" s="36"/>
      <c r="E9" s="36" t="s">
        <v>30</v>
      </c>
      <c r="F9" s="23" t="s">
        <v>2</v>
      </c>
      <c r="L9" s="31" t="s">
        <v>69</v>
      </c>
    </row>
    <row r="10" spans="1:12" x14ac:dyDescent="0.25">
      <c r="A10" s="5" t="s">
        <v>12</v>
      </c>
      <c r="B10" s="36" t="s">
        <v>30</v>
      </c>
      <c r="C10" s="36" t="s">
        <v>31</v>
      </c>
      <c r="D10" s="36"/>
      <c r="E10" s="36" t="s">
        <v>30</v>
      </c>
      <c r="F10" s="23" t="s">
        <v>12</v>
      </c>
      <c r="L10" s="31" t="s">
        <v>70</v>
      </c>
    </row>
    <row r="11" spans="1:12" x14ac:dyDescent="0.25">
      <c r="A11" s="5" t="s">
        <v>27</v>
      </c>
      <c r="B11" s="36" t="s">
        <v>31</v>
      </c>
      <c r="C11" s="36" t="s">
        <v>30</v>
      </c>
      <c r="D11" s="36" t="s">
        <v>30</v>
      </c>
      <c r="E11" s="36"/>
      <c r="F11" s="23" t="s">
        <v>16</v>
      </c>
      <c r="L11" s="31" t="s">
        <v>71</v>
      </c>
    </row>
    <row r="12" spans="1:12" x14ac:dyDescent="0.25">
      <c r="A12" s="5" t="s">
        <v>26</v>
      </c>
      <c r="B12" s="36" t="s">
        <v>31</v>
      </c>
      <c r="C12" s="36" t="s">
        <v>30</v>
      </c>
      <c r="D12" s="36" t="s">
        <v>30</v>
      </c>
      <c r="E12" s="36"/>
      <c r="F12" s="23" t="s">
        <v>17</v>
      </c>
      <c r="L12" s="31" t="s">
        <v>72</v>
      </c>
    </row>
    <row r="13" spans="1:12" x14ac:dyDescent="0.25">
      <c r="A13" s="5" t="s">
        <v>60</v>
      </c>
      <c r="B13" s="36" t="s">
        <v>30</v>
      </c>
      <c r="C13" s="36" t="s">
        <v>31</v>
      </c>
      <c r="D13" s="36" t="s">
        <v>30</v>
      </c>
      <c r="E13" s="36"/>
      <c r="F13" s="23" t="s">
        <v>61</v>
      </c>
      <c r="L13" s="31" t="s">
        <v>73</v>
      </c>
    </row>
    <row r="14" spans="1:12" x14ac:dyDescent="0.25">
      <c r="L14" s="31" t="s">
        <v>74</v>
      </c>
    </row>
  </sheetData>
  <sheetProtection algorithmName="SHA-512" hashValue="CKu0/t4vMme5U2Hi/kkaPoLX5eARvHRahQDmDnlWsrSGYZKLJokE6saF8DwwtwiWOlExSOcE+CLA1X8WP3WnSw==" saltValue="Nt7MJ2uml9V1KJkb0GkceQ==" spinCount="100000" sheet="1" formatCells="0" formatColumns="0" formatRows="0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G23"/>
  <sheetViews>
    <sheetView showGridLines="0" workbookViewId="0">
      <selection activeCell="D7" sqref="D7"/>
    </sheetView>
  </sheetViews>
  <sheetFormatPr defaultRowHeight="15" x14ac:dyDescent="0.25"/>
  <cols>
    <col min="1" max="1" width="9.140625" style="5"/>
    <col min="2" max="2" width="18" style="5" customWidth="1"/>
    <col min="3" max="3" width="18" style="5" hidden="1" customWidth="1"/>
    <col min="4" max="4" width="16.7109375" style="5" customWidth="1"/>
    <col min="5" max="7" width="12.7109375" style="5" customWidth="1"/>
    <col min="8" max="9" width="9.140625" style="5"/>
    <col min="10" max="14" width="9.140625" style="5" customWidth="1"/>
    <col min="15" max="16384" width="9.140625" style="5"/>
  </cols>
  <sheetData>
    <row r="1" spans="2:7" x14ac:dyDescent="0.25">
      <c r="B1" s="67" t="s">
        <v>21</v>
      </c>
      <c r="C1" s="68"/>
      <c r="D1" s="69"/>
    </row>
    <row r="3" spans="2:7" ht="15.75" thickBot="1" x14ac:dyDescent="0.3">
      <c r="B3" s="19" t="s">
        <v>19</v>
      </c>
      <c r="C3" s="33"/>
      <c r="D3" s="2" t="s">
        <v>18</v>
      </c>
    </row>
    <row r="5" spans="2:7" ht="15.75" thickBot="1" x14ac:dyDescent="0.3">
      <c r="B5" s="19" t="s">
        <v>32</v>
      </c>
      <c r="C5" s="33"/>
      <c r="D5" s="27">
        <v>6.9444444444444441E-3</v>
      </c>
      <c r="E5" s="20" t="s">
        <v>56</v>
      </c>
    </row>
    <row r="7" spans="2:7" ht="15.75" thickBot="1" x14ac:dyDescent="0.3">
      <c r="B7" s="19" t="s">
        <v>37</v>
      </c>
      <c r="C7" s="33"/>
      <c r="D7" s="3">
        <v>0.33333333333333331</v>
      </c>
    </row>
    <row r="9" spans="2:7" ht="15.75" thickBot="1" x14ac:dyDescent="0.3">
      <c r="B9" s="70" t="s">
        <v>38</v>
      </c>
      <c r="C9" s="71"/>
      <c r="D9" s="71"/>
      <c r="E9" s="71"/>
      <c r="F9" s="71"/>
      <c r="G9" s="71"/>
    </row>
    <row r="10" spans="2:7" ht="15.75" thickBot="1" x14ac:dyDescent="0.3">
      <c r="B10" s="54"/>
      <c r="C10" s="54"/>
      <c r="D10" s="54"/>
      <c r="E10" s="72" t="s">
        <v>77</v>
      </c>
      <c r="F10" s="73"/>
      <c r="G10" s="74"/>
    </row>
    <row r="11" spans="2:7" ht="30" customHeight="1" x14ac:dyDescent="0.25">
      <c r="B11" s="9" t="s">
        <v>85</v>
      </c>
      <c r="C11" s="9" t="s">
        <v>86</v>
      </c>
      <c r="D11" s="9" t="s">
        <v>75</v>
      </c>
      <c r="E11" s="55" t="s">
        <v>103</v>
      </c>
      <c r="F11" s="56" t="s">
        <v>104</v>
      </c>
      <c r="G11" s="57" t="s">
        <v>105</v>
      </c>
    </row>
    <row r="12" spans="2:7" x14ac:dyDescent="0.25">
      <c r="B12" s="21" t="s">
        <v>41</v>
      </c>
      <c r="C12" s="21" t="s">
        <v>78</v>
      </c>
      <c r="D12" s="22" t="s">
        <v>30</v>
      </c>
      <c r="E12" s="61"/>
      <c r="F12" s="63"/>
      <c r="G12" s="64" t="str">
        <f>IF(tblDiaUtil[[#This Row],[1º Período]]+tblDiaUtil[[#This Row],[2º Período]]&gt;0,tblDiaUtil[[#This Row],[1º Período]]+tblDiaUtil[[#This Row],[2º Período]],"")</f>
        <v/>
      </c>
    </row>
    <row r="13" spans="2:7" x14ac:dyDescent="0.25">
      <c r="B13" s="21" t="s">
        <v>42</v>
      </c>
      <c r="C13" s="21" t="s">
        <v>79</v>
      </c>
      <c r="D13" s="22" t="s">
        <v>30</v>
      </c>
      <c r="E13" s="61"/>
      <c r="F13" s="63"/>
      <c r="G13" s="64" t="str">
        <f>IF(tblDiaUtil[[#This Row],[1º Período]]+tblDiaUtil[[#This Row],[2º Período]]&gt;0,tblDiaUtil[[#This Row],[1º Período]]+tblDiaUtil[[#This Row],[2º Período]],"")</f>
        <v/>
      </c>
    </row>
    <row r="14" spans="2:7" x14ac:dyDescent="0.25">
      <c r="B14" s="21" t="s">
        <v>43</v>
      </c>
      <c r="C14" s="21" t="s">
        <v>80</v>
      </c>
      <c r="D14" s="22" t="s">
        <v>30</v>
      </c>
      <c r="E14" s="61"/>
      <c r="F14" s="63"/>
      <c r="G14" s="64" t="str">
        <f>IF(tblDiaUtil[[#This Row],[1º Período]]+tblDiaUtil[[#This Row],[2º Período]]&gt;0,tblDiaUtil[[#This Row],[1º Período]]+tblDiaUtil[[#This Row],[2º Período]],"")</f>
        <v/>
      </c>
    </row>
    <row r="15" spans="2:7" x14ac:dyDescent="0.25">
      <c r="B15" s="21" t="s">
        <v>44</v>
      </c>
      <c r="C15" s="21" t="s">
        <v>81</v>
      </c>
      <c r="D15" s="22" t="s">
        <v>30</v>
      </c>
      <c r="E15" s="61"/>
      <c r="F15" s="63"/>
      <c r="G15" s="64" t="str">
        <f>IF(tblDiaUtil[[#This Row],[1º Período]]+tblDiaUtil[[#This Row],[2º Período]]&gt;0,tblDiaUtil[[#This Row],[1º Período]]+tblDiaUtil[[#This Row],[2º Período]],"")</f>
        <v/>
      </c>
    </row>
    <row r="16" spans="2:7" x14ac:dyDescent="0.25">
      <c r="B16" s="21" t="s">
        <v>45</v>
      </c>
      <c r="C16" s="21" t="s">
        <v>82</v>
      </c>
      <c r="D16" s="22" t="s">
        <v>30</v>
      </c>
      <c r="E16" s="61"/>
      <c r="F16" s="63"/>
      <c r="G16" s="64" t="str">
        <f>IF(tblDiaUtil[[#This Row],[1º Período]]+tblDiaUtil[[#This Row],[2º Período]]&gt;0,tblDiaUtil[[#This Row],[1º Período]]+tblDiaUtil[[#This Row],[2º Período]],"")</f>
        <v/>
      </c>
    </row>
    <row r="17" spans="2:7" x14ac:dyDescent="0.25">
      <c r="B17" s="21" t="s">
        <v>39</v>
      </c>
      <c r="C17" s="21" t="s">
        <v>83</v>
      </c>
      <c r="D17" s="22" t="s">
        <v>31</v>
      </c>
      <c r="E17" s="61"/>
      <c r="F17" s="63"/>
      <c r="G17" s="64" t="str">
        <f>IF(tblDiaUtil[[#This Row],[1º Período]]+tblDiaUtil[[#This Row],[2º Período]]&gt;0,tblDiaUtil[[#This Row],[1º Período]]+tblDiaUtil[[#This Row],[2º Período]],"")</f>
        <v/>
      </c>
    </row>
    <row r="18" spans="2:7" ht="15.75" thickBot="1" x14ac:dyDescent="0.3">
      <c r="B18" s="21" t="s">
        <v>40</v>
      </c>
      <c r="C18" s="21" t="s">
        <v>84</v>
      </c>
      <c r="D18" s="22" t="s">
        <v>31</v>
      </c>
      <c r="E18" s="62"/>
      <c r="F18" s="65"/>
      <c r="G18" s="66" t="str">
        <f>IF(tblDiaUtil[[#This Row],[1º Período]]+tblDiaUtil[[#This Row],[2º Período]]&gt;0,tblDiaUtil[[#This Row],[1º Período]]+tblDiaUtil[[#This Row],[2º Período]],"")</f>
        <v/>
      </c>
    </row>
    <row r="19" spans="2:7" ht="15.75" thickTop="1" x14ac:dyDescent="0.25"/>
    <row r="20" spans="2:7" ht="15.75" thickBot="1" x14ac:dyDescent="0.3">
      <c r="B20" s="70" t="s">
        <v>48</v>
      </c>
      <c r="C20" s="71"/>
      <c r="D20" s="75"/>
      <c r="E20" s="58" t="s">
        <v>102</v>
      </c>
      <c r="F20" s="59">
        <f>SUM(tblDiaUtil7[Qtd. Horas por Jornada])</f>
        <v>0.33333333333333331</v>
      </c>
      <c r="G20" s="5">
        <f>IF(F20&gt;0,IF(F20=JORNADA,1,0),"")</f>
        <v>1</v>
      </c>
    </row>
    <row r="21" spans="2:7" ht="30" x14ac:dyDescent="0.25">
      <c r="B21" s="9" t="s">
        <v>106</v>
      </c>
      <c r="C21" s="9" t="s">
        <v>86</v>
      </c>
      <c r="D21" s="9" t="s">
        <v>107</v>
      </c>
      <c r="E21" s="9"/>
    </row>
    <row r="22" spans="2:7" x14ac:dyDescent="0.25">
      <c r="B22" s="21" t="s">
        <v>108</v>
      </c>
      <c r="C22" s="21" t="s">
        <v>78</v>
      </c>
      <c r="D22" s="60">
        <v>0.16666666666666666</v>
      </c>
      <c r="E22" s="39"/>
    </row>
    <row r="23" spans="2:7" x14ac:dyDescent="0.25">
      <c r="B23" s="21" t="s">
        <v>109</v>
      </c>
      <c r="C23" s="21" t="s">
        <v>79</v>
      </c>
      <c r="D23" s="60">
        <v>0.16666666666666666</v>
      </c>
      <c r="E23" s="39"/>
    </row>
  </sheetData>
  <sheetProtection algorithmName="SHA-512" hashValue="xIY1YEZz93gXT5mCl4YuDRUOdhMYs3g1Ts4vVFFf2/f+W0dFJhAbDYjFmSUxJvVMcAh3XK6fNHDQC2IofBoLrw==" saltValue="6Vxk+nnClZJOVOB/FUNM7w==" spinCount="100000" sheet="1" formatCells="0" formatColumns="0" formatRows="0" selectLockedCells="1" autoFilter="0" pivotTables="0"/>
  <mergeCells count="4">
    <mergeCell ref="B1:D1"/>
    <mergeCell ref="B9:G9"/>
    <mergeCell ref="E10:G10"/>
    <mergeCell ref="B20:D20"/>
  </mergeCells>
  <conditionalFormatting sqref="D7">
    <cfRule type="timePeriod" dxfId="411" priority="4" timePeriod="lastMonth">
      <formula>AND(MONTH(D7)=MONTH(EDATE(TODAY(),0-1)),YEAR(D7)=YEAR(EDATE(TODAY(),0-1)))</formula>
    </cfRule>
  </conditionalFormatting>
  <conditionalFormatting sqref="G20">
    <cfRule type="iconSet" priority="1">
      <iconSet iconSet="3Symbols2" showValue="0">
        <cfvo type="percent" val="0"/>
        <cfvo type="num" val="0.5" gte="0"/>
        <cfvo type="num" val="1"/>
      </iconSet>
    </cfRule>
  </conditionalFormatting>
  <dataValidations count="4">
    <dataValidation type="list" allowBlank="1" showInputMessage="1" showErrorMessage="1" sqref="D3">
      <formula1>lstLimiteHora</formula1>
    </dataValidation>
    <dataValidation type="list" allowBlank="1" showInputMessage="1" showErrorMessage="1" sqref="D12:D18">
      <formula1>"Sim,Não"</formula1>
    </dataValidation>
    <dataValidation type="time" allowBlank="1" showInputMessage="1" showErrorMessage="1" sqref="D22:D23 F20">
      <formula1>0</formula1>
      <formula2>0.999305555555556</formula2>
    </dataValidation>
    <dataValidation type="time" allowBlank="1" showInputMessage="1" showErrorMessage="1" sqref="E12:F18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Relatorio">
    <tabColor theme="9" tint="0.59999389629810485"/>
  </sheetPr>
  <dimension ref="B1:C17"/>
  <sheetViews>
    <sheetView showGridLines="0" workbookViewId="0">
      <selection activeCell="C17" sqref="C17"/>
    </sheetView>
  </sheetViews>
  <sheetFormatPr defaultRowHeight="15" x14ac:dyDescent="0.25"/>
  <cols>
    <col min="2" max="2" width="17.42578125" customWidth="1"/>
    <col min="3" max="3" width="16.140625" customWidth="1"/>
    <col min="10" max="14" width="9.140625" customWidth="1"/>
  </cols>
  <sheetData>
    <row r="1" spans="2:3" x14ac:dyDescent="0.25">
      <c r="B1" s="76" t="s">
        <v>101</v>
      </c>
      <c r="C1" s="77"/>
    </row>
    <row r="2" spans="2:3" ht="15.75" thickBot="1" x14ac:dyDescent="0.3">
      <c r="B2" s="78"/>
      <c r="C2" s="79"/>
    </row>
    <row r="4" spans="2:3" x14ac:dyDescent="0.25">
      <c r="B4" s="49" t="s">
        <v>7</v>
      </c>
      <c r="C4" s="49" t="s">
        <v>49</v>
      </c>
    </row>
    <row r="5" spans="2:3" x14ac:dyDescent="0.25">
      <c r="B5" s="50" t="s">
        <v>63</v>
      </c>
      <c r="C5" s="14">
        <f>Janeiro!$O$39</f>
        <v>0</v>
      </c>
    </row>
    <row r="6" spans="2:3" x14ac:dyDescent="0.25">
      <c r="B6" s="50" t="s">
        <v>64</v>
      </c>
      <c r="C6" s="14">
        <f>Fevereiro!$O$39</f>
        <v>0</v>
      </c>
    </row>
    <row r="7" spans="2:3" x14ac:dyDescent="0.25">
      <c r="B7" s="50" t="s">
        <v>65</v>
      </c>
      <c r="C7" s="14">
        <f>Março!$O$39</f>
        <v>0</v>
      </c>
    </row>
    <row r="8" spans="2:3" x14ac:dyDescent="0.25">
      <c r="B8" s="50" t="s">
        <v>66</v>
      </c>
      <c r="C8" s="14">
        <f>Abril!$O$39</f>
        <v>0</v>
      </c>
    </row>
    <row r="9" spans="2:3" x14ac:dyDescent="0.25">
      <c r="B9" s="50" t="s">
        <v>67</v>
      </c>
      <c r="C9" s="14">
        <f>Maio!$O$39</f>
        <v>0</v>
      </c>
    </row>
    <row r="10" spans="2:3" x14ac:dyDescent="0.25">
      <c r="B10" s="50" t="s">
        <v>68</v>
      </c>
      <c r="C10" s="14">
        <f>Junho!$O$39</f>
        <v>0</v>
      </c>
    </row>
    <row r="11" spans="2:3" x14ac:dyDescent="0.25">
      <c r="B11" s="50" t="s">
        <v>69</v>
      </c>
      <c r="C11" s="14">
        <f>Julho!$O$39</f>
        <v>0</v>
      </c>
    </row>
    <row r="12" spans="2:3" x14ac:dyDescent="0.25">
      <c r="B12" s="50" t="s">
        <v>70</v>
      </c>
      <c r="C12" s="14">
        <f>Agosto!$O$39</f>
        <v>0</v>
      </c>
    </row>
    <row r="13" spans="2:3" x14ac:dyDescent="0.25">
      <c r="B13" s="50" t="s">
        <v>71</v>
      </c>
      <c r="C13" s="14">
        <f>Setembro!$O$39</f>
        <v>0</v>
      </c>
    </row>
    <row r="14" spans="2:3" x14ac:dyDescent="0.25">
      <c r="B14" s="50" t="s">
        <v>72</v>
      </c>
      <c r="C14" s="14">
        <f>Outubro!$O$39</f>
        <v>0</v>
      </c>
    </row>
    <row r="15" spans="2:3" x14ac:dyDescent="0.25">
      <c r="B15" s="50" t="s">
        <v>73</v>
      </c>
      <c r="C15" s="14">
        <f>Novembro!$O$39</f>
        <v>0</v>
      </c>
    </row>
    <row r="16" spans="2:3" x14ac:dyDescent="0.25">
      <c r="B16" s="50" t="s">
        <v>74</v>
      </c>
      <c r="C16" s="14">
        <f>Dezembro!$O$39</f>
        <v>0</v>
      </c>
    </row>
    <row r="17" spans="2:3" x14ac:dyDescent="0.25">
      <c r="B17" s="50" t="s">
        <v>102</v>
      </c>
      <c r="C17" s="14">
        <f>SUBTOTAL(109,Tabela17[Saldo de Horas])</f>
        <v>0</v>
      </c>
    </row>
  </sheetData>
  <sheetProtection algorithmName="SHA-512" hashValue="L59Znod2QOKfyTk88oWwTJFTiw8RcKfVoQQJNp8VXcgWdeY7x940JISSvPcFq9o6ITu7DPx4JqfJnOZ3MBjloQ==" saltValue="hSFp+YMgGbSxVOtlLdXj7w==" spinCount="100000" sheet="1" formatCells="0" formatColumns="0" formatRows="0" autoFilter="0" pivotTables="0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aneiro">
    <tabColor theme="4" tint="0.59999389629810485"/>
    <pageSetUpPr fitToPage="1"/>
  </sheetPr>
  <dimension ref="A1:AD47"/>
  <sheetViews>
    <sheetView showGridLines="0" tabSelected="1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6" sqref="D6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2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4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29" t="s">
        <v>62</v>
      </c>
      <c r="E5" s="43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63</v>
      </c>
      <c r="C6" s="87"/>
      <c r="D6" s="30"/>
      <c r="E6" s="30"/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51">
        <v>0</v>
      </c>
      <c r="P7" s="45">
        <f>SUM(tblHorasJan[Intervalo Almoço])</f>
        <v>0</v>
      </c>
      <c r="Q7" s="45">
        <f>SUM(tblHorasJan[Atrasos
(horas)])</f>
        <v>0</v>
      </c>
      <c r="R7" s="46">
        <f>SUM(tblHorasJan[Faltas
(dias)])</f>
        <v>0</v>
      </c>
      <c r="S7" s="45">
        <f>SUM(tblHorasJan[Hora Extra Normal])</f>
        <v>0</v>
      </c>
      <c r="T7" s="45">
        <f>SUM(tblHorasJan[Hora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TEXT(tblHorasJan[Data],"ddd")</f>
        <v/>
      </c>
      <c r="D9" s="25"/>
      <c r="E9" s="1"/>
      <c r="F9" s="1"/>
      <c r="G9" s="1"/>
      <c r="H9" s="1"/>
      <c r="I9" s="53"/>
      <c r="J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9" s="4">
        <f>tblHorasJan[Horas Trabalhadas (1º Período)]+tblHorasJan[Horas Trabalhadas (2º Período)]</f>
        <v>0</v>
      </c>
      <c r="M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Jornada])+O7</f>
        <v>0</v>
      </c>
      <c r="P9" s="14">
        <f t="shared" ref="P9:P39" si="0">G9-F9</f>
        <v>0</v>
      </c>
      <c r="Q9" s="14" t="str">
        <f>IF(tblHorasJan[Horas Trabalhadas Além Jornada]&lt;0,IF(OR(tblHorasJan[Evento 
(1º Período)]="",tblHorasJan[Evento 
(2º Período)]=""),tblHorasJan[Horas Trabalhadas Além Jornada],""),"")</f>
        <v/>
      </c>
      <c r="R9" s="14" t="str">
        <f>IF(tblHorasJan[Jornada Diária]&lt;&gt;"",IF((N(tblHorasJan[Jornada Diária])-ABS(N(tblHorasJan[Horas Trabalhadas Além Jornada])))=0,1,""),"")</f>
        <v/>
      </c>
      <c r="S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TEXT(tblHorasJan[Data],"ddd")</f>
        <v/>
      </c>
      <c r="D10" s="25"/>
      <c r="E10" s="1"/>
      <c r="F10" s="1"/>
      <c r="G10" s="1"/>
      <c r="H10" s="1"/>
      <c r="I10" s="53"/>
      <c r="J1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0" s="4">
        <f>tblHorasJan[Horas Trabalhadas (1º Período)]+tblHorasJan[Horas Trabalhadas (2º Período)]</f>
        <v>0</v>
      </c>
      <c r="M1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Jornada])+O9</f>
        <v>0</v>
      </c>
      <c r="P10" s="14">
        <f t="shared" si="0"/>
        <v>0</v>
      </c>
      <c r="Q10" s="14" t="str">
        <f>IF(tblHorasJan[Horas Trabalhadas Além Jornada]&lt;0,IF(OR(tblHorasJan[Evento 
(1º Período)]="",tblHorasJan[Evento 
(2º Período)]=""),tblHorasJan[Horas Trabalhadas Além Jornada],""),"")</f>
        <v/>
      </c>
      <c r="R10" s="14" t="str">
        <f>IF(tblHorasJan[Jornada Diária]&lt;&gt;"",IF((N(tblHorasJan[Jornada Diária])-ABS(N(tblHorasJan[Horas Trabalhadas Além Jornada])))=0,1,""),"")</f>
        <v/>
      </c>
      <c r="S1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TEXT(tblHorasJan[Data],"ddd")</f>
        <v/>
      </c>
      <c r="D11" s="25"/>
      <c r="E11" s="1"/>
      <c r="F11" s="1"/>
      <c r="G11" s="1"/>
      <c r="H11" s="1"/>
      <c r="I11" s="53"/>
      <c r="J1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1" s="4">
        <f>tblHorasJan[Horas Trabalhadas (1º Período)]+tblHorasJan[Horas Trabalhadas (2º Período)]</f>
        <v>0</v>
      </c>
      <c r="M1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Jornada])+O10</f>
        <v>0</v>
      </c>
      <c r="P11" s="14">
        <f t="shared" si="0"/>
        <v>0</v>
      </c>
      <c r="Q11" s="14" t="str">
        <f>IF(tblHorasJan[Horas Trabalhadas Além Jornada]&lt;0,IF(OR(tblHorasJan[Evento 
(1º Período)]="",tblHorasJan[Evento 
(2º Período)]=""),tblHorasJan[Horas Trabalhadas Além Jornada],""),"")</f>
        <v/>
      </c>
      <c r="R11" s="14" t="str">
        <f>IF(tblHorasJan[Jornada Diária]&lt;&gt;"",IF((N(tblHorasJan[Jornada Diária])-ABS(N(tblHorasJan[Horas Trabalhadas Além Jornada])))=0,1,""),"")</f>
        <v/>
      </c>
      <c r="S1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TEXT(tblHorasJan[Data],"ddd")</f>
        <v/>
      </c>
      <c r="D12" s="25"/>
      <c r="E12" s="1"/>
      <c r="F12" s="1"/>
      <c r="G12" s="1"/>
      <c r="H12" s="1"/>
      <c r="I12" s="53"/>
      <c r="J1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2" s="4">
        <f>tblHorasJan[Horas Trabalhadas (1º Período)]+tblHorasJan[Horas Trabalhadas (2º Período)]</f>
        <v>0</v>
      </c>
      <c r="M1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Jornada])+O11</f>
        <v>0</v>
      </c>
      <c r="P12" s="14">
        <f t="shared" si="0"/>
        <v>0</v>
      </c>
      <c r="Q12" s="14" t="str">
        <f>IF(tblHorasJan[Horas Trabalhadas Além Jornada]&lt;0,IF(OR(tblHorasJan[Evento 
(1º Período)]="",tblHorasJan[Evento 
(2º Período)]=""),tblHorasJan[Horas Trabalhadas Além Jornada],""),"")</f>
        <v/>
      </c>
      <c r="R12" s="14" t="str">
        <f>IF(tblHorasJan[Jornada Diária]&lt;&gt;"",IF((N(tblHorasJan[Jornada Diária])-ABS(N(tblHorasJan[Horas Trabalhadas Além Jornada])))=0,1,""),"")</f>
        <v/>
      </c>
      <c r="S1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TEXT(tblHorasJan[Data],"ddd")</f>
        <v/>
      </c>
      <c r="D13" s="25"/>
      <c r="E13" s="1"/>
      <c r="F13" s="1"/>
      <c r="G13" s="1"/>
      <c r="H13" s="1"/>
      <c r="I13" s="53"/>
      <c r="J1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3" s="4">
        <f>tblHorasJan[Horas Trabalhadas (1º Período)]+tblHorasJan[Horas Trabalhadas (2º Período)]</f>
        <v>0</v>
      </c>
      <c r="M1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Jornada])+O12</f>
        <v>0</v>
      </c>
      <c r="P13" s="14">
        <f t="shared" si="0"/>
        <v>0</v>
      </c>
      <c r="Q13" s="14" t="str">
        <f>IF(tblHorasJan[Horas Trabalhadas Além Jornada]&lt;0,IF(OR(tblHorasJan[Evento 
(1º Período)]="",tblHorasJan[Evento 
(2º Período)]=""),tblHorasJan[Horas Trabalhadas Além Jornada],""),"")</f>
        <v/>
      </c>
      <c r="R13" s="14" t="str">
        <f>IF(tblHorasJan[Jornada Diária]&lt;&gt;"",IF((N(tblHorasJan[Jornada Diária])-ABS(N(tblHorasJan[Horas Trabalhadas Além Jornada])))=0,1,""),"")</f>
        <v/>
      </c>
      <c r="S1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TEXT(tblHorasJan[Data],"ddd")</f>
        <v/>
      </c>
      <c r="D14" s="25"/>
      <c r="E14" s="1"/>
      <c r="F14" s="1"/>
      <c r="G14" s="1"/>
      <c r="H14" s="1"/>
      <c r="I14" s="53"/>
      <c r="J1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4" s="4">
        <f>tblHorasJan[Horas Trabalhadas (1º Período)]+tblHorasJan[Horas Trabalhadas (2º Período)]</f>
        <v>0</v>
      </c>
      <c r="M1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Jornada])+O13</f>
        <v>0</v>
      </c>
      <c r="P14" s="14">
        <f t="shared" si="0"/>
        <v>0</v>
      </c>
      <c r="Q14" s="14" t="str">
        <f>IF(tblHorasJan[Horas Trabalhadas Além Jornada]&lt;0,IF(OR(tblHorasJan[Evento 
(1º Período)]="",tblHorasJan[Evento 
(2º Período)]=""),tblHorasJan[Horas Trabalhadas Além Jornada],""),"")</f>
        <v/>
      </c>
      <c r="R14" s="14" t="str">
        <f>IF(tblHorasJan[Jornada Diária]&lt;&gt;"",IF((N(tblHorasJan[Jornada Diária])-ABS(N(tblHorasJan[Horas Trabalhadas Além Jornada])))=0,1,""),"")</f>
        <v/>
      </c>
      <c r="S1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TEXT(tblHorasJan[Data],"ddd")</f>
        <v/>
      </c>
      <c r="D15" s="25"/>
      <c r="E15" s="1"/>
      <c r="F15" s="1"/>
      <c r="G15" s="1"/>
      <c r="H15" s="1"/>
      <c r="I15" s="53"/>
      <c r="J1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5" s="4">
        <f>tblHorasJan[Horas Trabalhadas (1º Período)]+tblHorasJan[Horas Trabalhadas (2º Período)]</f>
        <v>0</v>
      </c>
      <c r="M1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Jornada])+O14</f>
        <v>0</v>
      </c>
      <c r="P15" s="14">
        <f t="shared" si="0"/>
        <v>0</v>
      </c>
      <c r="Q15" s="14" t="str">
        <f>IF(tblHorasJan[Horas Trabalhadas Além Jornada]&lt;0,IF(OR(tblHorasJan[Evento 
(1º Período)]="",tblHorasJan[Evento 
(2º Período)]=""),tblHorasJan[Horas Trabalhadas Além Jornada],""),"")</f>
        <v/>
      </c>
      <c r="R15" s="14" t="str">
        <f>IF(tblHorasJan[Jornada Diária]&lt;&gt;"",IF((N(tblHorasJan[Jornada Diária])-ABS(N(tblHorasJan[Horas Trabalhadas Além Jornada])))=0,1,""),"")</f>
        <v/>
      </c>
      <c r="S1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TEXT(tblHorasJan[Data],"ddd")</f>
        <v/>
      </c>
      <c r="D16" s="25"/>
      <c r="E16" s="1"/>
      <c r="F16" s="1"/>
      <c r="G16" s="1"/>
      <c r="H16" s="1"/>
      <c r="I16" s="53"/>
      <c r="J1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6" s="4">
        <f>tblHorasJan[Horas Trabalhadas (1º Período)]+tblHorasJan[Horas Trabalhadas (2º Período)]</f>
        <v>0</v>
      </c>
      <c r="M1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Jornada])+O15</f>
        <v>0</v>
      </c>
      <c r="P16" s="14">
        <f t="shared" si="0"/>
        <v>0</v>
      </c>
      <c r="Q16" s="14" t="str">
        <f>IF(tblHorasJan[Horas Trabalhadas Além Jornada]&lt;0,IF(OR(tblHorasJan[Evento 
(1º Período)]="",tblHorasJan[Evento 
(2º Período)]=""),tblHorasJan[Horas Trabalhadas Além Jornada],""),"")</f>
        <v/>
      </c>
      <c r="R16" s="14" t="str">
        <f>IF(tblHorasJan[Jornada Diária]&lt;&gt;"",IF((N(tblHorasJan[Jornada Diária])-ABS(N(tblHorasJan[Horas Trabalhadas Além Jornada])))=0,1,""),"")</f>
        <v/>
      </c>
      <c r="S1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TEXT(tblHorasJan[Data],"ddd")</f>
        <v/>
      </c>
      <c r="D17" s="25"/>
      <c r="E17" s="1"/>
      <c r="F17" s="1"/>
      <c r="G17" s="1"/>
      <c r="H17" s="1"/>
      <c r="I17" s="53"/>
      <c r="J1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7" s="4">
        <f>tblHorasJan[Horas Trabalhadas (1º Período)]+tblHorasJan[Horas Trabalhadas (2º Período)]</f>
        <v>0</v>
      </c>
      <c r="M1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Jornada])+O16</f>
        <v>0</v>
      </c>
      <c r="P17" s="14">
        <f t="shared" si="0"/>
        <v>0</v>
      </c>
      <c r="Q17" s="14" t="str">
        <f>IF(tblHorasJan[Horas Trabalhadas Além Jornada]&lt;0,IF(OR(tblHorasJan[Evento 
(1º Período)]="",tblHorasJan[Evento 
(2º Período)]=""),tblHorasJan[Horas Trabalhadas Além Jornada],""),"")</f>
        <v/>
      </c>
      <c r="R17" s="14" t="str">
        <f>IF(tblHorasJan[Jornada Diária]&lt;&gt;"",IF((N(tblHorasJan[Jornada Diária])-ABS(N(tblHorasJan[Horas Trabalhadas Além Jornada])))=0,1,""),"")</f>
        <v/>
      </c>
      <c r="S1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TEXT(tblHorasJan[Data],"ddd")</f>
        <v/>
      </c>
      <c r="D18" s="25"/>
      <c r="E18" s="1"/>
      <c r="F18" s="1"/>
      <c r="G18" s="1"/>
      <c r="H18" s="1"/>
      <c r="I18" s="53"/>
      <c r="J1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8" s="4">
        <f>tblHorasJan[Horas Trabalhadas (1º Período)]+tblHorasJan[Horas Trabalhadas (2º Período)]</f>
        <v>0</v>
      </c>
      <c r="M1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Jornada])+O17</f>
        <v>0</v>
      </c>
      <c r="P18" s="14">
        <f t="shared" si="0"/>
        <v>0</v>
      </c>
      <c r="Q18" s="14" t="str">
        <f>IF(tblHorasJan[Horas Trabalhadas Além Jornada]&lt;0,IF(OR(tblHorasJan[Evento 
(1º Período)]="",tblHorasJan[Evento 
(2º Período)]=""),tblHorasJan[Horas Trabalhadas Além Jornada],""),"")</f>
        <v/>
      </c>
      <c r="R18" s="14" t="str">
        <f>IF(tblHorasJan[Jornada Diária]&lt;&gt;"",IF((N(tblHorasJan[Jornada Diária])-ABS(N(tblHorasJan[Horas Trabalhadas Além Jornada])))=0,1,""),"")</f>
        <v/>
      </c>
      <c r="S1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TEXT(tblHorasJan[Data],"ddd")</f>
        <v/>
      </c>
      <c r="D19" s="25"/>
      <c r="E19" s="1"/>
      <c r="F19" s="1"/>
      <c r="G19" s="1"/>
      <c r="H19" s="1"/>
      <c r="I19" s="53"/>
      <c r="J1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9" s="4">
        <f>tblHorasJan[Horas Trabalhadas (1º Período)]+tblHorasJan[Horas Trabalhadas (2º Período)]</f>
        <v>0</v>
      </c>
      <c r="M1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Jornada])+O18</f>
        <v>0</v>
      </c>
      <c r="P19" s="14">
        <f t="shared" si="0"/>
        <v>0</v>
      </c>
      <c r="Q19" s="14" t="str">
        <f>IF(tblHorasJan[Horas Trabalhadas Além Jornada]&lt;0,IF(OR(tblHorasJan[Evento 
(1º Período)]="",tblHorasJan[Evento 
(2º Período)]=""),tblHorasJan[Horas Trabalhadas Além Jornada],""),"")</f>
        <v/>
      </c>
      <c r="R19" s="14" t="str">
        <f>IF(tblHorasJan[Jornada Diária]&lt;&gt;"",IF((N(tblHorasJan[Jornada Diária])-ABS(N(tblHorasJan[Horas Trabalhadas Além Jornada])))=0,1,""),"")</f>
        <v/>
      </c>
      <c r="S1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TEXT(tblHorasJan[Data],"ddd")</f>
        <v/>
      </c>
      <c r="D20" s="25"/>
      <c r="E20" s="1"/>
      <c r="F20" s="1"/>
      <c r="G20" s="1"/>
      <c r="H20" s="1"/>
      <c r="I20" s="53"/>
      <c r="J2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0" s="4">
        <f>tblHorasJan[Horas Trabalhadas (1º Período)]+tblHorasJan[Horas Trabalhadas (2º Período)]</f>
        <v>0</v>
      </c>
      <c r="M2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Jornada])+O19</f>
        <v>0</v>
      </c>
      <c r="P20" s="14">
        <f t="shared" si="0"/>
        <v>0</v>
      </c>
      <c r="Q20" s="14" t="str">
        <f>IF(tblHorasJan[Horas Trabalhadas Além Jornada]&lt;0,IF(OR(tblHorasJan[Evento 
(1º Período)]="",tblHorasJan[Evento 
(2º Período)]=""),tblHorasJan[Horas Trabalhadas Além Jornada],""),"")</f>
        <v/>
      </c>
      <c r="R20" s="14" t="str">
        <f>IF(tblHorasJan[Jornada Diária]&lt;&gt;"",IF((N(tblHorasJan[Jornada Diária])-ABS(N(tblHorasJan[Horas Trabalhadas Além Jornada])))=0,1,""),"")</f>
        <v/>
      </c>
      <c r="S2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TEXT(tblHorasJan[Data],"ddd")</f>
        <v/>
      </c>
      <c r="D21" s="25"/>
      <c r="E21" s="1"/>
      <c r="F21" s="1"/>
      <c r="G21" s="1"/>
      <c r="H21" s="1"/>
      <c r="I21" s="53"/>
      <c r="J2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1" s="4">
        <f>tblHorasJan[Horas Trabalhadas (1º Período)]+tblHorasJan[Horas Trabalhadas (2º Período)]</f>
        <v>0</v>
      </c>
      <c r="M2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Jornada])+O20</f>
        <v>0</v>
      </c>
      <c r="P21" s="14">
        <f t="shared" si="0"/>
        <v>0</v>
      </c>
      <c r="Q21" s="14" t="str">
        <f>IF(tblHorasJan[Horas Trabalhadas Além Jornada]&lt;0,IF(OR(tblHorasJan[Evento 
(1º Período)]="",tblHorasJan[Evento 
(2º Período)]=""),tblHorasJan[Horas Trabalhadas Além Jornada],""),"")</f>
        <v/>
      </c>
      <c r="R21" s="14" t="str">
        <f>IF(tblHorasJan[Jornada Diária]&lt;&gt;"",IF((N(tblHorasJan[Jornada Diária])-ABS(N(tblHorasJan[Horas Trabalhadas Além Jornada])))=0,1,""),"")</f>
        <v/>
      </c>
      <c r="S2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TEXT(tblHorasJan[Data],"ddd")</f>
        <v/>
      </c>
      <c r="D22" s="25"/>
      <c r="E22" s="1"/>
      <c r="F22" s="1"/>
      <c r="G22" s="1"/>
      <c r="H22" s="1"/>
      <c r="I22" s="53"/>
      <c r="J2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2" s="4">
        <f>tblHorasJan[Horas Trabalhadas (1º Período)]+tblHorasJan[Horas Trabalhadas (2º Período)]</f>
        <v>0</v>
      </c>
      <c r="M2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Jornada])+O21</f>
        <v>0</v>
      </c>
      <c r="P22" s="14">
        <f t="shared" si="0"/>
        <v>0</v>
      </c>
      <c r="Q22" s="14" t="str">
        <f>IF(tblHorasJan[Horas Trabalhadas Além Jornada]&lt;0,IF(OR(tblHorasJan[Evento 
(1º Período)]="",tblHorasJan[Evento 
(2º Período)]=""),tblHorasJan[Horas Trabalhadas Além Jornada],""),"")</f>
        <v/>
      </c>
      <c r="R22" s="14" t="str">
        <f>IF(tblHorasJan[Jornada Diária]&lt;&gt;"",IF((N(tblHorasJan[Jornada Diária])-ABS(N(tblHorasJan[Horas Trabalhadas Além Jornada])))=0,1,""),"")</f>
        <v/>
      </c>
      <c r="S2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TEXT(tblHorasJan[Data],"ddd")</f>
        <v/>
      </c>
      <c r="D23" s="25"/>
      <c r="E23" s="1"/>
      <c r="F23" s="1"/>
      <c r="G23" s="1"/>
      <c r="H23" s="1"/>
      <c r="I23" s="53"/>
      <c r="J2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3" s="4">
        <f>tblHorasJan[Horas Trabalhadas (1º Período)]+tblHorasJan[Horas Trabalhadas (2º Período)]</f>
        <v>0</v>
      </c>
      <c r="M2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Jornada])+O22</f>
        <v>0</v>
      </c>
      <c r="P23" s="14">
        <f t="shared" si="0"/>
        <v>0</v>
      </c>
      <c r="Q23" s="14" t="str">
        <f>IF(tblHorasJan[Horas Trabalhadas Além Jornada]&lt;0,IF(OR(tblHorasJan[Evento 
(1º Período)]="",tblHorasJan[Evento 
(2º Período)]=""),tblHorasJan[Horas Trabalhadas Além Jornada],""),"")</f>
        <v/>
      </c>
      <c r="R23" s="14" t="str">
        <f>IF(tblHorasJan[Jornada Diária]&lt;&gt;"",IF((N(tblHorasJan[Jornada Diária])-ABS(N(tblHorasJan[Horas Trabalhadas Além Jornada])))=0,1,""),"")</f>
        <v/>
      </c>
      <c r="S2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TEXT(tblHorasJan[Data],"ddd")</f>
        <v/>
      </c>
      <c r="D24" s="25"/>
      <c r="E24" s="1"/>
      <c r="F24" s="1"/>
      <c r="G24" s="1"/>
      <c r="H24" s="1"/>
      <c r="I24" s="53"/>
      <c r="J2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4" s="4">
        <f>tblHorasJan[Horas Trabalhadas (1º Período)]+tblHorasJan[Horas Trabalhadas (2º Período)]</f>
        <v>0</v>
      </c>
      <c r="M2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Jornada])+O23</f>
        <v>0</v>
      </c>
      <c r="P24" s="14">
        <f t="shared" si="0"/>
        <v>0</v>
      </c>
      <c r="Q24" s="14" t="str">
        <f>IF(tblHorasJan[Horas Trabalhadas Além Jornada]&lt;0,IF(OR(tblHorasJan[Evento 
(1º Período)]="",tblHorasJan[Evento 
(2º Período)]=""),tblHorasJan[Horas Trabalhadas Além Jornada],""),"")</f>
        <v/>
      </c>
      <c r="R24" s="14" t="str">
        <f>IF(tblHorasJan[Jornada Diária]&lt;&gt;"",IF((N(tblHorasJan[Jornada Diária])-ABS(N(tblHorasJan[Horas Trabalhadas Além Jornada])))=0,1,""),"")</f>
        <v/>
      </c>
      <c r="S2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TEXT(tblHorasJan[Data],"ddd")</f>
        <v/>
      </c>
      <c r="D25" s="25"/>
      <c r="E25" s="1"/>
      <c r="F25" s="1"/>
      <c r="G25" s="1"/>
      <c r="H25" s="1"/>
      <c r="I25" s="53"/>
      <c r="J2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5" s="4">
        <f>tblHorasJan[Horas Trabalhadas (1º Período)]+tblHorasJan[Horas Trabalhadas (2º Período)]</f>
        <v>0</v>
      </c>
      <c r="M2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Jornada])+O24</f>
        <v>0</v>
      </c>
      <c r="P25" s="14">
        <f t="shared" si="0"/>
        <v>0</v>
      </c>
      <c r="Q25" s="14" t="str">
        <f>IF(tblHorasJan[Horas Trabalhadas Além Jornada]&lt;0,IF(OR(tblHorasJan[Evento 
(1º Período)]="",tblHorasJan[Evento 
(2º Período)]=""),tblHorasJan[Horas Trabalhadas Além Jornada],""),"")</f>
        <v/>
      </c>
      <c r="R25" s="14" t="str">
        <f>IF(tblHorasJan[Jornada Diária]&lt;&gt;"",IF((N(tblHorasJan[Jornada Diária])-ABS(N(tblHorasJan[Horas Trabalhadas Além Jornada])))=0,1,""),"")</f>
        <v/>
      </c>
      <c r="S2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TEXT(tblHorasJan[Data],"ddd")</f>
        <v/>
      </c>
      <c r="D26" s="25"/>
      <c r="E26" s="1"/>
      <c r="F26" s="1"/>
      <c r="G26" s="1"/>
      <c r="H26" s="1"/>
      <c r="I26" s="53"/>
      <c r="J2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6" s="4">
        <f>tblHorasJan[Horas Trabalhadas (1º Período)]+tblHorasJan[Horas Trabalhadas (2º Período)]</f>
        <v>0</v>
      </c>
      <c r="M2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Jornada])+O25</f>
        <v>0</v>
      </c>
      <c r="P26" s="14">
        <f t="shared" si="0"/>
        <v>0</v>
      </c>
      <c r="Q26" s="14" t="str">
        <f>IF(tblHorasJan[Horas Trabalhadas Além Jornada]&lt;0,IF(OR(tblHorasJan[Evento 
(1º Período)]="",tblHorasJan[Evento 
(2º Período)]=""),tblHorasJan[Horas Trabalhadas Além Jornada],""),"")</f>
        <v/>
      </c>
      <c r="R26" s="14" t="str">
        <f>IF(tblHorasJan[Jornada Diária]&lt;&gt;"",IF((N(tblHorasJan[Jornada Diária])-ABS(N(tblHorasJan[Horas Trabalhadas Além Jornada])))=0,1,""),"")</f>
        <v/>
      </c>
      <c r="S2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TEXT(tblHorasJan[Data],"ddd")</f>
        <v/>
      </c>
      <c r="D27" s="25"/>
      <c r="E27" s="1"/>
      <c r="F27" s="1"/>
      <c r="G27" s="1"/>
      <c r="H27" s="1"/>
      <c r="I27" s="53"/>
      <c r="J2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7" s="4">
        <f>tblHorasJan[Horas Trabalhadas (1º Período)]+tblHorasJan[Horas Trabalhadas (2º Período)]</f>
        <v>0</v>
      </c>
      <c r="M2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Jornada])+O26</f>
        <v>0</v>
      </c>
      <c r="P27" s="14">
        <f t="shared" si="0"/>
        <v>0</v>
      </c>
      <c r="Q27" s="14" t="str">
        <f>IF(tblHorasJan[Horas Trabalhadas Além Jornada]&lt;0,IF(OR(tblHorasJan[Evento 
(1º Período)]="",tblHorasJan[Evento 
(2º Período)]=""),tblHorasJan[Horas Trabalhadas Além Jornada],""),"")</f>
        <v/>
      </c>
      <c r="R27" s="14" t="str">
        <f>IF(tblHorasJan[Jornada Diária]&lt;&gt;"",IF((N(tblHorasJan[Jornada Diária])-ABS(N(tblHorasJan[Horas Trabalhadas Além Jornada])))=0,1,""),"")</f>
        <v/>
      </c>
      <c r="S2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TEXT(tblHorasJan[Data],"ddd")</f>
        <v/>
      </c>
      <c r="D28" s="25"/>
      <c r="E28" s="1"/>
      <c r="F28" s="1"/>
      <c r="G28" s="1"/>
      <c r="H28" s="1"/>
      <c r="I28" s="53"/>
      <c r="J2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8" s="4">
        <f>tblHorasJan[Horas Trabalhadas (1º Período)]+tblHorasJan[Horas Trabalhadas (2º Período)]</f>
        <v>0</v>
      </c>
      <c r="M2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Jornada])+O27</f>
        <v>0</v>
      </c>
      <c r="P28" s="14">
        <f t="shared" si="0"/>
        <v>0</v>
      </c>
      <c r="Q28" s="14" t="str">
        <f>IF(tblHorasJan[Horas Trabalhadas Além Jornada]&lt;0,IF(OR(tblHorasJan[Evento 
(1º Período)]="",tblHorasJan[Evento 
(2º Período)]=""),tblHorasJan[Horas Trabalhadas Além Jornada],""),"")</f>
        <v/>
      </c>
      <c r="R28" s="14" t="str">
        <f>IF(tblHorasJan[Jornada Diária]&lt;&gt;"",IF((N(tblHorasJan[Jornada Diária])-ABS(N(tblHorasJan[Horas Trabalhadas Além Jornada])))=0,1,""),"")</f>
        <v/>
      </c>
      <c r="S2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TEXT(tblHorasJan[Data],"ddd")</f>
        <v/>
      </c>
      <c r="D29" s="25"/>
      <c r="E29" s="1"/>
      <c r="F29" s="1"/>
      <c r="G29" s="1"/>
      <c r="H29" s="1"/>
      <c r="I29" s="53"/>
      <c r="J2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9" s="4">
        <f>tblHorasJan[Horas Trabalhadas (1º Período)]+tblHorasJan[Horas Trabalhadas (2º Período)]</f>
        <v>0</v>
      </c>
      <c r="M2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Jornada])+O28</f>
        <v>0</v>
      </c>
      <c r="P29" s="14">
        <f t="shared" si="0"/>
        <v>0</v>
      </c>
      <c r="Q29" s="14" t="str">
        <f>IF(tblHorasJan[Horas Trabalhadas Além Jornada]&lt;0,IF(OR(tblHorasJan[Evento 
(1º Período)]="",tblHorasJan[Evento 
(2º Período)]=""),tblHorasJan[Horas Trabalhadas Além Jornada],""),"")</f>
        <v/>
      </c>
      <c r="R29" s="14" t="str">
        <f>IF(tblHorasJan[Jornada Diária]&lt;&gt;"",IF((N(tblHorasJan[Jornada Diária])-ABS(N(tblHorasJan[Horas Trabalhadas Além Jornada])))=0,1,""),"")</f>
        <v/>
      </c>
      <c r="S2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TEXT(tblHorasJan[Data],"ddd")</f>
        <v/>
      </c>
      <c r="D30" s="25"/>
      <c r="E30" s="1"/>
      <c r="F30" s="1"/>
      <c r="G30" s="1"/>
      <c r="H30" s="1"/>
      <c r="I30" s="53"/>
      <c r="J3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0" s="4">
        <f>tblHorasJan[Horas Trabalhadas (1º Período)]+tblHorasJan[Horas Trabalhadas (2º Período)]</f>
        <v>0</v>
      </c>
      <c r="M3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Jornada])+O29</f>
        <v>0</v>
      </c>
      <c r="P30" s="14">
        <f t="shared" si="0"/>
        <v>0</v>
      </c>
      <c r="Q30" s="14" t="str">
        <f>IF(tblHorasJan[Horas Trabalhadas Além Jornada]&lt;0,IF(OR(tblHorasJan[Evento 
(1º Período)]="",tblHorasJan[Evento 
(2º Período)]=""),tblHorasJan[Horas Trabalhadas Além Jornada],""),"")</f>
        <v/>
      </c>
      <c r="R30" s="14" t="str">
        <f>IF(tblHorasJan[Jornada Diária]&lt;&gt;"",IF((N(tblHorasJan[Jornada Diária])-ABS(N(tblHorasJan[Horas Trabalhadas Além Jornada])))=0,1,""),"")</f>
        <v/>
      </c>
      <c r="S3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TEXT(tblHorasJan[Data],"ddd")</f>
        <v/>
      </c>
      <c r="D31" s="25"/>
      <c r="E31" s="1"/>
      <c r="F31" s="1"/>
      <c r="G31" s="1"/>
      <c r="H31" s="1"/>
      <c r="I31" s="53"/>
      <c r="J3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1" s="4">
        <f>tblHorasJan[Horas Trabalhadas (1º Período)]+tblHorasJan[Horas Trabalhadas (2º Período)]</f>
        <v>0</v>
      </c>
      <c r="M3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Jornada])+O30</f>
        <v>0</v>
      </c>
      <c r="P31" s="14">
        <f t="shared" si="0"/>
        <v>0</v>
      </c>
      <c r="Q31" s="14" t="str">
        <f>IF(tblHorasJan[Horas Trabalhadas Além Jornada]&lt;0,IF(OR(tblHorasJan[Evento 
(1º Período)]="",tblHorasJan[Evento 
(2º Período)]=""),tblHorasJan[Horas Trabalhadas Além Jornada],""),"")</f>
        <v/>
      </c>
      <c r="R31" s="14" t="str">
        <f>IF(tblHorasJan[Jornada Diária]&lt;&gt;"",IF((N(tblHorasJan[Jornada Diária])-ABS(N(tblHorasJan[Horas Trabalhadas Além Jornada])))=0,1,""),"")</f>
        <v/>
      </c>
      <c r="S3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TEXT(tblHorasJan[Data],"ddd")</f>
        <v/>
      </c>
      <c r="D32" s="25"/>
      <c r="E32" s="1"/>
      <c r="F32" s="1"/>
      <c r="G32" s="1"/>
      <c r="H32" s="1"/>
      <c r="I32" s="53"/>
      <c r="J3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2" s="4">
        <f>tblHorasJan[Horas Trabalhadas (1º Período)]+tblHorasJan[Horas Trabalhadas (2º Período)]</f>
        <v>0</v>
      </c>
      <c r="M3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Jornada])+O31</f>
        <v>0</v>
      </c>
      <c r="P32" s="14">
        <f t="shared" si="0"/>
        <v>0</v>
      </c>
      <c r="Q32" s="14" t="str">
        <f>IF(tblHorasJan[Horas Trabalhadas Além Jornada]&lt;0,IF(OR(tblHorasJan[Evento 
(1º Período)]="",tblHorasJan[Evento 
(2º Período)]=""),tblHorasJan[Horas Trabalhadas Além Jornada],""),"")</f>
        <v/>
      </c>
      <c r="R32" s="14" t="str">
        <f>IF(tblHorasJan[Jornada Diária]&lt;&gt;"",IF((N(tblHorasJan[Jornada Diária])-ABS(N(tblHorasJan[Horas Trabalhadas Além Jornada])))=0,1,""),"")</f>
        <v/>
      </c>
      <c r="S3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TEXT(tblHorasJan[Data],"ddd")</f>
        <v/>
      </c>
      <c r="D33" s="25"/>
      <c r="E33" s="1"/>
      <c r="F33" s="1"/>
      <c r="G33" s="1"/>
      <c r="H33" s="1"/>
      <c r="I33" s="53"/>
      <c r="J3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3" s="4">
        <f>tblHorasJan[Horas Trabalhadas (1º Período)]+tblHorasJan[Horas Trabalhadas (2º Período)]</f>
        <v>0</v>
      </c>
      <c r="M3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Jornada])+O32</f>
        <v>0</v>
      </c>
      <c r="P33" s="14">
        <f t="shared" si="0"/>
        <v>0</v>
      </c>
      <c r="Q33" s="14" t="str">
        <f>IF(tblHorasJan[Horas Trabalhadas Além Jornada]&lt;0,IF(OR(tblHorasJan[Evento 
(1º Período)]="",tblHorasJan[Evento 
(2º Período)]=""),tblHorasJan[Horas Trabalhadas Além Jornada],""),"")</f>
        <v/>
      </c>
      <c r="R33" s="14" t="str">
        <f>IF(tblHorasJan[Jornada Diária]&lt;&gt;"",IF((N(tblHorasJan[Jornada Diária])-ABS(N(tblHorasJan[Horas Trabalhadas Além Jornada])))=0,1,""),"")</f>
        <v/>
      </c>
      <c r="S3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TEXT(tblHorasJan[Data],"ddd")</f>
        <v/>
      </c>
      <c r="D34" s="25"/>
      <c r="E34" s="1"/>
      <c r="F34" s="1"/>
      <c r="G34" s="1"/>
      <c r="H34" s="1"/>
      <c r="I34" s="53"/>
      <c r="J3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4" s="4">
        <f>tblHorasJan[Horas Trabalhadas (1º Período)]+tblHorasJan[Horas Trabalhadas (2º Período)]</f>
        <v>0</v>
      </c>
      <c r="M3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Jornada])+O33</f>
        <v>0</v>
      </c>
      <c r="P34" s="14">
        <f t="shared" si="0"/>
        <v>0</v>
      </c>
      <c r="Q34" s="14" t="str">
        <f>IF(tblHorasJan[Horas Trabalhadas Além Jornada]&lt;0,IF(OR(tblHorasJan[Evento 
(1º Período)]="",tblHorasJan[Evento 
(2º Período)]=""),tblHorasJan[Horas Trabalhadas Além Jornada],""),"")</f>
        <v/>
      </c>
      <c r="R34" s="14" t="str">
        <f>IF(tblHorasJan[Jornada Diária]&lt;&gt;"",IF((N(tblHorasJan[Jornada Diária])-ABS(N(tblHorasJan[Horas Trabalhadas Além Jornada])))=0,1,""),"")</f>
        <v/>
      </c>
      <c r="S3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TEXT(tblHorasJan[Data],"ddd")</f>
        <v/>
      </c>
      <c r="D35" s="25"/>
      <c r="E35" s="1"/>
      <c r="F35" s="1"/>
      <c r="G35" s="1"/>
      <c r="H35" s="1"/>
      <c r="I35" s="53"/>
      <c r="J3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5" s="4">
        <f>tblHorasJan[Horas Trabalhadas (1º Período)]+tblHorasJan[Horas Trabalhadas (2º Período)]</f>
        <v>0</v>
      </c>
      <c r="M3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Jornada])+O34</f>
        <v>0</v>
      </c>
      <c r="P35" s="14">
        <f t="shared" si="0"/>
        <v>0</v>
      </c>
      <c r="Q35" s="14" t="str">
        <f>IF(tblHorasJan[Horas Trabalhadas Além Jornada]&lt;0,IF(OR(tblHorasJan[Evento 
(1º Período)]="",tblHorasJan[Evento 
(2º Período)]=""),tblHorasJan[Horas Trabalhadas Além Jornada],""),"")</f>
        <v/>
      </c>
      <c r="R35" s="14" t="str">
        <f>IF(tblHorasJan[Jornada Diária]&lt;&gt;"",IF((N(tblHorasJan[Jornada Diária])-ABS(N(tblHorasJan[Horas Trabalhadas Além Jornada])))=0,1,""),"")</f>
        <v/>
      </c>
      <c r="S3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TEXT(tblHorasJan[Data],"ddd")</f>
        <v/>
      </c>
      <c r="D36" s="25"/>
      <c r="E36" s="1"/>
      <c r="F36" s="1"/>
      <c r="G36" s="1"/>
      <c r="H36" s="1"/>
      <c r="I36" s="53"/>
      <c r="J3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6" s="4">
        <f>tblHorasJan[Horas Trabalhadas (1º Período)]+tblHorasJan[Horas Trabalhadas (2º Período)]</f>
        <v>0</v>
      </c>
      <c r="M3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Jornada])+O35</f>
        <v>0</v>
      </c>
      <c r="P36" s="14">
        <f t="shared" si="0"/>
        <v>0</v>
      </c>
      <c r="Q36" s="14" t="str">
        <f>IF(tblHorasJan[Horas Trabalhadas Além Jornada]&lt;0,IF(OR(tblHorasJan[Evento 
(1º Período)]="",tblHorasJan[Evento 
(2º Período)]=""),tblHorasJan[Horas Trabalhadas Além Jornada],""),"")</f>
        <v/>
      </c>
      <c r="R36" s="14" t="str">
        <f>IF(tblHorasJan[Jornada Diária]&lt;&gt;"",IF((N(tblHorasJan[Jornada Diária])-ABS(N(tblHorasJan[Horas Trabalhadas Além Jornada])))=0,1,""),"")</f>
        <v/>
      </c>
      <c r="S3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TEXT(tblHorasJan[Data],"ddd")</f>
        <v/>
      </c>
      <c r="D37" s="25"/>
      <c r="E37" s="1"/>
      <c r="F37" s="1"/>
      <c r="G37" s="1"/>
      <c r="H37" s="1"/>
      <c r="I37" s="53"/>
      <c r="J3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7" s="4">
        <f>tblHorasJan[Horas Trabalhadas (1º Período)]+tblHorasJan[Horas Trabalhadas (2º Período)]</f>
        <v>0</v>
      </c>
      <c r="M3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Jornada])+O36</f>
        <v>0</v>
      </c>
      <c r="P37" s="14">
        <f t="shared" si="0"/>
        <v>0</v>
      </c>
      <c r="Q37" s="14" t="str">
        <f>IF(tblHorasJan[Horas Trabalhadas Além Jornada]&lt;0,IF(OR(tblHorasJan[Evento 
(1º Período)]="",tblHorasJan[Evento 
(2º Período)]=""),tblHorasJan[Horas Trabalhadas Além Jornada],""),"")</f>
        <v/>
      </c>
      <c r="R37" s="14" t="str">
        <f>IF(tblHorasJan[Jornada Diária]&lt;&gt;"",IF((N(tblHorasJan[Jornada Diária])-ABS(N(tblHorasJan[Horas Trabalhadas Além Jornada])))=0,1,""),"")</f>
        <v/>
      </c>
      <c r="S3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TEXT(tblHorasJan[Data],"ddd")</f>
        <v/>
      </c>
      <c r="D38" s="25"/>
      <c r="E38" s="1"/>
      <c r="F38" s="1"/>
      <c r="G38" s="1"/>
      <c r="H38" s="1"/>
      <c r="I38" s="53"/>
      <c r="J3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8" s="4">
        <f>tblHorasJan[Horas Trabalhadas (1º Período)]+tblHorasJan[Horas Trabalhadas (2º Período)]</f>
        <v>0</v>
      </c>
      <c r="M3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Jornada])+O37</f>
        <v>0</v>
      </c>
      <c r="P38" s="14">
        <f t="shared" si="0"/>
        <v>0</v>
      </c>
      <c r="Q38" s="14" t="str">
        <f>IF(tblHorasJan[Horas Trabalhadas Além Jornada]&lt;0,IF(OR(tblHorasJan[Evento 
(1º Período)]="",tblHorasJan[Evento 
(2º Período)]=""),tblHorasJan[Horas Trabalhadas Além Jornada],""),"")</f>
        <v/>
      </c>
      <c r="R38" s="14" t="str">
        <f>IF(tblHorasJan[Jornada Diária]&lt;&gt;"",IF((N(tblHorasJan[Jornada Diária])-ABS(N(tblHorasJan[Horas Trabalhadas Além Jornada])))=0,1,""),"")</f>
        <v/>
      </c>
      <c r="S3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TEXT(tblHorasJan[Data],"ddd")</f>
        <v/>
      </c>
      <c r="D39" s="25"/>
      <c r="E39" s="1"/>
      <c r="F39" s="1"/>
      <c r="G39" s="1"/>
      <c r="H39" s="1"/>
      <c r="I39" s="53"/>
      <c r="J3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9" s="4">
        <f>tblHorasJan[Horas Trabalhadas (1º Período)]+tblHorasJan[Horas Trabalhadas (2º Período)]</f>
        <v>0</v>
      </c>
      <c r="M3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Jornada])+O38</f>
        <v>0</v>
      </c>
      <c r="P39" s="14">
        <f t="shared" si="0"/>
        <v>0</v>
      </c>
      <c r="Q39" s="14" t="str">
        <f>IF(tblHorasJan[Horas Trabalhadas Além Jornada]&lt;0,IF(OR(tblHorasJan[Evento 
(1º Período)]="",tblHorasJan[Evento 
(2º Período)]=""),tblHorasJan[Horas Trabalhadas Além Jornada],""),"")</f>
        <v/>
      </c>
      <c r="R39" s="14" t="str">
        <f>IF(tblHorasJan[Jornada Diária]&lt;&gt;"",IF((N(tblHorasJan[Jornada Diária])-ABS(N(tblHorasJan[Horas Trabalhadas Além Jornada])))=0,1,""),"")</f>
        <v/>
      </c>
      <c r="S3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IwQ5bqxRj6gNZyIEestgUsFKd02l+9PEhapjEJiukYdwtHl5krXOzZ4UVear8IidA4pbDM6CluAAK+O1J3C4WA==" saltValue="xHngk+RQz7iD5BL2lWXBWg==" spinCount="100000" sheet="1" formatCells="0" formatColumns="0" formatRows="0" selectLockedCells="1" autoFilter="0" pivotTables="0"/>
  <dataConsolidate/>
  <mergeCells count="8">
    <mergeCell ref="O1:U4"/>
    <mergeCell ref="H4:I4"/>
    <mergeCell ref="B5:C5"/>
    <mergeCell ref="B6:C6"/>
    <mergeCell ref="G2:I2"/>
    <mergeCell ref="H3:I3"/>
    <mergeCell ref="O5:O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33616478-990B-44FE-BB07-40117DF3ADA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J10:J39 N10:N39 Q9:U9</xm:sqref>
        </x14:conditionalFormatting>
        <x14:conditionalFormatting xmlns:xm="http://schemas.microsoft.com/office/excel/2006/main">
          <x14:cfRule type="expression" priority="15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 J9:J39</xm:sqref>
        </x14:conditionalFormatting>
        <x14:conditionalFormatting xmlns:xm="http://schemas.microsoft.com/office/excel/2006/main">
          <x14:cfRule type="expression" priority="21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11" id="{CF3EF681-ADA3-454F-BD4D-136E8407E81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9015B1FB-D320-45D4-903E-B40FCBE5CA6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B10:I39 K10:M39 O10:O39 Q10:U39</xm:sqref>
        </x14:conditionalFormatting>
        <x14:conditionalFormatting xmlns:xm="http://schemas.microsoft.com/office/excel/2006/main">
          <x14:cfRule type="expression" priority="5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D10:F39</xm:sqref>
        </x14:conditionalFormatting>
        <x14:conditionalFormatting xmlns:xm="http://schemas.microsoft.com/office/excel/2006/main">
          <x14:cfRule type="expression" priority="7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CBB16051-391C-4CE1-AC4C-93FFD8B6352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35D487DB-F1D7-4DAF-B0BD-A1FD2C7DDDC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81223596-A3AC-45F8-989A-1B77C1FB5E86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Feverei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10" sqref="D10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64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Janeiro!O39</f>
        <v>0</v>
      </c>
      <c r="P7" s="45">
        <f>SUM(tblHorasFev[Atrasos
(horas)])</f>
        <v>0</v>
      </c>
      <c r="Q7" s="45">
        <f>SUM(tblHorasFev[Atrasos
(horas)])</f>
        <v>0</v>
      </c>
      <c r="R7" s="46">
        <f>SUM(tblHorasFev[Faltas
(dias)])</f>
        <v>0</v>
      </c>
      <c r="S7" s="45">
        <f>SUM(tblHorasFev[Hora Extra Normal])</f>
        <v>0</v>
      </c>
      <c r="T7" s="45">
        <f>SUM(tblHorasFev[Hora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TEXT(tblHorasFev[Data],"ddd")</f>
        <v/>
      </c>
      <c r="D9" s="25"/>
      <c r="E9" s="1"/>
      <c r="F9" s="1"/>
      <c r="G9" s="1"/>
      <c r="H9" s="1"/>
      <c r="I9" s="53"/>
      <c r="J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9" s="4">
        <f>tblHorasFev[Horas Trabalhadas (1º Período)]+tblHorasFev[Horas Trabalhadas (2º Período)]</f>
        <v>0</v>
      </c>
      <c r="M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Jornada])+O7</f>
        <v>0</v>
      </c>
      <c r="P9" s="14">
        <f t="shared" ref="P9:P39" si="0">G9-F9</f>
        <v>0</v>
      </c>
      <c r="Q9" s="14" t="str">
        <f>IF(tblHorasFev[Horas Trabalhadas Além Jornada]&lt;0,IF(OR(tblHorasFev[Evento 
(1º Período)]="",tblHorasFev[Evento 
(2º Período)]=""),tblHorasFev[Horas Trabalhadas Além Jornada],""),"")</f>
        <v/>
      </c>
      <c r="R9" s="14" t="str">
        <f>IF(tblHorasFev[Jornada Diária]&lt;&gt;"",IF((N(tblHorasFev[Jornada Diária])-ABS(N(tblHorasFev[Horas Trabalhadas Além Jornada])))=0,1,""),"")</f>
        <v/>
      </c>
      <c r="S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TEXT(tblHorasFev[Data],"ddd")</f>
        <v/>
      </c>
      <c r="D10" s="25"/>
      <c r="E10" s="1"/>
      <c r="F10" s="1"/>
      <c r="G10" s="1"/>
      <c r="H10" s="1"/>
      <c r="I10" s="53"/>
      <c r="J1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0" s="4">
        <f>tblHorasFev[Horas Trabalhadas (1º Período)]+tblHorasFev[Horas Trabalhadas (2º Período)]</f>
        <v>0</v>
      </c>
      <c r="M1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Jornada])+O9</f>
        <v>0</v>
      </c>
      <c r="P10" s="14">
        <f t="shared" si="0"/>
        <v>0</v>
      </c>
      <c r="Q10" s="14" t="str">
        <f>IF(tblHorasFev[Horas Trabalhadas Além Jornada]&lt;0,IF(OR(tblHorasFev[Evento 
(1º Período)]="",tblHorasFev[Evento 
(2º Período)]=""),tblHorasFev[Horas Trabalhadas Além Jornada],""),"")</f>
        <v/>
      </c>
      <c r="R10" s="14" t="str">
        <f>IF(tblHorasFev[Jornada Diária]&lt;&gt;"",IF((N(tblHorasFev[Jornada Diária])-ABS(N(tblHorasFev[Horas Trabalhadas Além Jornada])))=0,1,""),"")</f>
        <v/>
      </c>
      <c r="S1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TEXT(tblHorasFev[Data],"ddd")</f>
        <v/>
      </c>
      <c r="D11" s="25"/>
      <c r="E11" s="1"/>
      <c r="F11" s="1"/>
      <c r="G11" s="1"/>
      <c r="H11" s="1"/>
      <c r="I11" s="53"/>
      <c r="J1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1" s="4">
        <f>tblHorasFev[Horas Trabalhadas (1º Período)]+tblHorasFev[Horas Trabalhadas (2º Período)]</f>
        <v>0</v>
      </c>
      <c r="M1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Jornada])+O10</f>
        <v>0</v>
      </c>
      <c r="P11" s="14">
        <f t="shared" si="0"/>
        <v>0</v>
      </c>
      <c r="Q11" s="14" t="str">
        <f>IF(tblHorasFev[Horas Trabalhadas Além Jornada]&lt;0,IF(OR(tblHorasFev[Evento 
(1º Período)]="",tblHorasFev[Evento 
(2º Período)]=""),tblHorasFev[Horas Trabalhadas Além Jornada],""),"")</f>
        <v/>
      </c>
      <c r="R11" s="14" t="str">
        <f>IF(tblHorasFev[Jornada Diária]&lt;&gt;"",IF((N(tblHorasFev[Jornada Diária])-ABS(N(tblHorasFev[Horas Trabalhadas Além Jornada])))=0,1,""),"")</f>
        <v/>
      </c>
      <c r="S1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TEXT(tblHorasFev[Data],"ddd")</f>
        <v/>
      </c>
      <c r="D12" s="25"/>
      <c r="E12" s="1"/>
      <c r="F12" s="1"/>
      <c r="G12" s="1"/>
      <c r="H12" s="1"/>
      <c r="I12" s="53"/>
      <c r="J1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2" s="4">
        <f>tblHorasFev[Horas Trabalhadas (1º Período)]+tblHorasFev[Horas Trabalhadas (2º Período)]</f>
        <v>0</v>
      </c>
      <c r="M1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Jornada])+O11</f>
        <v>0</v>
      </c>
      <c r="P12" s="14">
        <f t="shared" si="0"/>
        <v>0</v>
      </c>
      <c r="Q12" s="14" t="str">
        <f>IF(tblHorasFev[Horas Trabalhadas Além Jornada]&lt;0,IF(OR(tblHorasFev[Evento 
(1º Período)]="",tblHorasFev[Evento 
(2º Período)]=""),tblHorasFev[Horas Trabalhadas Além Jornada],""),"")</f>
        <v/>
      </c>
      <c r="R12" s="14" t="str">
        <f>IF(tblHorasFev[Jornada Diária]&lt;&gt;"",IF((N(tblHorasFev[Jornada Diária])-ABS(N(tblHorasFev[Horas Trabalhadas Além Jornada])))=0,1,""),"")</f>
        <v/>
      </c>
      <c r="S1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TEXT(tblHorasFev[Data],"ddd")</f>
        <v/>
      </c>
      <c r="D13" s="25"/>
      <c r="E13" s="1"/>
      <c r="F13" s="1"/>
      <c r="G13" s="1"/>
      <c r="H13" s="1"/>
      <c r="I13" s="53"/>
      <c r="J1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3" s="4">
        <f>tblHorasFev[Horas Trabalhadas (1º Período)]+tblHorasFev[Horas Trabalhadas (2º Período)]</f>
        <v>0</v>
      </c>
      <c r="M1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Jornada])+O12</f>
        <v>0</v>
      </c>
      <c r="P13" s="14">
        <f t="shared" si="0"/>
        <v>0</v>
      </c>
      <c r="Q13" s="14" t="str">
        <f>IF(tblHorasFev[Horas Trabalhadas Além Jornada]&lt;0,IF(OR(tblHorasFev[Evento 
(1º Período)]="",tblHorasFev[Evento 
(2º Período)]=""),tblHorasFev[Horas Trabalhadas Além Jornada],""),"")</f>
        <v/>
      </c>
      <c r="R13" s="14" t="str">
        <f>IF(tblHorasFev[Jornada Diária]&lt;&gt;"",IF((N(tblHorasFev[Jornada Diária])-ABS(N(tblHorasFev[Horas Trabalhadas Além Jornada])))=0,1,""),"")</f>
        <v/>
      </c>
      <c r="S1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TEXT(tblHorasFev[Data],"ddd")</f>
        <v/>
      </c>
      <c r="D14" s="25"/>
      <c r="E14" s="1"/>
      <c r="F14" s="1"/>
      <c r="G14" s="1"/>
      <c r="H14" s="1"/>
      <c r="I14" s="53"/>
      <c r="J1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4" s="4">
        <f>tblHorasFev[Horas Trabalhadas (1º Período)]+tblHorasFev[Horas Trabalhadas (2º Período)]</f>
        <v>0</v>
      </c>
      <c r="M1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Jornada])+O13</f>
        <v>0</v>
      </c>
      <c r="P14" s="14">
        <f t="shared" si="0"/>
        <v>0</v>
      </c>
      <c r="Q14" s="14" t="str">
        <f>IF(tblHorasFev[Horas Trabalhadas Além Jornada]&lt;0,IF(OR(tblHorasFev[Evento 
(1º Período)]="",tblHorasFev[Evento 
(2º Período)]=""),tblHorasFev[Horas Trabalhadas Além Jornada],""),"")</f>
        <v/>
      </c>
      <c r="R14" s="14" t="str">
        <f>IF(tblHorasFev[Jornada Diária]&lt;&gt;"",IF((N(tblHorasFev[Jornada Diária])-ABS(N(tblHorasFev[Horas Trabalhadas Além Jornada])))=0,1,""),"")</f>
        <v/>
      </c>
      <c r="S1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TEXT(tblHorasFev[Data],"ddd")</f>
        <v/>
      </c>
      <c r="D15" s="25"/>
      <c r="E15" s="1"/>
      <c r="F15" s="1"/>
      <c r="G15" s="1"/>
      <c r="H15" s="1"/>
      <c r="I15" s="53"/>
      <c r="J1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5" s="4">
        <f>tblHorasFev[Horas Trabalhadas (1º Período)]+tblHorasFev[Horas Trabalhadas (2º Período)]</f>
        <v>0</v>
      </c>
      <c r="M1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Jornada])+O14</f>
        <v>0</v>
      </c>
      <c r="P15" s="14">
        <f t="shared" si="0"/>
        <v>0</v>
      </c>
      <c r="Q15" s="14" t="str">
        <f>IF(tblHorasFev[Horas Trabalhadas Além Jornada]&lt;0,IF(OR(tblHorasFev[Evento 
(1º Período)]="",tblHorasFev[Evento 
(2º Período)]=""),tblHorasFev[Horas Trabalhadas Além Jornada],""),"")</f>
        <v/>
      </c>
      <c r="R15" s="14" t="str">
        <f>IF(tblHorasFev[Jornada Diária]&lt;&gt;"",IF((N(tblHorasFev[Jornada Diária])-ABS(N(tblHorasFev[Horas Trabalhadas Além Jornada])))=0,1,""),"")</f>
        <v/>
      </c>
      <c r="S1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TEXT(tblHorasFev[Data],"ddd")</f>
        <v/>
      </c>
      <c r="D16" s="25"/>
      <c r="E16" s="1"/>
      <c r="F16" s="1"/>
      <c r="G16" s="1"/>
      <c r="H16" s="1"/>
      <c r="I16" s="53"/>
      <c r="J1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6" s="4">
        <f>tblHorasFev[Horas Trabalhadas (1º Período)]+tblHorasFev[Horas Trabalhadas (2º Período)]</f>
        <v>0</v>
      </c>
      <c r="M1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Jornada])+O15</f>
        <v>0</v>
      </c>
      <c r="P16" s="14">
        <f t="shared" si="0"/>
        <v>0</v>
      </c>
      <c r="Q16" s="14" t="str">
        <f>IF(tblHorasFev[Horas Trabalhadas Além Jornada]&lt;0,IF(OR(tblHorasFev[Evento 
(1º Período)]="",tblHorasFev[Evento 
(2º Período)]=""),tblHorasFev[Horas Trabalhadas Além Jornada],""),"")</f>
        <v/>
      </c>
      <c r="R16" s="14" t="str">
        <f>IF(tblHorasFev[Jornada Diária]&lt;&gt;"",IF((N(tblHorasFev[Jornada Diária])-ABS(N(tblHorasFev[Horas Trabalhadas Além Jornada])))=0,1,""),"")</f>
        <v/>
      </c>
      <c r="S1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TEXT(tblHorasFev[Data],"ddd")</f>
        <v/>
      </c>
      <c r="D17" s="25"/>
      <c r="E17" s="1"/>
      <c r="F17" s="1"/>
      <c r="G17" s="1"/>
      <c r="H17" s="1"/>
      <c r="I17" s="53"/>
      <c r="J1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7" s="4">
        <f>tblHorasFev[Horas Trabalhadas (1º Período)]+tblHorasFev[Horas Trabalhadas (2º Período)]</f>
        <v>0</v>
      </c>
      <c r="M1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Jornada])+O16</f>
        <v>0</v>
      </c>
      <c r="P17" s="14">
        <f t="shared" si="0"/>
        <v>0</v>
      </c>
      <c r="Q17" s="14" t="str">
        <f>IF(tblHorasFev[Horas Trabalhadas Além Jornada]&lt;0,IF(OR(tblHorasFev[Evento 
(1º Período)]="",tblHorasFev[Evento 
(2º Período)]=""),tblHorasFev[Horas Trabalhadas Além Jornada],""),"")</f>
        <v/>
      </c>
      <c r="R17" s="14" t="str">
        <f>IF(tblHorasFev[Jornada Diária]&lt;&gt;"",IF((N(tblHorasFev[Jornada Diária])-ABS(N(tblHorasFev[Horas Trabalhadas Além Jornada])))=0,1,""),"")</f>
        <v/>
      </c>
      <c r="S1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TEXT(tblHorasFev[Data],"ddd")</f>
        <v/>
      </c>
      <c r="D18" s="25"/>
      <c r="E18" s="1"/>
      <c r="F18" s="1"/>
      <c r="G18" s="1"/>
      <c r="H18" s="1"/>
      <c r="I18" s="53"/>
      <c r="J1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8" s="4">
        <f>tblHorasFev[Horas Trabalhadas (1º Período)]+tblHorasFev[Horas Trabalhadas (2º Período)]</f>
        <v>0</v>
      </c>
      <c r="M1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Jornada])+O17</f>
        <v>0</v>
      </c>
      <c r="P18" s="14">
        <f t="shared" si="0"/>
        <v>0</v>
      </c>
      <c r="Q18" s="14" t="str">
        <f>IF(tblHorasFev[Horas Trabalhadas Além Jornada]&lt;0,IF(OR(tblHorasFev[Evento 
(1º Período)]="",tblHorasFev[Evento 
(2º Período)]=""),tblHorasFev[Horas Trabalhadas Além Jornada],""),"")</f>
        <v/>
      </c>
      <c r="R18" s="14" t="str">
        <f>IF(tblHorasFev[Jornada Diária]&lt;&gt;"",IF((N(tblHorasFev[Jornada Diária])-ABS(N(tblHorasFev[Horas Trabalhadas Além Jornada])))=0,1,""),"")</f>
        <v/>
      </c>
      <c r="S1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TEXT(tblHorasFev[Data],"ddd")</f>
        <v/>
      </c>
      <c r="D19" s="25"/>
      <c r="E19" s="1"/>
      <c r="F19" s="1"/>
      <c r="G19" s="1"/>
      <c r="H19" s="1"/>
      <c r="I19" s="53"/>
      <c r="J1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9" s="4">
        <f>tblHorasFev[Horas Trabalhadas (1º Período)]+tblHorasFev[Horas Trabalhadas (2º Período)]</f>
        <v>0</v>
      </c>
      <c r="M1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Jornada])+O18</f>
        <v>0</v>
      </c>
      <c r="P19" s="14">
        <f t="shared" si="0"/>
        <v>0</v>
      </c>
      <c r="Q19" s="14" t="str">
        <f>IF(tblHorasFev[Horas Trabalhadas Além Jornada]&lt;0,IF(OR(tblHorasFev[Evento 
(1º Período)]="",tblHorasFev[Evento 
(2º Período)]=""),tblHorasFev[Horas Trabalhadas Além Jornada],""),"")</f>
        <v/>
      </c>
      <c r="R19" s="14" t="str">
        <f>IF(tblHorasFev[Jornada Diária]&lt;&gt;"",IF((N(tblHorasFev[Jornada Diária])-ABS(N(tblHorasFev[Horas Trabalhadas Além Jornada])))=0,1,""),"")</f>
        <v/>
      </c>
      <c r="S1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TEXT(tblHorasFev[Data],"ddd")</f>
        <v/>
      </c>
      <c r="D20" s="25"/>
      <c r="E20" s="1"/>
      <c r="F20" s="1"/>
      <c r="G20" s="1"/>
      <c r="H20" s="1"/>
      <c r="I20" s="53"/>
      <c r="J2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0" s="4">
        <f>tblHorasFev[Horas Trabalhadas (1º Período)]+tblHorasFev[Horas Trabalhadas (2º Período)]</f>
        <v>0</v>
      </c>
      <c r="M2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Jornada])+O19</f>
        <v>0</v>
      </c>
      <c r="P20" s="14">
        <f t="shared" si="0"/>
        <v>0</v>
      </c>
      <c r="Q20" s="14" t="str">
        <f>IF(tblHorasFev[Horas Trabalhadas Além Jornada]&lt;0,IF(OR(tblHorasFev[Evento 
(1º Período)]="",tblHorasFev[Evento 
(2º Período)]=""),tblHorasFev[Horas Trabalhadas Além Jornada],""),"")</f>
        <v/>
      </c>
      <c r="R20" s="14" t="str">
        <f>IF(tblHorasFev[Jornada Diária]&lt;&gt;"",IF((N(tblHorasFev[Jornada Diária])-ABS(N(tblHorasFev[Horas Trabalhadas Além Jornada])))=0,1,""),"")</f>
        <v/>
      </c>
      <c r="S2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TEXT(tblHorasFev[Data],"ddd")</f>
        <v/>
      </c>
      <c r="D21" s="25"/>
      <c r="E21" s="1"/>
      <c r="F21" s="1"/>
      <c r="G21" s="1"/>
      <c r="H21" s="1"/>
      <c r="I21" s="53"/>
      <c r="J2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1" s="4">
        <f>tblHorasFev[Horas Trabalhadas (1º Período)]+tblHorasFev[Horas Trabalhadas (2º Período)]</f>
        <v>0</v>
      </c>
      <c r="M2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Jornada])+O20</f>
        <v>0</v>
      </c>
      <c r="P21" s="14">
        <f t="shared" si="0"/>
        <v>0</v>
      </c>
      <c r="Q21" s="14" t="str">
        <f>IF(tblHorasFev[Horas Trabalhadas Além Jornada]&lt;0,IF(OR(tblHorasFev[Evento 
(1º Período)]="",tblHorasFev[Evento 
(2º Período)]=""),tblHorasFev[Horas Trabalhadas Além Jornada],""),"")</f>
        <v/>
      </c>
      <c r="R21" s="14" t="str">
        <f>IF(tblHorasFev[Jornada Diária]&lt;&gt;"",IF((N(tblHorasFev[Jornada Diária])-ABS(N(tblHorasFev[Horas Trabalhadas Além Jornada])))=0,1,""),"")</f>
        <v/>
      </c>
      <c r="S2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TEXT(tblHorasFev[Data],"ddd")</f>
        <v/>
      </c>
      <c r="D22" s="25"/>
      <c r="E22" s="1"/>
      <c r="F22" s="1"/>
      <c r="G22" s="1"/>
      <c r="H22" s="1"/>
      <c r="I22" s="53"/>
      <c r="J2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2" s="4">
        <f>tblHorasFev[Horas Trabalhadas (1º Período)]+tblHorasFev[Horas Trabalhadas (2º Período)]</f>
        <v>0</v>
      </c>
      <c r="M2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Jornada])+O21</f>
        <v>0</v>
      </c>
      <c r="P22" s="14">
        <f t="shared" si="0"/>
        <v>0</v>
      </c>
      <c r="Q22" s="14" t="str">
        <f>IF(tblHorasFev[Horas Trabalhadas Além Jornada]&lt;0,IF(OR(tblHorasFev[Evento 
(1º Período)]="",tblHorasFev[Evento 
(2º Período)]=""),tblHorasFev[Horas Trabalhadas Além Jornada],""),"")</f>
        <v/>
      </c>
      <c r="R22" s="14" t="str">
        <f>IF(tblHorasFev[Jornada Diária]&lt;&gt;"",IF((N(tblHorasFev[Jornada Diária])-ABS(N(tblHorasFev[Horas Trabalhadas Além Jornada])))=0,1,""),"")</f>
        <v/>
      </c>
      <c r="S2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TEXT(tblHorasFev[Data],"ddd")</f>
        <v/>
      </c>
      <c r="D23" s="25"/>
      <c r="E23" s="1"/>
      <c r="F23" s="1"/>
      <c r="G23" s="1"/>
      <c r="H23" s="1"/>
      <c r="I23" s="53"/>
      <c r="J2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3" s="4">
        <f>tblHorasFev[Horas Trabalhadas (1º Período)]+tblHorasFev[Horas Trabalhadas (2º Período)]</f>
        <v>0</v>
      </c>
      <c r="M2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Jornada])+O22</f>
        <v>0</v>
      </c>
      <c r="P23" s="14">
        <f t="shared" si="0"/>
        <v>0</v>
      </c>
      <c r="Q23" s="14" t="str">
        <f>IF(tblHorasFev[Horas Trabalhadas Além Jornada]&lt;0,IF(OR(tblHorasFev[Evento 
(1º Período)]="",tblHorasFev[Evento 
(2º Período)]=""),tblHorasFev[Horas Trabalhadas Além Jornada],""),"")</f>
        <v/>
      </c>
      <c r="R23" s="14" t="str">
        <f>IF(tblHorasFev[Jornada Diária]&lt;&gt;"",IF((N(tblHorasFev[Jornada Diária])-ABS(N(tblHorasFev[Horas Trabalhadas Além Jornada])))=0,1,""),"")</f>
        <v/>
      </c>
      <c r="S2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TEXT(tblHorasFev[Data],"ddd")</f>
        <v/>
      </c>
      <c r="D24" s="25"/>
      <c r="E24" s="1"/>
      <c r="F24" s="1"/>
      <c r="G24" s="1"/>
      <c r="H24" s="1"/>
      <c r="I24" s="53"/>
      <c r="J2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4" s="4">
        <f>tblHorasFev[Horas Trabalhadas (1º Período)]+tblHorasFev[Horas Trabalhadas (2º Período)]</f>
        <v>0</v>
      </c>
      <c r="M2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Jornada])+O23</f>
        <v>0</v>
      </c>
      <c r="P24" s="14">
        <f t="shared" si="0"/>
        <v>0</v>
      </c>
      <c r="Q24" s="14" t="str">
        <f>IF(tblHorasFev[Horas Trabalhadas Além Jornada]&lt;0,IF(OR(tblHorasFev[Evento 
(1º Período)]="",tblHorasFev[Evento 
(2º Período)]=""),tblHorasFev[Horas Trabalhadas Além Jornada],""),"")</f>
        <v/>
      </c>
      <c r="R24" s="14" t="str">
        <f>IF(tblHorasFev[Jornada Diária]&lt;&gt;"",IF((N(tblHorasFev[Jornada Diária])-ABS(N(tblHorasFev[Horas Trabalhadas Além Jornada])))=0,1,""),"")</f>
        <v/>
      </c>
      <c r="S2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TEXT(tblHorasFev[Data],"ddd")</f>
        <v/>
      </c>
      <c r="D25" s="25"/>
      <c r="E25" s="1"/>
      <c r="F25" s="1"/>
      <c r="G25" s="1"/>
      <c r="H25" s="1"/>
      <c r="I25" s="53"/>
      <c r="J2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5" s="4">
        <f>tblHorasFev[Horas Trabalhadas (1º Período)]+tblHorasFev[Horas Trabalhadas (2º Período)]</f>
        <v>0</v>
      </c>
      <c r="M2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Jornada])+O24</f>
        <v>0</v>
      </c>
      <c r="P25" s="14">
        <f t="shared" si="0"/>
        <v>0</v>
      </c>
      <c r="Q25" s="14" t="str">
        <f>IF(tblHorasFev[Horas Trabalhadas Além Jornada]&lt;0,IF(OR(tblHorasFev[Evento 
(1º Período)]="",tblHorasFev[Evento 
(2º Período)]=""),tblHorasFev[Horas Trabalhadas Além Jornada],""),"")</f>
        <v/>
      </c>
      <c r="R25" s="14" t="str">
        <f>IF(tblHorasFev[Jornada Diária]&lt;&gt;"",IF((N(tblHorasFev[Jornada Diária])-ABS(N(tblHorasFev[Horas Trabalhadas Além Jornada])))=0,1,""),"")</f>
        <v/>
      </c>
      <c r="S2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TEXT(tblHorasFev[Data],"ddd")</f>
        <v/>
      </c>
      <c r="D26" s="25"/>
      <c r="E26" s="1"/>
      <c r="F26" s="1"/>
      <c r="G26" s="1"/>
      <c r="H26" s="1"/>
      <c r="I26" s="53"/>
      <c r="J2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6" s="4">
        <f>tblHorasFev[Horas Trabalhadas (1º Período)]+tblHorasFev[Horas Trabalhadas (2º Período)]</f>
        <v>0</v>
      </c>
      <c r="M2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Jornada])+O25</f>
        <v>0</v>
      </c>
      <c r="P26" s="14">
        <f t="shared" si="0"/>
        <v>0</v>
      </c>
      <c r="Q26" s="14" t="str">
        <f>IF(tblHorasFev[Horas Trabalhadas Além Jornada]&lt;0,IF(OR(tblHorasFev[Evento 
(1º Período)]="",tblHorasFev[Evento 
(2º Período)]=""),tblHorasFev[Horas Trabalhadas Além Jornada],""),"")</f>
        <v/>
      </c>
      <c r="R26" s="14" t="str">
        <f>IF(tblHorasFev[Jornada Diária]&lt;&gt;"",IF((N(tblHorasFev[Jornada Diária])-ABS(N(tblHorasFev[Horas Trabalhadas Além Jornada])))=0,1,""),"")</f>
        <v/>
      </c>
      <c r="S2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TEXT(tblHorasFev[Data],"ddd")</f>
        <v/>
      </c>
      <c r="D27" s="25"/>
      <c r="E27" s="1"/>
      <c r="F27" s="1"/>
      <c r="G27" s="1"/>
      <c r="H27" s="1"/>
      <c r="I27" s="53"/>
      <c r="J2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7" s="4">
        <f>tblHorasFev[Horas Trabalhadas (1º Período)]+tblHorasFev[Horas Trabalhadas (2º Período)]</f>
        <v>0</v>
      </c>
      <c r="M2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Jornada])+O26</f>
        <v>0</v>
      </c>
      <c r="P27" s="14">
        <f t="shared" si="0"/>
        <v>0</v>
      </c>
      <c r="Q27" s="14" t="str">
        <f>IF(tblHorasFev[Horas Trabalhadas Além Jornada]&lt;0,IF(OR(tblHorasFev[Evento 
(1º Período)]="",tblHorasFev[Evento 
(2º Período)]=""),tblHorasFev[Horas Trabalhadas Além Jornada],""),"")</f>
        <v/>
      </c>
      <c r="R27" s="14" t="str">
        <f>IF(tblHorasFev[Jornada Diária]&lt;&gt;"",IF((N(tblHorasFev[Jornada Diária])-ABS(N(tblHorasFev[Horas Trabalhadas Além Jornada])))=0,1,""),"")</f>
        <v/>
      </c>
      <c r="S2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TEXT(tblHorasFev[Data],"ddd")</f>
        <v/>
      </c>
      <c r="D28" s="25"/>
      <c r="E28" s="1"/>
      <c r="F28" s="1"/>
      <c r="G28" s="1"/>
      <c r="H28" s="1"/>
      <c r="I28" s="53"/>
      <c r="J2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8" s="4">
        <f>tblHorasFev[Horas Trabalhadas (1º Período)]+tblHorasFev[Horas Trabalhadas (2º Período)]</f>
        <v>0</v>
      </c>
      <c r="M2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Jornada])+O27</f>
        <v>0</v>
      </c>
      <c r="P28" s="14">
        <f t="shared" si="0"/>
        <v>0</v>
      </c>
      <c r="Q28" s="14" t="str">
        <f>IF(tblHorasFev[Horas Trabalhadas Além Jornada]&lt;0,IF(OR(tblHorasFev[Evento 
(1º Período)]="",tblHorasFev[Evento 
(2º Período)]=""),tblHorasFev[Horas Trabalhadas Além Jornada],""),"")</f>
        <v/>
      </c>
      <c r="R28" s="14" t="str">
        <f>IF(tblHorasFev[Jornada Diária]&lt;&gt;"",IF((N(tblHorasFev[Jornada Diária])-ABS(N(tblHorasFev[Horas Trabalhadas Além Jornada])))=0,1,""),"")</f>
        <v/>
      </c>
      <c r="S2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TEXT(tblHorasFev[Data],"ddd")</f>
        <v/>
      </c>
      <c r="D29" s="25"/>
      <c r="E29" s="1"/>
      <c r="F29" s="1"/>
      <c r="G29" s="1"/>
      <c r="H29" s="1"/>
      <c r="I29" s="53"/>
      <c r="J2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9" s="4">
        <f>tblHorasFev[Horas Trabalhadas (1º Período)]+tblHorasFev[Horas Trabalhadas (2º Período)]</f>
        <v>0</v>
      </c>
      <c r="M2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Jornada])+O28</f>
        <v>0</v>
      </c>
      <c r="P29" s="14">
        <f t="shared" si="0"/>
        <v>0</v>
      </c>
      <c r="Q29" s="14" t="str">
        <f>IF(tblHorasFev[Horas Trabalhadas Além Jornada]&lt;0,IF(OR(tblHorasFev[Evento 
(1º Período)]="",tblHorasFev[Evento 
(2º Período)]=""),tblHorasFev[Horas Trabalhadas Além Jornada],""),"")</f>
        <v/>
      </c>
      <c r="R29" s="14" t="str">
        <f>IF(tblHorasFev[Jornada Diária]&lt;&gt;"",IF((N(tblHorasFev[Jornada Diária])-ABS(N(tblHorasFev[Horas Trabalhadas Além Jornada])))=0,1,""),"")</f>
        <v/>
      </c>
      <c r="S2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TEXT(tblHorasFev[Data],"ddd")</f>
        <v/>
      </c>
      <c r="D30" s="25"/>
      <c r="E30" s="1"/>
      <c r="F30" s="1"/>
      <c r="G30" s="1"/>
      <c r="H30" s="1"/>
      <c r="I30" s="53"/>
      <c r="J3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0" s="4">
        <f>tblHorasFev[Horas Trabalhadas (1º Período)]+tblHorasFev[Horas Trabalhadas (2º Período)]</f>
        <v>0</v>
      </c>
      <c r="M3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Jornada])+O29</f>
        <v>0</v>
      </c>
      <c r="P30" s="14">
        <f t="shared" si="0"/>
        <v>0</v>
      </c>
      <c r="Q30" s="14" t="str">
        <f>IF(tblHorasFev[Horas Trabalhadas Além Jornada]&lt;0,IF(OR(tblHorasFev[Evento 
(1º Período)]="",tblHorasFev[Evento 
(2º Período)]=""),tblHorasFev[Horas Trabalhadas Além Jornada],""),"")</f>
        <v/>
      </c>
      <c r="R30" s="14" t="str">
        <f>IF(tblHorasFev[Jornada Diária]&lt;&gt;"",IF((N(tblHorasFev[Jornada Diária])-ABS(N(tblHorasFev[Horas Trabalhadas Além Jornada])))=0,1,""),"")</f>
        <v/>
      </c>
      <c r="S3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TEXT(tblHorasFev[Data],"ddd")</f>
        <v/>
      </c>
      <c r="D31" s="25"/>
      <c r="E31" s="1"/>
      <c r="F31" s="1"/>
      <c r="G31" s="1"/>
      <c r="H31" s="1"/>
      <c r="I31" s="53"/>
      <c r="J3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1" s="4">
        <f>tblHorasFev[Horas Trabalhadas (1º Período)]+tblHorasFev[Horas Trabalhadas (2º Período)]</f>
        <v>0</v>
      </c>
      <c r="M3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Jornada])+O30</f>
        <v>0</v>
      </c>
      <c r="P31" s="14">
        <f t="shared" si="0"/>
        <v>0</v>
      </c>
      <c r="Q31" s="14" t="str">
        <f>IF(tblHorasFev[Horas Trabalhadas Além Jornada]&lt;0,IF(OR(tblHorasFev[Evento 
(1º Período)]="",tblHorasFev[Evento 
(2º Período)]=""),tblHorasFev[Horas Trabalhadas Além Jornada],""),"")</f>
        <v/>
      </c>
      <c r="R31" s="14" t="str">
        <f>IF(tblHorasFev[Jornada Diária]&lt;&gt;"",IF((N(tblHorasFev[Jornada Diária])-ABS(N(tblHorasFev[Horas Trabalhadas Além Jornada])))=0,1,""),"")</f>
        <v/>
      </c>
      <c r="S3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TEXT(tblHorasFev[Data],"ddd")</f>
        <v/>
      </c>
      <c r="D32" s="25"/>
      <c r="E32" s="1"/>
      <c r="F32" s="1"/>
      <c r="G32" s="1"/>
      <c r="H32" s="1"/>
      <c r="I32" s="53"/>
      <c r="J3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2" s="4">
        <f>tblHorasFev[Horas Trabalhadas (1º Período)]+tblHorasFev[Horas Trabalhadas (2º Período)]</f>
        <v>0</v>
      </c>
      <c r="M3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Jornada])+O31</f>
        <v>0</v>
      </c>
      <c r="P32" s="14">
        <f t="shared" si="0"/>
        <v>0</v>
      </c>
      <c r="Q32" s="14" t="str">
        <f>IF(tblHorasFev[Horas Trabalhadas Além Jornada]&lt;0,IF(OR(tblHorasFev[Evento 
(1º Período)]="",tblHorasFev[Evento 
(2º Período)]=""),tblHorasFev[Horas Trabalhadas Além Jornada],""),"")</f>
        <v/>
      </c>
      <c r="R32" s="14" t="str">
        <f>IF(tblHorasFev[Jornada Diária]&lt;&gt;"",IF((N(tblHorasFev[Jornada Diária])-ABS(N(tblHorasFev[Horas Trabalhadas Além Jornada])))=0,1,""),"")</f>
        <v/>
      </c>
      <c r="S3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TEXT(tblHorasFev[Data],"ddd")</f>
        <v/>
      </c>
      <c r="D33" s="25"/>
      <c r="E33" s="1"/>
      <c r="F33" s="1"/>
      <c r="G33" s="1"/>
      <c r="H33" s="1"/>
      <c r="I33" s="53"/>
      <c r="J3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3" s="4">
        <f>tblHorasFev[Horas Trabalhadas (1º Período)]+tblHorasFev[Horas Trabalhadas (2º Período)]</f>
        <v>0</v>
      </c>
      <c r="M3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Jornada])+O32</f>
        <v>0</v>
      </c>
      <c r="P33" s="14">
        <f t="shared" si="0"/>
        <v>0</v>
      </c>
      <c r="Q33" s="14" t="str">
        <f>IF(tblHorasFev[Horas Trabalhadas Além Jornada]&lt;0,IF(OR(tblHorasFev[Evento 
(1º Período)]="",tblHorasFev[Evento 
(2º Período)]=""),tblHorasFev[Horas Trabalhadas Além Jornada],""),"")</f>
        <v/>
      </c>
      <c r="R33" s="14" t="str">
        <f>IF(tblHorasFev[Jornada Diária]&lt;&gt;"",IF((N(tblHorasFev[Jornada Diária])-ABS(N(tblHorasFev[Horas Trabalhadas Além Jornada])))=0,1,""),"")</f>
        <v/>
      </c>
      <c r="S3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TEXT(tblHorasFev[Data],"ddd")</f>
        <v/>
      </c>
      <c r="D34" s="25"/>
      <c r="E34" s="1"/>
      <c r="F34" s="1"/>
      <c r="G34" s="1"/>
      <c r="H34" s="1"/>
      <c r="I34" s="53"/>
      <c r="J3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4" s="4">
        <f>tblHorasFev[Horas Trabalhadas (1º Período)]+tblHorasFev[Horas Trabalhadas (2º Período)]</f>
        <v>0</v>
      </c>
      <c r="M3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Jornada])+O33</f>
        <v>0</v>
      </c>
      <c r="P34" s="14">
        <f t="shared" si="0"/>
        <v>0</v>
      </c>
      <c r="Q34" s="14" t="str">
        <f>IF(tblHorasFev[Horas Trabalhadas Além Jornada]&lt;0,IF(OR(tblHorasFev[Evento 
(1º Período)]="",tblHorasFev[Evento 
(2º Período)]=""),tblHorasFev[Horas Trabalhadas Além Jornada],""),"")</f>
        <v/>
      </c>
      <c r="R34" s="14" t="str">
        <f>IF(tblHorasFev[Jornada Diária]&lt;&gt;"",IF((N(tblHorasFev[Jornada Diária])-ABS(N(tblHorasFev[Horas Trabalhadas Além Jornada])))=0,1,""),"")</f>
        <v/>
      </c>
      <c r="S3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TEXT(tblHorasFev[Data],"ddd")</f>
        <v/>
      </c>
      <c r="D35" s="25"/>
      <c r="E35" s="1"/>
      <c r="F35" s="1"/>
      <c r="G35" s="1"/>
      <c r="H35" s="1"/>
      <c r="I35" s="53"/>
      <c r="J3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5" s="4">
        <f>tblHorasFev[Horas Trabalhadas (1º Período)]+tblHorasFev[Horas Trabalhadas (2º Período)]</f>
        <v>0</v>
      </c>
      <c r="M3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Jornada])+O34</f>
        <v>0</v>
      </c>
      <c r="P35" s="14">
        <f t="shared" si="0"/>
        <v>0</v>
      </c>
      <c r="Q35" s="14" t="str">
        <f>IF(tblHorasFev[Horas Trabalhadas Além Jornada]&lt;0,IF(OR(tblHorasFev[Evento 
(1º Período)]="",tblHorasFev[Evento 
(2º Período)]=""),tblHorasFev[Horas Trabalhadas Além Jornada],""),"")</f>
        <v/>
      </c>
      <c r="R35" s="14" t="str">
        <f>IF(tblHorasFev[Jornada Diária]&lt;&gt;"",IF((N(tblHorasFev[Jornada Diária])-ABS(N(tblHorasFev[Horas Trabalhadas Além Jornada])))=0,1,""),"")</f>
        <v/>
      </c>
      <c r="S3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TEXT(tblHorasFev[Data],"ddd")</f>
        <v/>
      </c>
      <c r="D36" s="25"/>
      <c r="E36" s="1"/>
      <c r="F36" s="1"/>
      <c r="G36" s="1"/>
      <c r="H36" s="1"/>
      <c r="I36" s="53"/>
      <c r="J3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6" s="4">
        <f>tblHorasFev[Horas Trabalhadas (1º Período)]+tblHorasFev[Horas Trabalhadas (2º Período)]</f>
        <v>0</v>
      </c>
      <c r="M3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Jornada])+O35</f>
        <v>0</v>
      </c>
      <c r="P36" s="14">
        <f t="shared" si="0"/>
        <v>0</v>
      </c>
      <c r="Q36" s="14" t="str">
        <f>IF(tblHorasFev[Horas Trabalhadas Além Jornada]&lt;0,IF(OR(tblHorasFev[Evento 
(1º Período)]="",tblHorasFev[Evento 
(2º Período)]=""),tblHorasFev[Horas Trabalhadas Além Jornada],""),"")</f>
        <v/>
      </c>
      <c r="R36" s="14" t="str">
        <f>IF(tblHorasFev[Jornada Diária]&lt;&gt;"",IF((N(tblHorasFev[Jornada Diária])-ABS(N(tblHorasFev[Horas Trabalhadas Além Jornada])))=0,1,""),"")</f>
        <v/>
      </c>
      <c r="S3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TEXT(tblHorasFev[Data],"ddd")</f>
        <v/>
      </c>
      <c r="D37" s="25"/>
      <c r="E37" s="1"/>
      <c r="F37" s="1"/>
      <c r="G37" s="1"/>
      <c r="H37" s="1"/>
      <c r="I37" s="53"/>
      <c r="J3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7" s="4">
        <f>tblHorasFev[Horas Trabalhadas (1º Período)]+tblHorasFev[Horas Trabalhadas (2º Período)]</f>
        <v>0</v>
      </c>
      <c r="M3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Jornada])+O36</f>
        <v>0</v>
      </c>
      <c r="P37" s="14">
        <f t="shared" si="0"/>
        <v>0</v>
      </c>
      <c r="Q37" s="14" t="str">
        <f>IF(tblHorasFev[Horas Trabalhadas Além Jornada]&lt;0,IF(OR(tblHorasFev[Evento 
(1º Período)]="",tblHorasFev[Evento 
(2º Período)]=""),tblHorasFev[Horas Trabalhadas Além Jornada],""),"")</f>
        <v/>
      </c>
      <c r="R37" s="14" t="str">
        <f>IF(tblHorasFev[Jornada Diária]&lt;&gt;"",IF((N(tblHorasFev[Jornada Diária])-ABS(N(tblHorasFev[Horas Trabalhadas Além Jornada])))=0,1,""),"")</f>
        <v/>
      </c>
      <c r="S3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TEXT(tblHorasFev[Data],"ddd")</f>
        <v/>
      </c>
      <c r="D38" s="25"/>
      <c r="E38" s="1"/>
      <c r="F38" s="1"/>
      <c r="G38" s="1"/>
      <c r="H38" s="1"/>
      <c r="I38" s="53"/>
      <c r="J3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8" s="4">
        <f>tblHorasFev[Horas Trabalhadas (1º Período)]+tblHorasFev[Horas Trabalhadas (2º Período)]</f>
        <v>0</v>
      </c>
      <c r="M3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Jornada])+O37</f>
        <v>0</v>
      </c>
      <c r="P38" s="14">
        <f t="shared" si="0"/>
        <v>0</v>
      </c>
      <c r="Q38" s="14" t="str">
        <f>IF(tblHorasFev[Horas Trabalhadas Além Jornada]&lt;0,IF(OR(tblHorasFev[Evento 
(1º Período)]="",tblHorasFev[Evento 
(2º Período)]=""),tblHorasFev[Horas Trabalhadas Além Jornada],""),"")</f>
        <v/>
      </c>
      <c r="R38" s="14" t="str">
        <f>IF(tblHorasFev[Jornada Diária]&lt;&gt;"",IF((N(tblHorasFev[Jornada Diária])-ABS(N(tblHorasFev[Horas Trabalhadas Além Jornada])))=0,1,""),"")</f>
        <v/>
      </c>
      <c r="S3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TEXT(tblHorasFev[Data],"ddd")</f>
        <v/>
      </c>
      <c r="D39" s="25"/>
      <c r="E39" s="1"/>
      <c r="F39" s="1"/>
      <c r="G39" s="1"/>
      <c r="H39" s="1"/>
      <c r="I39" s="53"/>
      <c r="J3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9" s="4">
        <f>tblHorasFev[Horas Trabalhadas (1º Período)]+tblHorasFev[Horas Trabalhadas (2º Período)]</f>
        <v>0</v>
      </c>
      <c r="M3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Jornada])+O38</f>
        <v>0</v>
      </c>
      <c r="P39" s="14">
        <f t="shared" si="0"/>
        <v>0</v>
      </c>
      <c r="Q39" s="14" t="str">
        <f>IF(tblHorasFev[Horas Trabalhadas Além Jornada]&lt;0,IF(OR(tblHorasFev[Evento 
(1º Período)]="",tblHorasFev[Evento 
(2º Período)]=""),tblHorasFev[Horas Trabalhadas Além Jornada],""),"")</f>
        <v/>
      </c>
      <c r="R39" s="14" t="str">
        <f>IF(tblHorasFev[Jornada Diária]&lt;&gt;"",IF((N(tblHorasFev[Jornada Diária])-ABS(N(tblHorasFev[Horas Trabalhadas Além Jornada])))=0,1,""),"")</f>
        <v/>
      </c>
      <c r="S3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/suewcxgR73OKOqFaOm/8kBhtCMt4TIOAYPRDlGHhcz+tU+0whdcdQaojEqIbJHuTU9VzS7KE2HZnNEHYd7KBA==" saltValue="VRwXtWxb9+H5d1a4S0p+Kg==" spinCount="100000" sheet="1" formatCells="0" formatColumns="0" formatRows="0" selectLockedCells="1" autoFilter="0" pivotTables="0"/>
  <dataConsolidate/>
  <mergeCells count="8">
    <mergeCell ref="B6:C6"/>
    <mergeCell ref="O5:O6"/>
    <mergeCell ref="O1:U4"/>
    <mergeCell ref="G2:I2"/>
    <mergeCell ref="H3:I3"/>
    <mergeCell ref="H4:I4"/>
    <mergeCell ref="B5:C5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5919B187-41D6-419B-8266-B73BB61136E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B9:I9 L9:O9 Q9:U9</xm:sqref>
        </x14:conditionalFormatting>
        <x14:conditionalFormatting xmlns:xm="http://schemas.microsoft.com/office/excel/2006/main">
          <x14:cfRule type="expression" priority="12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</xm:sqref>
        </x14:conditionalFormatting>
        <x14:conditionalFormatting xmlns:xm="http://schemas.microsoft.com/office/excel/2006/main">
          <x14:cfRule type="expression" priority="14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L9:M9 G9:I9</xm:sqref>
        </x14:conditionalFormatting>
        <x14:conditionalFormatting xmlns:xm="http://schemas.microsoft.com/office/excel/2006/main">
          <x14:cfRule type="expression" priority="11" id="{2ED1A9A5-4E58-4247-9D74-D644E232B3A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8FE425F5-FAC1-4F3E-883A-A37694DD054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8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34231C1B-CEC7-4336-8E20-ED3DB24E0AD5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6D364920-23D9-4947-A072-D898005A9CC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J9:K9</xm:sqref>
        </x14:conditionalFormatting>
        <x14:conditionalFormatting xmlns:xm="http://schemas.microsoft.com/office/excel/2006/main">
          <x14:cfRule type="expression" priority="4" id="{B6B49FD1-8FDF-46B6-A83A-F34410264308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6" id="{0C7425DD-7C74-4A05-87DD-5713A43431A0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3" id="{5F0E1F24-E38A-4166-AABD-605D4644FB1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419F07A9-14D8-4C50-86E2-AA5CAA4A203E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rc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65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Fevereiro!O39</f>
        <v>0</v>
      </c>
      <c r="P7" s="45">
        <f>SUM(tblHorasMar[Atrasos
(horas)])</f>
        <v>0</v>
      </c>
      <c r="Q7" s="45">
        <f>SUM(tblHorasMar[Atrasos
(horas)])</f>
        <v>0</v>
      </c>
      <c r="R7" s="46">
        <f>SUM(tblHorasMar[Faltas
(dias)])</f>
        <v>0</v>
      </c>
      <c r="S7" s="45">
        <f>SUM(tblHorasMar[Hora Extra Normal])</f>
        <v>0</v>
      </c>
      <c r="T7" s="45">
        <f>SUM(tblHorasMar[Hora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TEXT(tblHorasMar[Data],"ddd")</f>
        <v/>
      </c>
      <c r="D9" s="25"/>
      <c r="E9" s="1"/>
      <c r="F9" s="1"/>
      <c r="G9" s="1"/>
      <c r="H9" s="1"/>
      <c r="I9" s="53"/>
      <c r="J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9" s="4">
        <f>tblHorasMar[Horas Trabalhadas (1º Período)]+tblHorasMar[Horas Trabalhadas (2º Período)]</f>
        <v>0</v>
      </c>
      <c r="M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Jornada])+O7</f>
        <v>0</v>
      </c>
      <c r="P9" s="14">
        <f t="shared" ref="P9:P39" si="0">G9-F9</f>
        <v>0</v>
      </c>
      <c r="Q9" s="14" t="str">
        <f>IF(tblHorasMar[Horas Trabalhadas Além Jornada]&lt;0,IF(OR(tblHorasMar[Evento 
(1º Período)]="",tblHorasMar[Evento 
(2º Período)]=""),tblHorasMar[Horas Trabalhadas Além Jornada],""),"")</f>
        <v/>
      </c>
      <c r="R9" s="14" t="str">
        <f>IF(tblHorasMar[Jornada Diária]&lt;&gt;"",IF((N(tblHorasMar[Jornada Diária])-ABS(N(tblHorasMar[Horas Trabalhadas Além Jornada])))=0,1,""),"")</f>
        <v/>
      </c>
      <c r="S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TEXT(tblHorasMar[Data],"ddd")</f>
        <v/>
      </c>
      <c r="D10" s="25"/>
      <c r="E10" s="1"/>
      <c r="F10" s="1"/>
      <c r="G10" s="1"/>
      <c r="H10" s="1"/>
      <c r="I10" s="53"/>
      <c r="J1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0" s="4">
        <f>tblHorasMar[Horas Trabalhadas (1º Período)]+tblHorasMar[Horas Trabalhadas (2º Período)]</f>
        <v>0</v>
      </c>
      <c r="M1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Jornada])+O9</f>
        <v>0</v>
      </c>
      <c r="P10" s="14">
        <f t="shared" si="0"/>
        <v>0</v>
      </c>
      <c r="Q10" s="14" t="str">
        <f>IF(tblHorasMar[Horas Trabalhadas Além Jornada]&lt;0,IF(OR(tblHorasMar[Evento 
(1º Período)]="",tblHorasMar[Evento 
(2º Período)]=""),tblHorasMar[Horas Trabalhadas Além Jornada],""),"")</f>
        <v/>
      </c>
      <c r="R10" s="14" t="str">
        <f>IF(tblHorasMar[Jornada Diária]&lt;&gt;"",IF((N(tblHorasMar[Jornada Diária])-ABS(N(tblHorasMar[Horas Trabalhadas Além Jornada])))=0,1,""),"")</f>
        <v/>
      </c>
      <c r="S1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TEXT(tblHorasMar[Data],"ddd")</f>
        <v/>
      </c>
      <c r="D11" s="25"/>
      <c r="E11" s="1"/>
      <c r="F11" s="1"/>
      <c r="G11" s="1"/>
      <c r="H11" s="1"/>
      <c r="I11" s="53"/>
      <c r="J1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1" s="4">
        <f>tblHorasMar[Horas Trabalhadas (1º Período)]+tblHorasMar[Horas Trabalhadas (2º Período)]</f>
        <v>0</v>
      </c>
      <c r="M1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Jornada])+O10</f>
        <v>0</v>
      </c>
      <c r="P11" s="14">
        <f t="shared" si="0"/>
        <v>0</v>
      </c>
      <c r="Q11" s="14" t="str">
        <f>IF(tblHorasMar[Horas Trabalhadas Além Jornada]&lt;0,IF(OR(tblHorasMar[Evento 
(1º Período)]="",tblHorasMar[Evento 
(2º Período)]=""),tblHorasMar[Horas Trabalhadas Além Jornada],""),"")</f>
        <v/>
      </c>
      <c r="R11" s="14" t="str">
        <f>IF(tblHorasMar[Jornada Diária]&lt;&gt;"",IF((N(tblHorasMar[Jornada Diária])-ABS(N(tblHorasMar[Horas Trabalhadas Além Jornada])))=0,1,""),"")</f>
        <v/>
      </c>
      <c r="S1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TEXT(tblHorasMar[Data],"ddd")</f>
        <v/>
      </c>
      <c r="D12" s="25"/>
      <c r="E12" s="1"/>
      <c r="F12" s="1"/>
      <c r="G12" s="1"/>
      <c r="H12" s="1"/>
      <c r="I12" s="53"/>
      <c r="J1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2" s="4">
        <f>tblHorasMar[Horas Trabalhadas (1º Período)]+tblHorasMar[Horas Trabalhadas (2º Período)]</f>
        <v>0</v>
      </c>
      <c r="M1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Jornada])+O11</f>
        <v>0</v>
      </c>
      <c r="P12" s="14">
        <f t="shared" si="0"/>
        <v>0</v>
      </c>
      <c r="Q12" s="14" t="str">
        <f>IF(tblHorasMar[Horas Trabalhadas Além Jornada]&lt;0,IF(OR(tblHorasMar[Evento 
(1º Período)]="",tblHorasMar[Evento 
(2º Período)]=""),tblHorasMar[Horas Trabalhadas Além Jornada],""),"")</f>
        <v/>
      </c>
      <c r="R12" s="14" t="str">
        <f>IF(tblHorasMar[Jornada Diária]&lt;&gt;"",IF((N(tblHorasMar[Jornada Diária])-ABS(N(tblHorasMar[Horas Trabalhadas Além Jornada])))=0,1,""),"")</f>
        <v/>
      </c>
      <c r="S1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TEXT(tblHorasMar[Data],"ddd")</f>
        <v/>
      </c>
      <c r="D13" s="25"/>
      <c r="E13" s="1"/>
      <c r="F13" s="1"/>
      <c r="G13" s="1"/>
      <c r="H13" s="1"/>
      <c r="I13" s="53"/>
      <c r="J1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3" s="4">
        <f>tblHorasMar[Horas Trabalhadas (1º Período)]+tblHorasMar[Horas Trabalhadas (2º Período)]</f>
        <v>0</v>
      </c>
      <c r="M1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Jornada])+O12</f>
        <v>0</v>
      </c>
      <c r="P13" s="14">
        <f t="shared" si="0"/>
        <v>0</v>
      </c>
      <c r="Q13" s="14" t="str">
        <f>IF(tblHorasMar[Horas Trabalhadas Além Jornada]&lt;0,IF(OR(tblHorasMar[Evento 
(1º Período)]="",tblHorasMar[Evento 
(2º Período)]=""),tblHorasMar[Horas Trabalhadas Além Jornada],""),"")</f>
        <v/>
      </c>
      <c r="R13" s="14" t="str">
        <f>IF(tblHorasMar[Jornada Diária]&lt;&gt;"",IF((N(tblHorasMar[Jornada Diária])-ABS(N(tblHorasMar[Horas Trabalhadas Além Jornada])))=0,1,""),"")</f>
        <v/>
      </c>
      <c r="S1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TEXT(tblHorasMar[Data],"ddd")</f>
        <v/>
      </c>
      <c r="D14" s="25"/>
      <c r="E14" s="1"/>
      <c r="F14" s="1"/>
      <c r="G14" s="1"/>
      <c r="H14" s="1"/>
      <c r="I14" s="53"/>
      <c r="J1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4" s="4">
        <f>tblHorasMar[Horas Trabalhadas (1º Período)]+tblHorasMar[Horas Trabalhadas (2º Período)]</f>
        <v>0</v>
      </c>
      <c r="M1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Jornada])+O13</f>
        <v>0</v>
      </c>
      <c r="P14" s="14">
        <f t="shared" si="0"/>
        <v>0</v>
      </c>
      <c r="Q14" s="14" t="str">
        <f>IF(tblHorasMar[Horas Trabalhadas Além Jornada]&lt;0,IF(OR(tblHorasMar[Evento 
(1º Período)]="",tblHorasMar[Evento 
(2º Período)]=""),tblHorasMar[Horas Trabalhadas Além Jornada],""),"")</f>
        <v/>
      </c>
      <c r="R14" s="14" t="str">
        <f>IF(tblHorasMar[Jornada Diária]&lt;&gt;"",IF((N(tblHorasMar[Jornada Diária])-ABS(N(tblHorasMar[Horas Trabalhadas Além Jornada])))=0,1,""),"")</f>
        <v/>
      </c>
      <c r="S1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TEXT(tblHorasMar[Data],"ddd")</f>
        <v/>
      </c>
      <c r="D15" s="25"/>
      <c r="E15" s="1"/>
      <c r="F15" s="1"/>
      <c r="G15" s="1"/>
      <c r="H15" s="1"/>
      <c r="I15" s="53"/>
      <c r="J1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5" s="4">
        <f>tblHorasMar[Horas Trabalhadas (1º Período)]+tblHorasMar[Horas Trabalhadas (2º Período)]</f>
        <v>0</v>
      </c>
      <c r="M1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Jornada])+O14</f>
        <v>0</v>
      </c>
      <c r="P15" s="14">
        <f t="shared" si="0"/>
        <v>0</v>
      </c>
      <c r="Q15" s="14" t="str">
        <f>IF(tblHorasMar[Horas Trabalhadas Além Jornada]&lt;0,IF(OR(tblHorasMar[Evento 
(1º Período)]="",tblHorasMar[Evento 
(2º Período)]=""),tblHorasMar[Horas Trabalhadas Além Jornada],""),"")</f>
        <v/>
      </c>
      <c r="R15" s="14" t="str">
        <f>IF(tblHorasMar[Jornada Diária]&lt;&gt;"",IF((N(tblHorasMar[Jornada Diária])-ABS(N(tblHorasMar[Horas Trabalhadas Além Jornada])))=0,1,""),"")</f>
        <v/>
      </c>
      <c r="S1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TEXT(tblHorasMar[Data],"ddd")</f>
        <v/>
      </c>
      <c r="D16" s="25"/>
      <c r="E16" s="1"/>
      <c r="F16" s="1"/>
      <c r="G16" s="1"/>
      <c r="H16" s="1"/>
      <c r="I16" s="53"/>
      <c r="J1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6" s="4">
        <f>tblHorasMar[Horas Trabalhadas (1º Período)]+tblHorasMar[Horas Trabalhadas (2º Período)]</f>
        <v>0</v>
      </c>
      <c r="M1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Jornada])+O15</f>
        <v>0</v>
      </c>
      <c r="P16" s="14">
        <f t="shared" si="0"/>
        <v>0</v>
      </c>
      <c r="Q16" s="14" t="str">
        <f>IF(tblHorasMar[Horas Trabalhadas Além Jornada]&lt;0,IF(OR(tblHorasMar[Evento 
(1º Período)]="",tblHorasMar[Evento 
(2º Período)]=""),tblHorasMar[Horas Trabalhadas Além Jornada],""),"")</f>
        <v/>
      </c>
      <c r="R16" s="14" t="str">
        <f>IF(tblHorasMar[Jornada Diária]&lt;&gt;"",IF((N(tblHorasMar[Jornada Diária])-ABS(N(tblHorasMar[Horas Trabalhadas Além Jornada])))=0,1,""),"")</f>
        <v/>
      </c>
      <c r="S1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TEXT(tblHorasMar[Data],"ddd")</f>
        <v/>
      </c>
      <c r="D17" s="25"/>
      <c r="E17" s="1"/>
      <c r="F17" s="1"/>
      <c r="G17" s="1"/>
      <c r="H17" s="1"/>
      <c r="I17" s="53"/>
      <c r="J1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7" s="4">
        <f>tblHorasMar[Horas Trabalhadas (1º Período)]+tblHorasMar[Horas Trabalhadas (2º Período)]</f>
        <v>0</v>
      </c>
      <c r="M1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Jornada])+O16</f>
        <v>0</v>
      </c>
      <c r="P17" s="14">
        <f t="shared" si="0"/>
        <v>0</v>
      </c>
      <c r="Q17" s="14" t="str">
        <f>IF(tblHorasMar[Horas Trabalhadas Além Jornada]&lt;0,IF(OR(tblHorasMar[Evento 
(1º Período)]="",tblHorasMar[Evento 
(2º Período)]=""),tblHorasMar[Horas Trabalhadas Além Jornada],""),"")</f>
        <v/>
      </c>
      <c r="R17" s="14" t="str">
        <f>IF(tblHorasMar[Jornada Diária]&lt;&gt;"",IF((N(tblHorasMar[Jornada Diária])-ABS(N(tblHorasMar[Horas Trabalhadas Além Jornada])))=0,1,""),"")</f>
        <v/>
      </c>
      <c r="S1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TEXT(tblHorasMar[Data],"ddd")</f>
        <v/>
      </c>
      <c r="D18" s="25"/>
      <c r="E18" s="1"/>
      <c r="F18" s="1"/>
      <c r="G18" s="1"/>
      <c r="H18" s="1"/>
      <c r="I18" s="53"/>
      <c r="J1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8" s="4">
        <f>tblHorasMar[Horas Trabalhadas (1º Período)]+tblHorasMar[Horas Trabalhadas (2º Período)]</f>
        <v>0</v>
      </c>
      <c r="M1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Jornada])+O17</f>
        <v>0</v>
      </c>
      <c r="P18" s="14">
        <f t="shared" si="0"/>
        <v>0</v>
      </c>
      <c r="Q18" s="14" t="str">
        <f>IF(tblHorasMar[Horas Trabalhadas Além Jornada]&lt;0,IF(OR(tblHorasMar[Evento 
(1º Período)]="",tblHorasMar[Evento 
(2º Período)]=""),tblHorasMar[Horas Trabalhadas Além Jornada],""),"")</f>
        <v/>
      </c>
      <c r="R18" s="14" t="str">
        <f>IF(tblHorasMar[Jornada Diária]&lt;&gt;"",IF((N(tblHorasMar[Jornada Diária])-ABS(N(tblHorasMar[Horas Trabalhadas Além Jornada])))=0,1,""),"")</f>
        <v/>
      </c>
      <c r="S1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TEXT(tblHorasMar[Data],"ddd")</f>
        <v/>
      </c>
      <c r="D19" s="25"/>
      <c r="E19" s="1"/>
      <c r="F19" s="1"/>
      <c r="G19" s="1"/>
      <c r="H19" s="1"/>
      <c r="I19" s="53"/>
      <c r="J1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9" s="4">
        <f>tblHorasMar[Horas Trabalhadas (1º Período)]+tblHorasMar[Horas Trabalhadas (2º Período)]</f>
        <v>0</v>
      </c>
      <c r="M1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Jornada])+O18</f>
        <v>0</v>
      </c>
      <c r="P19" s="14">
        <f t="shared" si="0"/>
        <v>0</v>
      </c>
      <c r="Q19" s="14" t="str">
        <f>IF(tblHorasMar[Horas Trabalhadas Além Jornada]&lt;0,IF(OR(tblHorasMar[Evento 
(1º Período)]="",tblHorasMar[Evento 
(2º Período)]=""),tblHorasMar[Horas Trabalhadas Além Jornada],""),"")</f>
        <v/>
      </c>
      <c r="R19" s="14" t="str">
        <f>IF(tblHorasMar[Jornada Diária]&lt;&gt;"",IF((N(tblHorasMar[Jornada Diária])-ABS(N(tblHorasMar[Horas Trabalhadas Além Jornada])))=0,1,""),"")</f>
        <v/>
      </c>
      <c r="S1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TEXT(tblHorasMar[Data],"ddd")</f>
        <v/>
      </c>
      <c r="D20" s="25"/>
      <c r="E20" s="1"/>
      <c r="F20" s="1"/>
      <c r="G20" s="1"/>
      <c r="H20" s="1"/>
      <c r="I20" s="53"/>
      <c r="J2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0" s="4">
        <f>tblHorasMar[Horas Trabalhadas (1º Período)]+tblHorasMar[Horas Trabalhadas (2º Período)]</f>
        <v>0</v>
      </c>
      <c r="M2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Jornada])+O19</f>
        <v>0</v>
      </c>
      <c r="P20" s="14">
        <f t="shared" si="0"/>
        <v>0</v>
      </c>
      <c r="Q20" s="14" t="str">
        <f>IF(tblHorasMar[Horas Trabalhadas Além Jornada]&lt;0,IF(OR(tblHorasMar[Evento 
(1º Período)]="",tblHorasMar[Evento 
(2º Período)]=""),tblHorasMar[Horas Trabalhadas Além Jornada],""),"")</f>
        <v/>
      </c>
      <c r="R20" s="14" t="str">
        <f>IF(tblHorasMar[Jornada Diária]&lt;&gt;"",IF((N(tblHorasMar[Jornada Diária])-ABS(N(tblHorasMar[Horas Trabalhadas Além Jornada])))=0,1,""),"")</f>
        <v/>
      </c>
      <c r="S2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TEXT(tblHorasMar[Data],"ddd")</f>
        <v/>
      </c>
      <c r="D21" s="25"/>
      <c r="E21" s="1"/>
      <c r="F21" s="1"/>
      <c r="G21" s="1"/>
      <c r="H21" s="1"/>
      <c r="I21" s="53"/>
      <c r="J2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1" s="4">
        <f>tblHorasMar[Horas Trabalhadas (1º Período)]+tblHorasMar[Horas Trabalhadas (2º Período)]</f>
        <v>0</v>
      </c>
      <c r="M2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Jornada])+O20</f>
        <v>0</v>
      </c>
      <c r="P21" s="14">
        <f t="shared" si="0"/>
        <v>0</v>
      </c>
      <c r="Q21" s="14" t="str">
        <f>IF(tblHorasMar[Horas Trabalhadas Além Jornada]&lt;0,IF(OR(tblHorasMar[Evento 
(1º Período)]="",tblHorasMar[Evento 
(2º Período)]=""),tblHorasMar[Horas Trabalhadas Além Jornada],""),"")</f>
        <v/>
      </c>
      <c r="R21" s="14" t="str">
        <f>IF(tblHorasMar[Jornada Diária]&lt;&gt;"",IF((N(tblHorasMar[Jornada Diária])-ABS(N(tblHorasMar[Horas Trabalhadas Além Jornada])))=0,1,""),"")</f>
        <v/>
      </c>
      <c r="S2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TEXT(tblHorasMar[Data],"ddd")</f>
        <v/>
      </c>
      <c r="D22" s="25"/>
      <c r="E22" s="1"/>
      <c r="F22" s="1"/>
      <c r="G22" s="1"/>
      <c r="H22" s="1"/>
      <c r="I22" s="53"/>
      <c r="J2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2" s="4">
        <f>tblHorasMar[Horas Trabalhadas (1º Período)]+tblHorasMar[Horas Trabalhadas (2º Período)]</f>
        <v>0</v>
      </c>
      <c r="M2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Jornada])+O21</f>
        <v>0</v>
      </c>
      <c r="P22" s="14">
        <f t="shared" si="0"/>
        <v>0</v>
      </c>
      <c r="Q22" s="14" t="str">
        <f>IF(tblHorasMar[Horas Trabalhadas Além Jornada]&lt;0,IF(OR(tblHorasMar[Evento 
(1º Período)]="",tblHorasMar[Evento 
(2º Período)]=""),tblHorasMar[Horas Trabalhadas Além Jornada],""),"")</f>
        <v/>
      </c>
      <c r="R22" s="14" t="str">
        <f>IF(tblHorasMar[Jornada Diária]&lt;&gt;"",IF((N(tblHorasMar[Jornada Diária])-ABS(N(tblHorasMar[Horas Trabalhadas Além Jornada])))=0,1,""),"")</f>
        <v/>
      </c>
      <c r="S2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TEXT(tblHorasMar[Data],"ddd")</f>
        <v/>
      </c>
      <c r="D23" s="25"/>
      <c r="E23" s="1"/>
      <c r="F23" s="1"/>
      <c r="G23" s="1"/>
      <c r="H23" s="1"/>
      <c r="I23" s="53"/>
      <c r="J2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3" s="4">
        <f>tblHorasMar[Horas Trabalhadas (1º Período)]+tblHorasMar[Horas Trabalhadas (2º Período)]</f>
        <v>0</v>
      </c>
      <c r="M2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Jornada])+O22</f>
        <v>0</v>
      </c>
      <c r="P23" s="14">
        <f t="shared" si="0"/>
        <v>0</v>
      </c>
      <c r="Q23" s="14" t="str">
        <f>IF(tblHorasMar[Horas Trabalhadas Além Jornada]&lt;0,IF(OR(tblHorasMar[Evento 
(1º Período)]="",tblHorasMar[Evento 
(2º Período)]=""),tblHorasMar[Horas Trabalhadas Além Jornada],""),"")</f>
        <v/>
      </c>
      <c r="R23" s="14" t="str">
        <f>IF(tblHorasMar[Jornada Diária]&lt;&gt;"",IF((N(tblHorasMar[Jornada Diária])-ABS(N(tblHorasMar[Horas Trabalhadas Além Jornada])))=0,1,""),"")</f>
        <v/>
      </c>
      <c r="S2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TEXT(tblHorasMar[Data],"ddd")</f>
        <v/>
      </c>
      <c r="D24" s="25"/>
      <c r="E24" s="1"/>
      <c r="F24" s="1"/>
      <c r="G24" s="1"/>
      <c r="H24" s="1"/>
      <c r="I24" s="53"/>
      <c r="J2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4" s="4">
        <f>tblHorasMar[Horas Trabalhadas (1º Período)]+tblHorasMar[Horas Trabalhadas (2º Período)]</f>
        <v>0</v>
      </c>
      <c r="M2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Jornada])+O23</f>
        <v>0</v>
      </c>
      <c r="P24" s="14">
        <f t="shared" si="0"/>
        <v>0</v>
      </c>
      <c r="Q24" s="14" t="str">
        <f>IF(tblHorasMar[Horas Trabalhadas Além Jornada]&lt;0,IF(OR(tblHorasMar[Evento 
(1º Período)]="",tblHorasMar[Evento 
(2º Período)]=""),tblHorasMar[Horas Trabalhadas Além Jornada],""),"")</f>
        <v/>
      </c>
      <c r="R24" s="14" t="str">
        <f>IF(tblHorasMar[Jornada Diária]&lt;&gt;"",IF((N(tblHorasMar[Jornada Diária])-ABS(N(tblHorasMar[Horas Trabalhadas Além Jornada])))=0,1,""),"")</f>
        <v/>
      </c>
      <c r="S2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TEXT(tblHorasMar[Data],"ddd")</f>
        <v/>
      </c>
      <c r="D25" s="25"/>
      <c r="E25" s="1"/>
      <c r="F25" s="1"/>
      <c r="G25" s="1"/>
      <c r="H25" s="1"/>
      <c r="I25" s="53"/>
      <c r="J2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5" s="4">
        <f>tblHorasMar[Horas Trabalhadas (1º Período)]+tblHorasMar[Horas Trabalhadas (2º Período)]</f>
        <v>0</v>
      </c>
      <c r="M2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Jornada])+O24</f>
        <v>0</v>
      </c>
      <c r="P25" s="14">
        <f t="shared" si="0"/>
        <v>0</v>
      </c>
      <c r="Q25" s="14" t="str">
        <f>IF(tblHorasMar[Horas Trabalhadas Além Jornada]&lt;0,IF(OR(tblHorasMar[Evento 
(1º Período)]="",tblHorasMar[Evento 
(2º Período)]=""),tblHorasMar[Horas Trabalhadas Além Jornada],""),"")</f>
        <v/>
      </c>
      <c r="R25" s="14" t="str">
        <f>IF(tblHorasMar[Jornada Diária]&lt;&gt;"",IF((N(tblHorasMar[Jornada Diária])-ABS(N(tblHorasMar[Horas Trabalhadas Além Jornada])))=0,1,""),"")</f>
        <v/>
      </c>
      <c r="S2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TEXT(tblHorasMar[Data],"ddd")</f>
        <v/>
      </c>
      <c r="D26" s="25"/>
      <c r="E26" s="1"/>
      <c r="F26" s="1"/>
      <c r="G26" s="1"/>
      <c r="H26" s="1"/>
      <c r="I26" s="53"/>
      <c r="J2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6" s="4">
        <f>tblHorasMar[Horas Trabalhadas (1º Período)]+tblHorasMar[Horas Trabalhadas (2º Período)]</f>
        <v>0</v>
      </c>
      <c r="M2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Jornada])+O25</f>
        <v>0</v>
      </c>
      <c r="P26" s="14">
        <f t="shared" si="0"/>
        <v>0</v>
      </c>
      <c r="Q26" s="14" t="str">
        <f>IF(tblHorasMar[Horas Trabalhadas Além Jornada]&lt;0,IF(OR(tblHorasMar[Evento 
(1º Período)]="",tblHorasMar[Evento 
(2º Período)]=""),tblHorasMar[Horas Trabalhadas Além Jornada],""),"")</f>
        <v/>
      </c>
      <c r="R26" s="14" t="str">
        <f>IF(tblHorasMar[Jornada Diária]&lt;&gt;"",IF((N(tblHorasMar[Jornada Diária])-ABS(N(tblHorasMar[Horas Trabalhadas Além Jornada])))=0,1,""),"")</f>
        <v/>
      </c>
      <c r="S2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TEXT(tblHorasMar[Data],"ddd")</f>
        <v/>
      </c>
      <c r="D27" s="25"/>
      <c r="E27" s="1"/>
      <c r="F27" s="1"/>
      <c r="G27" s="1"/>
      <c r="H27" s="1"/>
      <c r="I27" s="53"/>
      <c r="J2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7" s="4">
        <f>tblHorasMar[Horas Trabalhadas (1º Período)]+tblHorasMar[Horas Trabalhadas (2º Período)]</f>
        <v>0</v>
      </c>
      <c r="M2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Jornada])+O26</f>
        <v>0</v>
      </c>
      <c r="P27" s="14">
        <f t="shared" si="0"/>
        <v>0</v>
      </c>
      <c r="Q27" s="14" t="str">
        <f>IF(tblHorasMar[Horas Trabalhadas Além Jornada]&lt;0,IF(OR(tblHorasMar[Evento 
(1º Período)]="",tblHorasMar[Evento 
(2º Período)]=""),tblHorasMar[Horas Trabalhadas Além Jornada],""),"")</f>
        <v/>
      </c>
      <c r="R27" s="14" t="str">
        <f>IF(tblHorasMar[Jornada Diária]&lt;&gt;"",IF((N(tblHorasMar[Jornada Diária])-ABS(N(tblHorasMar[Horas Trabalhadas Além Jornada])))=0,1,""),"")</f>
        <v/>
      </c>
      <c r="S2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TEXT(tblHorasMar[Data],"ddd")</f>
        <v/>
      </c>
      <c r="D28" s="25"/>
      <c r="E28" s="1"/>
      <c r="F28" s="1"/>
      <c r="G28" s="1"/>
      <c r="H28" s="1"/>
      <c r="I28" s="53"/>
      <c r="J2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8" s="4">
        <f>tblHorasMar[Horas Trabalhadas (1º Período)]+tblHorasMar[Horas Trabalhadas (2º Período)]</f>
        <v>0</v>
      </c>
      <c r="M2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Jornada])+O27</f>
        <v>0</v>
      </c>
      <c r="P28" s="14">
        <f t="shared" si="0"/>
        <v>0</v>
      </c>
      <c r="Q28" s="14" t="str">
        <f>IF(tblHorasMar[Horas Trabalhadas Além Jornada]&lt;0,IF(OR(tblHorasMar[Evento 
(1º Período)]="",tblHorasMar[Evento 
(2º Período)]=""),tblHorasMar[Horas Trabalhadas Além Jornada],""),"")</f>
        <v/>
      </c>
      <c r="R28" s="14" t="str">
        <f>IF(tblHorasMar[Jornada Diária]&lt;&gt;"",IF((N(tblHorasMar[Jornada Diária])-ABS(N(tblHorasMar[Horas Trabalhadas Além Jornada])))=0,1,""),"")</f>
        <v/>
      </c>
      <c r="S2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TEXT(tblHorasMar[Data],"ddd")</f>
        <v/>
      </c>
      <c r="D29" s="25"/>
      <c r="E29" s="1"/>
      <c r="F29" s="1"/>
      <c r="G29" s="1"/>
      <c r="H29" s="1"/>
      <c r="I29" s="53"/>
      <c r="J2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9" s="4">
        <f>tblHorasMar[Horas Trabalhadas (1º Período)]+tblHorasMar[Horas Trabalhadas (2º Período)]</f>
        <v>0</v>
      </c>
      <c r="M2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Jornada])+O28</f>
        <v>0</v>
      </c>
      <c r="P29" s="14">
        <f t="shared" si="0"/>
        <v>0</v>
      </c>
      <c r="Q29" s="14" t="str">
        <f>IF(tblHorasMar[Horas Trabalhadas Além Jornada]&lt;0,IF(OR(tblHorasMar[Evento 
(1º Período)]="",tblHorasMar[Evento 
(2º Período)]=""),tblHorasMar[Horas Trabalhadas Além Jornada],""),"")</f>
        <v/>
      </c>
      <c r="R29" s="14" t="str">
        <f>IF(tblHorasMar[Jornada Diária]&lt;&gt;"",IF((N(tblHorasMar[Jornada Diária])-ABS(N(tblHorasMar[Horas Trabalhadas Além Jornada])))=0,1,""),"")</f>
        <v/>
      </c>
      <c r="S2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TEXT(tblHorasMar[Data],"ddd")</f>
        <v/>
      </c>
      <c r="D30" s="25"/>
      <c r="E30" s="1"/>
      <c r="F30" s="1"/>
      <c r="G30" s="1"/>
      <c r="H30" s="1"/>
      <c r="I30" s="53"/>
      <c r="J3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0" s="4">
        <f>tblHorasMar[Horas Trabalhadas (1º Período)]+tblHorasMar[Horas Trabalhadas (2º Período)]</f>
        <v>0</v>
      </c>
      <c r="M3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Jornada])+O29</f>
        <v>0</v>
      </c>
      <c r="P30" s="14">
        <f t="shared" si="0"/>
        <v>0</v>
      </c>
      <c r="Q30" s="14" t="str">
        <f>IF(tblHorasMar[Horas Trabalhadas Além Jornada]&lt;0,IF(OR(tblHorasMar[Evento 
(1º Período)]="",tblHorasMar[Evento 
(2º Período)]=""),tblHorasMar[Horas Trabalhadas Além Jornada],""),"")</f>
        <v/>
      </c>
      <c r="R30" s="14" t="str">
        <f>IF(tblHorasMar[Jornada Diária]&lt;&gt;"",IF((N(tblHorasMar[Jornada Diária])-ABS(N(tblHorasMar[Horas Trabalhadas Além Jornada])))=0,1,""),"")</f>
        <v/>
      </c>
      <c r="S3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TEXT(tblHorasMar[Data],"ddd")</f>
        <v/>
      </c>
      <c r="D31" s="25"/>
      <c r="E31" s="1"/>
      <c r="F31" s="1"/>
      <c r="G31" s="1"/>
      <c r="H31" s="1"/>
      <c r="I31" s="53"/>
      <c r="J3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1" s="4">
        <f>tblHorasMar[Horas Trabalhadas (1º Período)]+tblHorasMar[Horas Trabalhadas (2º Período)]</f>
        <v>0</v>
      </c>
      <c r="M3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Jornada])+O30</f>
        <v>0</v>
      </c>
      <c r="P31" s="14">
        <f t="shared" si="0"/>
        <v>0</v>
      </c>
      <c r="Q31" s="14" t="str">
        <f>IF(tblHorasMar[Horas Trabalhadas Além Jornada]&lt;0,IF(OR(tblHorasMar[Evento 
(1º Período)]="",tblHorasMar[Evento 
(2º Período)]=""),tblHorasMar[Horas Trabalhadas Além Jornada],""),"")</f>
        <v/>
      </c>
      <c r="R31" s="14" t="str">
        <f>IF(tblHorasMar[Jornada Diária]&lt;&gt;"",IF((N(tblHorasMar[Jornada Diária])-ABS(N(tblHorasMar[Horas Trabalhadas Além Jornada])))=0,1,""),"")</f>
        <v/>
      </c>
      <c r="S3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TEXT(tblHorasMar[Data],"ddd")</f>
        <v/>
      </c>
      <c r="D32" s="25"/>
      <c r="E32" s="1"/>
      <c r="F32" s="1"/>
      <c r="G32" s="1"/>
      <c r="H32" s="1"/>
      <c r="I32" s="53"/>
      <c r="J3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2" s="4">
        <f>tblHorasMar[Horas Trabalhadas (1º Período)]+tblHorasMar[Horas Trabalhadas (2º Período)]</f>
        <v>0</v>
      </c>
      <c r="M3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Jornada])+O31</f>
        <v>0</v>
      </c>
      <c r="P32" s="14">
        <f t="shared" si="0"/>
        <v>0</v>
      </c>
      <c r="Q32" s="14" t="str">
        <f>IF(tblHorasMar[Horas Trabalhadas Além Jornada]&lt;0,IF(OR(tblHorasMar[Evento 
(1º Período)]="",tblHorasMar[Evento 
(2º Período)]=""),tblHorasMar[Horas Trabalhadas Além Jornada],""),"")</f>
        <v/>
      </c>
      <c r="R32" s="14" t="str">
        <f>IF(tblHorasMar[Jornada Diária]&lt;&gt;"",IF((N(tblHorasMar[Jornada Diária])-ABS(N(tblHorasMar[Horas Trabalhadas Além Jornada])))=0,1,""),"")</f>
        <v/>
      </c>
      <c r="S3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TEXT(tblHorasMar[Data],"ddd")</f>
        <v/>
      </c>
      <c r="D33" s="25"/>
      <c r="E33" s="1"/>
      <c r="F33" s="1"/>
      <c r="G33" s="1"/>
      <c r="H33" s="1"/>
      <c r="I33" s="53"/>
      <c r="J3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3" s="4">
        <f>tblHorasMar[Horas Trabalhadas (1º Período)]+tblHorasMar[Horas Trabalhadas (2º Período)]</f>
        <v>0</v>
      </c>
      <c r="M3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Jornada])+O32</f>
        <v>0</v>
      </c>
      <c r="P33" s="14">
        <f t="shared" si="0"/>
        <v>0</v>
      </c>
      <c r="Q33" s="14" t="str">
        <f>IF(tblHorasMar[Horas Trabalhadas Além Jornada]&lt;0,IF(OR(tblHorasMar[Evento 
(1º Período)]="",tblHorasMar[Evento 
(2º Período)]=""),tblHorasMar[Horas Trabalhadas Além Jornada],""),"")</f>
        <v/>
      </c>
      <c r="R33" s="14" t="str">
        <f>IF(tblHorasMar[Jornada Diária]&lt;&gt;"",IF((N(tblHorasMar[Jornada Diária])-ABS(N(tblHorasMar[Horas Trabalhadas Além Jornada])))=0,1,""),"")</f>
        <v/>
      </c>
      <c r="S3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TEXT(tblHorasMar[Data],"ddd")</f>
        <v/>
      </c>
      <c r="D34" s="25"/>
      <c r="E34" s="1"/>
      <c r="F34" s="1"/>
      <c r="G34" s="1"/>
      <c r="H34" s="1"/>
      <c r="I34" s="53"/>
      <c r="J3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4" s="4">
        <f>tblHorasMar[Horas Trabalhadas (1º Período)]+tblHorasMar[Horas Trabalhadas (2º Período)]</f>
        <v>0</v>
      </c>
      <c r="M3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Jornada])+O33</f>
        <v>0</v>
      </c>
      <c r="P34" s="14">
        <f t="shared" si="0"/>
        <v>0</v>
      </c>
      <c r="Q34" s="14" t="str">
        <f>IF(tblHorasMar[Horas Trabalhadas Além Jornada]&lt;0,IF(OR(tblHorasMar[Evento 
(1º Período)]="",tblHorasMar[Evento 
(2º Período)]=""),tblHorasMar[Horas Trabalhadas Além Jornada],""),"")</f>
        <v/>
      </c>
      <c r="R34" s="14" t="str">
        <f>IF(tblHorasMar[Jornada Diária]&lt;&gt;"",IF((N(tblHorasMar[Jornada Diária])-ABS(N(tblHorasMar[Horas Trabalhadas Além Jornada])))=0,1,""),"")</f>
        <v/>
      </c>
      <c r="S3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TEXT(tblHorasMar[Data],"ddd")</f>
        <v/>
      </c>
      <c r="D35" s="25"/>
      <c r="E35" s="1"/>
      <c r="F35" s="1"/>
      <c r="G35" s="1"/>
      <c r="H35" s="1"/>
      <c r="I35" s="53"/>
      <c r="J3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5" s="4">
        <f>tblHorasMar[Horas Trabalhadas (1º Período)]+tblHorasMar[Horas Trabalhadas (2º Período)]</f>
        <v>0</v>
      </c>
      <c r="M3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Jornada])+O34</f>
        <v>0</v>
      </c>
      <c r="P35" s="14">
        <f t="shared" si="0"/>
        <v>0</v>
      </c>
      <c r="Q35" s="14" t="str">
        <f>IF(tblHorasMar[Horas Trabalhadas Além Jornada]&lt;0,IF(OR(tblHorasMar[Evento 
(1º Período)]="",tblHorasMar[Evento 
(2º Período)]=""),tblHorasMar[Horas Trabalhadas Além Jornada],""),"")</f>
        <v/>
      </c>
      <c r="R35" s="14" t="str">
        <f>IF(tblHorasMar[Jornada Diária]&lt;&gt;"",IF((N(tblHorasMar[Jornada Diária])-ABS(N(tblHorasMar[Horas Trabalhadas Além Jornada])))=0,1,""),"")</f>
        <v/>
      </c>
      <c r="S3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TEXT(tblHorasMar[Data],"ddd")</f>
        <v/>
      </c>
      <c r="D36" s="25"/>
      <c r="E36" s="1"/>
      <c r="F36" s="1"/>
      <c r="G36" s="1"/>
      <c r="H36" s="1"/>
      <c r="I36" s="53"/>
      <c r="J3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6" s="4">
        <f>tblHorasMar[Horas Trabalhadas (1º Período)]+tblHorasMar[Horas Trabalhadas (2º Período)]</f>
        <v>0</v>
      </c>
      <c r="M3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Jornada])+O35</f>
        <v>0</v>
      </c>
      <c r="P36" s="14">
        <f t="shared" si="0"/>
        <v>0</v>
      </c>
      <c r="Q36" s="14" t="str">
        <f>IF(tblHorasMar[Horas Trabalhadas Além Jornada]&lt;0,IF(OR(tblHorasMar[Evento 
(1º Período)]="",tblHorasMar[Evento 
(2º Período)]=""),tblHorasMar[Horas Trabalhadas Além Jornada],""),"")</f>
        <v/>
      </c>
      <c r="R36" s="14" t="str">
        <f>IF(tblHorasMar[Jornada Diária]&lt;&gt;"",IF((N(tblHorasMar[Jornada Diária])-ABS(N(tblHorasMar[Horas Trabalhadas Além Jornada])))=0,1,""),"")</f>
        <v/>
      </c>
      <c r="S3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TEXT(tblHorasMar[Data],"ddd")</f>
        <v/>
      </c>
      <c r="D37" s="25"/>
      <c r="E37" s="1"/>
      <c r="F37" s="1"/>
      <c r="G37" s="1"/>
      <c r="H37" s="1"/>
      <c r="I37" s="53"/>
      <c r="J3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7" s="4">
        <f>tblHorasMar[Horas Trabalhadas (1º Período)]+tblHorasMar[Horas Trabalhadas (2º Período)]</f>
        <v>0</v>
      </c>
      <c r="M3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Jornada])+O36</f>
        <v>0</v>
      </c>
      <c r="P37" s="14">
        <f t="shared" si="0"/>
        <v>0</v>
      </c>
      <c r="Q37" s="14" t="str">
        <f>IF(tblHorasMar[Horas Trabalhadas Além Jornada]&lt;0,IF(OR(tblHorasMar[Evento 
(1º Período)]="",tblHorasMar[Evento 
(2º Período)]=""),tblHorasMar[Horas Trabalhadas Além Jornada],""),"")</f>
        <v/>
      </c>
      <c r="R37" s="14" t="str">
        <f>IF(tblHorasMar[Jornada Diária]&lt;&gt;"",IF((N(tblHorasMar[Jornada Diária])-ABS(N(tblHorasMar[Horas Trabalhadas Além Jornada])))=0,1,""),"")</f>
        <v/>
      </c>
      <c r="S3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TEXT(tblHorasMar[Data],"ddd")</f>
        <v/>
      </c>
      <c r="D38" s="25"/>
      <c r="E38" s="1"/>
      <c r="F38" s="1"/>
      <c r="G38" s="1"/>
      <c r="H38" s="1"/>
      <c r="I38" s="53"/>
      <c r="J3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8" s="4">
        <f>tblHorasMar[Horas Trabalhadas (1º Período)]+tblHorasMar[Horas Trabalhadas (2º Período)]</f>
        <v>0</v>
      </c>
      <c r="M3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Jornada])+O37</f>
        <v>0</v>
      </c>
      <c r="P38" s="14">
        <f t="shared" si="0"/>
        <v>0</v>
      </c>
      <c r="Q38" s="14" t="str">
        <f>IF(tblHorasMar[Horas Trabalhadas Além Jornada]&lt;0,IF(OR(tblHorasMar[Evento 
(1º Período)]="",tblHorasMar[Evento 
(2º Período)]=""),tblHorasMar[Horas Trabalhadas Além Jornada],""),"")</f>
        <v/>
      </c>
      <c r="R38" s="14" t="str">
        <f>IF(tblHorasMar[Jornada Diária]&lt;&gt;"",IF((N(tblHorasMar[Jornada Diária])-ABS(N(tblHorasMar[Horas Trabalhadas Além Jornada])))=0,1,""),"")</f>
        <v/>
      </c>
      <c r="S3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TEXT(tblHorasMar[Data],"ddd")</f>
        <v/>
      </c>
      <c r="D39" s="25"/>
      <c r="E39" s="1"/>
      <c r="F39" s="1"/>
      <c r="G39" s="1"/>
      <c r="H39" s="1"/>
      <c r="I39" s="53"/>
      <c r="J3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9" s="4">
        <f>tblHorasMar[Horas Trabalhadas (1º Período)]+tblHorasMar[Horas Trabalhadas (2º Período)]</f>
        <v>0</v>
      </c>
      <c r="M3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Jornada])+O38</f>
        <v>0</v>
      </c>
      <c r="P39" s="14">
        <f t="shared" si="0"/>
        <v>0</v>
      </c>
      <c r="Q39" s="14" t="str">
        <f>IF(tblHorasMar[Horas Trabalhadas Além Jornada]&lt;0,IF(OR(tblHorasMar[Evento 
(1º Período)]="",tblHorasMar[Evento 
(2º Período)]=""),tblHorasMar[Horas Trabalhadas Além Jornada],""),"")</f>
        <v/>
      </c>
      <c r="R39" s="14" t="str">
        <f>IF(tblHorasMar[Jornada Diária]&lt;&gt;"",IF((N(tblHorasMar[Jornada Diária])-ABS(N(tblHorasMar[Horas Trabalhadas Além Jornada])))=0,1,""),"")</f>
        <v/>
      </c>
      <c r="S3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gzeFk/IdZYtbchVVCX1G2vlXL6jU3xJu0pIzmiXted0oeJ3LYbuM3eV7d/pIqS3BXKx/8G2KTwjo/pF1b1rFrw==" saltValue="UE96xE5jglUpCscqZokDI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E4C2BFA4-DB4E-45F6-A2C0-EAA861F2B1F5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I9:O9 Q9:U9</xm:sqref>
        </x14:conditionalFormatting>
        <x14:conditionalFormatting xmlns:xm="http://schemas.microsoft.com/office/excel/2006/main">
          <x14:cfRule type="expression" priority="12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4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11" id="{C8F1A40A-AC09-4823-8F21-79150CAD3DE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7F279991-609A-4DA3-997E-2474E6746B1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8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2FC4B283-BAA8-41A4-855B-797F4EECEF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1B7F0661-598B-41FB-892D-D50078AD4A2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4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6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  <x14:conditionalFormatting xmlns:xm="http://schemas.microsoft.com/office/excel/2006/main">
          <x14:cfRule type="expression" priority="3" id="{A5B383A8-742E-4462-AF18-34A5D583803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4A6BCECA-4F6C-4FE0-ACE4-62BF09C84FE0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bril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66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Março!O39</f>
        <v>0</v>
      </c>
      <c r="P7" s="45">
        <f>SUM(tblHorasAbr[Atrasos
(horas)])</f>
        <v>0</v>
      </c>
      <c r="Q7" s="45">
        <f>SUM(tblHorasAbr[Atrasos
(horas)])</f>
        <v>0</v>
      </c>
      <c r="R7" s="46">
        <f>SUM(tblHorasAbr[Faltas
(dias)])</f>
        <v>0</v>
      </c>
      <c r="S7" s="45">
        <f>SUM(tblHorasAbr[Hora Extra Normal])</f>
        <v>0</v>
      </c>
      <c r="T7" s="45">
        <f>SUM(tblHorasAbr[Hora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TEXT(tblHorasAbr[Data],"ddd")</f>
        <v/>
      </c>
      <c r="D9" s="25"/>
      <c r="E9" s="1"/>
      <c r="F9" s="1"/>
      <c r="G9" s="1"/>
      <c r="H9" s="1"/>
      <c r="I9" s="53"/>
      <c r="J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9" s="4">
        <f>tblHorasAbr[Horas Trabalhadas (1º Período)]+tblHorasAbr[Horas Trabalhadas (2º Período)]</f>
        <v>0</v>
      </c>
      <c r="M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Jornada])+O7</f>
        <v>0</v>
      </c>
      <c r="P9" s="14">
        <f t="shared" ref="P9:P39" si="0">G9-F9</f>
        <v>0</v>
      </c>
      <c r="Q9" s="14" t="str">
        <f>IF(tblHorasAbr[Horas Trabalhadas Além Jornada]&lt;0,IF(OR(tblHorasAbr[Evento 
(1º Período)]="",tblHorasAbr[Evento 
(2º Período)]=""),tblHorasAbr[Horas Trabalhadas Além Jornada],""),"")</f>
        <v/>
      </c>
      <c r="R9" s="14" t="str">
        <f>IF(tblHorasAbr[Jornada Diária]&lt;&gt;"",IF((N(tblHorasAbr[Jornada Diária])-ABS(N(tblHorasAbr[Horas Trabalhadas Além Jornada])))=0,1,""),"")</f>
        <v/>
      </c>
      <c r="S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TEXT(tblHorasAbr[Data],"ddd")</f>
        <v/>
      </c>
      <c r="D10" s="25"/>
      <c r="E10" s="1"/>
      <c r="F10" s="1"/>
      <c r="G10" s="1"/>
      <c r="H10" s="1"/>
      <c r="I10" s="53"/>
      <c r="J1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0" s="4">
        <f>tblHorasAbr[Horas Trabalhadas (1º Período)]+tblHorasAbr[Horas Trabalhadas (2º Período)]</f>
        <v>0</v>
      </c>
      <c r="M1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Jornada])+O9</f>
        <v>0</v>
      </c>
      <c r="P10" s="14">
        <f t="shared" si="0"/>
        <v>0</v>
      </c>
      <c r="Q10" s="14" t="str">
        <f>IF(tblHorasAbr[Horas Trabalhadas Além Jornada]&lt;0,IF(OR(tblHorasAbr[Evento 
(1º Período)]="",tblHorasAbr[Evento 
(2º Período)]=""),tblHorasAbr[Horas Trabalhadas Além Jornada],""),"")</f>
        <v/>
      </c>
      <c r="R10" s="14" t="str">
        <f>IF(tblHorasAbr[Jornada Diária]&lt;&gt;"",IF((N(tblHorasAbr[Jornada Diária])-ABS(N(tblHorasAbr[Horas Trabalhadas Além Jornada])))=0,1,""),"")</f>
        <v/>
      </c>
      <c r="S1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TEXT(tblHorasAbr[Data],"ddd")</f>
        <v/>
      </c>
      <c r="D11" s="25"/>
      <c r="E11" s="1"/>
      <c r="F11" s="1"/>
      <c r="G11" s="1"/>
      <c r="H11" s="1"/>
      <c r="I11" s="53"/>
      <c r="J1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1" s="4">
        <f>tblHorasAbr[Horas Trabalhadas (1º Período)]+tblHorasAbr[Horas Trabalhadas (2º Período)]</f>
        <v>0</v>
      </c>
      <c r="M1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Jornada])+O10</f>
        <v>0</v>
      </c>
      <c r="P11" s="14">
        <f t="shared" si="0"/>
        <v>0</v>
      </c>
      <c r="Q11" s="14" t="str">
        <f>IF(tblHorasAbr[Horas Trabalhadas Além Jornada]&lt;0,IF(OR(tblHorasAbr[Evento 
(1º Período)]="",tblHorasAbr[Evento 
(2º Período)]=""),tblHorasAbr[Horas Trabalhadas Além Jornada],""),"")</f>
        <v/>
      </c>
      <c r="R11" s="14" t="str">
        <f>IF(tblHorasAbr[Jornada Diária]&lt;&gt;"",IF((N(tblHorasAbr[Jornada Diária])-ABS(N(tblHorasAbr[Horas Trabalhadas Além Jornada])))=0,1,""),"")</f>
        <v/>
      </c>
      <c r="S1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TEXT(tblHorasAbr[Data],"ddd")</f>
        <v/>
      </c>
      <c r="D12" s="25"/>
      <c r="E12" s="1"/>
      <c r="F12" s="1"/>
      <c r="G12" s="1"/>
      <c r="H12" s="1"/>
      <c r="I12" s="53"/>
      <c r="J1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2" s="4">
        <f>tblHorasAbr[Horas Trabalhadas (1º Período)]+tblHorasAbr[Horas Trabalhadas (2º Período)]</f>
        <v>0</v>
      </c>
      <c r="M1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Jornada])+O11</f>
        <v>0</v>
      </c>
      <c r="P12" s="14">
        <f t="shared" si="0"/>
        <v>0</v>
      </c>
      <c r="Q12" s="14" t="str">
        <f>IF(tblHorasAbr[Horas Trabalhadas Além Jornada]&lt;0,IF(OR(tblHorasAbr[Evento 
(1º Período)]="",tblHorasAbr[Evento 
(2º Período)]=""),tblHorasAbr[Horas Trabalhadas Além Jornada],""),"")</f>
        <v/>
      </c>
      <c r="R12" s="14" t="str">
        <f>IF(tblHorasAbr[Jornada Diária]&lt;&gt;"",IF((N(tblHorasAbr[Jornada Diária])-ABS(N(tblHorasAbr[Horas Trabalhadas Além Jornada])))=0,1,""),"")</f>
        <v/>
      </c>
      <c r="S1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TEXT(tblHorasAbr[Data],"ddd")</f>
        <v/>
      </c>
      <c r="D13" s="25"/>
      <c r="E13" s="1"/>
      <c r="F13" s="1"/>
      <c r="G13" s="1"/>
      <c r="H13" s="1"/>
      <c r="I13" s="53"/>
      <c r="J1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3" s="4">
        <f>tblHorasAbr[Horas Trabalhadas (1º Período)]+tblHorasAbr[Horas Trabalhadas (2º Período)]</f>
        <v>0</v>
      </c>
      <c r="M1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Jornada])+O12</f>
        <v>0</v>
      </c>
      <c r="P13" s="14">
        <f t="shared" si="0"/>
        <v>0</v>
      </c>
      <c r="Q13" s="14" t="str">
        <f>IF(tblHorasAbr[Horas Trabalhadas Além Jornada]&lt;0,IF(OR(tblHorasAbr[Evento 
(1º Período)]="",tblHorasAbr[Evento 
(2º Período)]=""),tblHorasAbr[Horas Trabalhadas Além Jornada],""),"")</f>
        <v/>
      </c>
      <c r="R13" s="14" t="str">
        <f>IF(tblHorasAbr[Jornada Diária]&lt;&gt;"",IF((N(tblHorasAbr[Jornada Diária])-ABS(N(tblHorasAbr[Horas Trabalhadas Além Jornada])))=0,1,""),"")</f>
        <v/>
      </c>
      <c r="S1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TEXT(tblHorasAbr[Data],"ddd")</f>
        <v/>
      </c>
      <c r="D14" s="25"/>
      <c r="E14" s="1"/>
      <c r="F14" s="1"/>
      <c r="G14" s="1"/>
      <c r="H14" s="1"/>
      <c r="I14" s="53"/>
      <c r="J1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4" s="4">
        <f>tblHorasAbr[Horas Trabalhadas (1º Período)]+tblHorasAbr[Horas Trabalhadas (2º Período)]</f>
        <v>0</v>
      </c>
      <c r="M1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Jornada])+O13</f>
        <v>0</v>
      </c>
      <c r="P14" s="14">
        <f t="shared" si="0"/>
        <v>0</v>
      </c>
      <c r="Q14" s="14" t="str">
        <f>IF(tblHorasAbr[Horas Trabalhadas Além Jornada]&lt;0,IF(OR(tblHorasAbr[Evento 
(1º Período)]="",tblHorasAbr[Evento 
(2º Período)]=""),tblHorasAbr[Horas Trabalhadas Além Jornada],""),"")</f>
        <v/>
      </c>
      <c r="R14" s="14" t="str">
        <f>IF(tblHorasAbr[Jornada Diária]&lt;&gt;"",IF((N(tblHorasAbr[Jornada Diária])-ABS(N(tblHorasAbr[Horas Trabalhadas Além Jornada])))=0,1,""),"")</f>
        <v/>
      </c>
      <c r="S1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TEXT(tblHorasAbr[Data],"ddd")</f>
        <v/>
      </c>
      <c r="D15" s="25"/>
      <c r="E15" s="1"/>
      <c r="F15" s="1"/>
      <c r="G15" s="1"/>
      <c r="H15" s="1"/>
      <c r="I15" s="53"/>
      <c r="J1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5" s="4">
        <f>tblHorasAbr[Horas Trabalhadas (1º Período)]+tblHorasAbr[Horas Trabalhadas (2º Período)]</f>
        <v>0</v>
      </c>
      <c r="M1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Jornada])+O14</f>
        <v>0</v>
      </c>
      <c r="P15" s="14">
        <f t="shared" si="0"/>
        <v>0</v>
      </c>
      <c r="Q15" s="14" t="str">
        <f>IF(tblHorasAbr[Horas Trabalhadas Além Jornada]&lt;0,IF(OR(tblHorasAbr[Evento 
(1º Período)]="",tblHorasAbr[Evento 
(2º Período)]=""),tblHorasAbr[Horas Trabalhadas Além Jornada],""),"")</f>
        <v/>
      </c>
      <c r="R15" s="14" t="str">
        <f>IF(tblHorasAbr[Jornada Diária]&lt;&gt;"",IF((N(tblHorasAbr[Jornada Diária])-ABS(N(tblHorasAbr[Horas Trabalhadas Além Jornada])))=0,1,""),"")</f>
        <v/>
      </c>
      <c r="S1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TEXT(tblHorasAbr[Data],"ddd")</f>
        <v/>
      </c>
      <c r="D16" s="25"/>
      <c r="E16" s="1"/>
      <c r="F16" s="1"/>
      <c r="G16" s="1"/>
      <c r="H16" s="1"/>
      <c r="I16" s="53"/>
      <c r="J1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6" s="4">
        <f>tblHorasAbr[Horas Trabalhadas (1º Período)]+tblHorasAbr[Horas Trabalhadas (2º Período)]</f>
        <v>0</v>
      </c>
      <c r="M1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Jornada])+O15</f>
        <v>0</v>
      </c>
      <c r="P16" s="14">
        <f t="shared" si="0"/>
        <v>0</v>
      </c>
      <c r="Q16" s="14" t="str">
        <f>IF(tblHorasAbr[Horas Trabalhadas Além Jornada]&lt;0,IF(OR(tblHorasAbr[Evento 
(1º Período)]="",tblHorasAbr[Evento 
(2º Período)]=""),tblHorasAbr[Horas Trabalhadas Além Jornada],""),"")</f>
        <v/>
      </c>
      <c r="R16" s="14" t="str">
        <f>IF(tblHorasAbr[Jornada Diária]&lt;&gt;"",IF((N(tblHorasAbr[Jornada Diária])-ABS(N(tblHorasAbr[Horas Trabalhadas Além Jornada])))=0,1,""),"")</f>
        <v/>
      </c>
      <c r="S1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TEXT(tblHorasAbr[Data],"ddd")</f>
        <v/>
      </c>
      <c r="D17" s="25"/>
      <c r="E17" s="1"/>
      <c r="F17" s="1"/>
      <c r="G17" s="1"/>
      <c r="H17" s="1"/>
      <c r="I17" s="53"/>
      <c r="J1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7" s="4">
        <f>tblHorasAbr[Horas Trabalhadas (1º Período)]+tblHorasAbr[Horas Trabalhadas (2º Período)]</f>
        <v>0</v>
      </c>
      <c r="M1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Jornada])+O16</f>
        <v>0</v>
      </c>
      <c r="P17" s="14">
        <f t="shared" si="0"/>
        <v>0</v>
      </c>
      <c r="Q17" s="14" t="str">
        <f>IF(tblHorasAbr[Horas Trabalhadas Além Jornada]&lt;0,IF(OR(tblHorasAbr[Evento 
(1º Período)]="",tblHorasAbr[Evento 
(2º Período)]=""),tblHorasAbr[Horas Trabalhadas Além Jornada],""),"")</f>
        <v/>
      </c>
      <c r="R17" s="14" t="str">
        <f>IF(tblHorasAbr[Jornada Diária]&lt;&gt;"",IF((N(tblHorasAbr[Jornada Diária])-ABS(N(tblHorasAbr[Horas Trabalhadas Além Jornada])))=0,1,""),"")</f>
        <v/>
      </c>
      <c r="S1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TEXT(tblHorasAbr[Data],"ddd")</f>
        <v/>
      </c>
      <c r="D18" s="25"/>
      <c r="E18" s="1"/>
      <c r="F18" s="1"/>
      <c r="G18" s="1"/>
      <c r="H18" s="1"/>
      <c r="I18" s="53"/>
      <c r="J1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8" s="4">
        <f>tblHorasAbr[Horas Trabalhadas (1º Período)]+tblHorasAbr[Horas Trabalhadas (2º Período)]</f>
        <v>0</v>
      </c>
      <c r="M1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Jornada])+O17</f>
        <v>0</v>
      </c>
      <c r="P18" s="14">
        <f t="shared" si="0"/>
        <v>0</v>
      </c>
      <c r="Q18" s="14" t="str">
        <f>IF(tblHorasAbr[Horas Trabalhadas Além Jornada]&lt;0,IF(OR(tblHorasAbr[Evento 
(1º Período)]="",tblHorasAbr[Evento 
(2º Período)]=""),tblHorasAbr[Horas Trabalhadas Além Jornada],""),"")</f>
        <v/>
      </c>
      <c r="R18" s="14" t="str">
        <f>IF(tblHorasAbr[Jornada Diária]&lt;&gt;"",IF((N(tblHorasAbr[Jornada Diária])-ABS(N(tblHorasAbr[Horas Trabalhadas Além Jornada])))=0,1,""),"")</f>
        <v/>
      </c>
      <c r="S1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TEXT(tblHorasAbr[Data],"ddd")</f>
        <v/>
      </c>
      <c r="D19" s="25"/>
      <c r="E19" s="1"/>
      <c r="F19" s="1"/>
      <c r="G19" s="1"/>
      <c r="H19" s="1"/>
      <c r="I19" s="53"/>
      <c r="J1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9" s="4">
        <f>tblHorasAbr[Horas Trabalhadas (1º Período)]+tblHorasAbr[Horas Trabalhadas (2º Período)]</f>
        <v>0</v>
      </c>
      <c r="M1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Jornada])+O18</f>
        <v>0</v>
      </c>
      <c r="P19" s="14">
        <f t="shared" si="0"/>
        <v>0</v>
      </c>
      <c r="Q19" s="14" t="str">
        <f>IF(tblHorasAbr[Horas Trabalhadas Além Jornada]&lt;0,IF(OR(tblHorasAbr[Evento 
(1º Período)]="",tblHorasAbr[Evento 
(2º Período)]=""),tblHorasAbr[Horas Trabalhadas Além Jornada],""),"")</f>
        <v/>
      </c>
      <c r="R19" s="14" t="str">
        <f>IF(tblHorasAbr[Jornada Diária]&lt;&gt;"",IF((N(tblHorasAbr[Jornada Diária])-ABS(N(tblHorasAbr[Horas Trabalhadas Além Jornada])))=0,1,""),"")</f>
        <v/>
      </c>
      <c r="S1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TEXT(tblHorasAbr[Data],"ddd")</f>
        <v/>
      </c>
      <c r="D20" s="25"/>
      <c r="E20" s="1"/>
      <c r="F20" s="1"/>
      <c r="G20" s="1"/>
      <c r="H20" s="1"/>
      <c r="I20" s="53"/>
      <c r="J2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0" s="4">
        <f>tblHorasAbr[Horas Trabalhadas (1º Período)]+tblHorasAbr[Horas Trabalhadas (2º Período)]</f>
        <v>0</v>
      </c>
      <c r="M2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Jornada])+O19</f>
        <v>0</v>
      </c>
      <c r="P20" s="14">
        <f t="shared" si="0"/>
        <v>0</v>
      </c>
      <c r="Q20" s="14" t="str">
        <f>IF(tblHorasAbr[Horas Trabalhadas Além Jornada]&lt;0,IF(OR(tblHorasAbr[Evento 
(1º Período)]="",tblHorasAbr[Evento 
(2º Período)]=""),tblHorasAbr[Horas Trabalhadas Além Jornada],""),"")</f>
        <v/>
      </c>
      <c r="R20" s="14" t="str">
        <f>IF(tblHorasAbr[Jornada Diária]&lt;&gt;"",IF((N(tblHorasAbr[Jornada Diária])-ABS(N(tblHorasAbr[Horas Trabalhadas Além Jornada])))=0,1,""),"")</f>
        <v/>
      </c>
      <c r="S2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TEXT(tblHorasAbr[Data],"ddd")</f>
        <v/>
      </c>
      <c r="D21" s="25"/>
      <c r="E21" s="1"/>
      <c r="F21" s="1"/>
      <c r="G21" s="1"/>
      <c r="H21" s="1"/>
      <c r="I21" s="53"/>
      <c r="J2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1" s="4">
        <f>tblHorasAbr[Horas Trabalhadas (1º Período)]+tblHorasAbr[Horas Trabalhadas (2º Período)]</f>
        <v>0</v>
      </c>
      <c r="M2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Jornada])+O20</f>
        <v>0</v>
      </c>
      <c r="P21" s="14">
        <f t="shared" si="0"/>
        <v>0</v>
      </c>
      <c r="Q21" s="14" t="str">
        <f>IF(tblHorasAbr[Horas Trabalhadas Além Jornada]&lt;0,IF(OR(tblHorasAbr[Evento 
(1º Período)]="",tblHorasAbr[Evento 
(2º Período)]=""),tblHorasAbr[Horas Trabalhadas Além Jornada],""),"")</f>
        <v/>
      </c>
      <c r="R21" s="14" t="str">
        <f>IF(tblHorasAbr[Jornada Diária]&lt;&gt;"",IF((N(tblHorasAbr[Jornada Diária])-ABS(N(tblHorasAbr[Horas Trabalhadas Além Jornada])))=0,1,""),"")</f>
        <v/>
      </c>
      <c r="S2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TEXT(tblHorasAbr[Data],"ddd")</f>
        <v/>
      </c>
      <c r="D22" s="25"/>
      <c r="E22" s="1"/>
      <c r="F22" s="1"/>
      <c r="G22" s="1"/>
      <c r="H22" s="1"/>
      <c r="I22" s="53"/>
      <c r="J2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2" s="4">
        <f>tblHorasAbr[Horas Trabalhadas (1º Período)]+tblHorasAbr[Horas Trabalhadas (2º Período)]</f>
        <v>0</v>
      </c>
      <c r="M2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Jornada])+O21</f>
        <v>0</v>
      </c>
      <c r="P22" s="14">
        <f t="shared" si="0"/>
        <v>0</v>
      </c>
      <c r="Q22" s="14" t="str">
        <f>IF(tblHorasAbr[Horas Trabalhadas Além Jornada]&lt;0,IF(OR(tblHorasAbr[Evento 
(1º Período)]="",tblHorasAbr[Evento 
(2º Período)]=""),tblHorasAbr[Horas Trabalhadas Além Jornada],""),"")</f>
        <v/>
      </c>
      <c r="R22" s="14" t="str">
        <f>IF(tblHorasAbr[Jornada Diária]&lt;&gt;"",IF((N(tblHorasAbr[Jornada Diária])-ABS(N(tblHorasAbr[Horas Trabalhadas Além Jornada])))=0,1,""),"")</f>
        <v/>
      </c>
      <c r="S2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TEXT(tblHorasAbr[Data],"ddd")</f>
        <v/>
      </c>
      <c r="D23" s="25"/>
      <c r="E23" s="1"/>
      <c r="F23" s="1"/>
      <c r="G23" s="1"/>
      <c r="H23" s="1"/>
      <c r="I23" s="53"/>
      <c r="J2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3" s="4">
        <f>tblHorasAbr[Horas Trabalhadas (1º Período)]+tblHorasAbr[Horas Trabalhadas (2º Período)]</f>
        <v>0</v>
      </c>
      <c r="M2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Jornada])+O22</f>
        <v>0</v>
      </c>
      <c r="P23" s="14">
        <f t="shared" si="0"/>
        <v>0</v>
      </c>
      <c r="Q23" s="14" t="str">
        <f>IF(tblHorasAbr[Horas Trabalhadas Além Jornada]&lt;0,IF(OR(tblHorasAbr[Evento 
(1º Período)]="",tblHorasAbr[Evento 
(2º Período)]=""),tblHorasAbr[Horas Trabalhadas Além Jornada],""),"")</f>
        <v/>
      </c>
      <c r="R23" s="14" t="str">
        <f>IF(tblHorasAbr[Jornada Diária]&lt;&gt;"",IF((N(tblHorasAbr[Jornada Diária])-ABS(N(tblHorasAbr[Horas Trabalhadas Além Jornada])))=0,1,""),"")</f>
        <v/>
      </c>
      <c r="S2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TEXT(tblHorasAbr[Data],"ddd")</f>
        <v/>
      </c>
      <c r="D24" s="25"/>
      <c r="E24" s="1"/>
      <c r="F24" s="1"/>
      <c r="G24" s="1"/>
      <c r="H24" s="1"/>
      <c r="I24" s="53"/>
      <c r="J2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4" s="4">
        <f>tblHorasAbr[Horas Trabalhadas (1º Período)]+tblHorasAbr[Horas Trabalhadas (2º Período)]</f>
        <v>0</v>
      </c>
      <c r="M2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Jornada])+O23</f>
        <v>0</v>
      </c>
      <c r="P24" s="14">
        <f t="shared" si="0"/>
        <v>0</v>
      </c>
      <c r="Q24" s="14" t="str">
        <f>IF(tblHorasAbr[Horas Trabalhadas Além Jornada]&lt;0,IF(OR(tblHorasAbr[Evento 
(1º Período)]="",tblHorasAbr[Evento 
(2º Período)]=""),tblHorasAbr[Horas Trabalhadas Além Jornada],""),"")</f>
        <v/>
      </c>
      <c r="R24" s="14" t="str">
        <f>IF(tblHorasAbr[Jornada Diária]&lt;&gt;"",IF((N(tblHorasAbr[Jornada Diária])-ABS(N(tblHorasAbr[Horas Trabalhadas Além Jornada])))=0,1,""),"")</f>
        <v/>
      </c>
      <c r="S2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TEXT(tblHorasAbr[Data],"ddd")</f>
        <v/>
      </c>
      <c r="D25" s="25"/>
      <c r="E25" s="1"/>
      <c r="F25" s="1"/>
      <c r="G25" s="1"/>
      <c r="H25" s="1"/>
      <c r="I25" s="53"/>
      <c r="J2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5" s="4">
        <f>tblHorasAbr[Horas Trabalhadas (1º Período)]+tblHorasAbr[Horas Trabalhadas (2º Período)]</f>
        <v>0</v>
      </c>
      <c r="M2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Jornada])+O24</f>
        <v>0</v>
      </c>
      <c r="P25" s="14">
        <f t="shared" si="0"/>
        <v>0</v>
      </c>
      <c r="Q25" s="14" t="str">
        <f>IF(tblHorasAbr[Horas Trabalhadas Além Jornada]&lt;0,IF(OR(tblHorasAbr[Evento 
(1º Período)]="",tblHorasAbr[Evento 
(2º Período)]=""),tblHorasAbr[Horas Trabalhadas Além Jornada],""),"")</f>
        <v/>
      </c>
      <c r="R25" s="14" t="str">
        <f>IF(tblHorasAbr[Jornada Diária]&lt;&gt;"",IF((N(tblHorasAbr[Jornada Diária])-ABS(N(tblHorasAbr[Horas Trabalhadas Além Jornada])))=0,1,""),"")</f>
        <v/>
      </c>
      <c r="S2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TEXT(tblHorasAbr[Data],"ddd")</f>
        <v/>
      </c>
      <c r="D26" s="25"/>
      <c r="E26" s="1"/>
      <c r="F26" s="1"/>
      <c r="G26" s="1"/>
      <c r="H26" s="1"/>
      <c r="I26" s="53"/>
      <c r="J2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6" s="4">
        <f>tblHorasAbr[Horas Trabalhadas (1º Período)]+tblHorasAbr[Horas Trabalhadas (2º Período)]</f>
        <v>0</v>
      </c>
      <c r="M2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Jornada])+O25</f>
        <v>0</v>
      </c>
      <c r="P26" s="14">
        <f t="shared" si="0"/>
        <v>0</v>
      </c>
      <c r="Q26" s="14" t="str">
        <f>IF(tblHorasAbr[Horas Trabalhadas Além Jornada]&lt;0,IF(OR(tblHorasAbr[Evento 
(1º Período)]="",tblHorasAbr[Evento 
(2º Período)]=""),tblHorasAbr[Horas Trabalhadas Além Jornada],""),"")</f>
        <v/>
      </c>
      <c r="R26" s="14" t="str">
        <f>IF(tblHorasAbr[Jornada Diária]&lt;&gt;"",IF((N(tblHorasAbr[Jornada Diária])-ABS(N(tblHorasAbr[Horas Trabalhadas Além Jornada])))=0,1,""),"")</f>
        <v/>
      </c>
      <c r="S2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TEXT(tblHorasAbr[Data],"ddd")</f>
        <v/>
      </c>
      <c r="D27" s="25"/>
      <c r="E27" s="1"/>
      <c r="F27" s="1"/>
      <c r="G27" s="1"/>
      <c r="H27" s="1"/>
      <c r="I27" s="53"/>
      <c r="J2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7" s="4">
        <f>tblHorasAbr[Horas Trabalhadas (1º Período)]+tblHorasAbr[Horas Trabalhadas (2º Período)]</f>
        <v>0</v>
      </c>
      <c r="M2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Jornada])+O26</f>
        <v>0</v>
      </c>
      <c r="P27" s="14">
        <f t="shared" si="0"/>
        <v>0</v>
      </c>
      <c r="Q27" s="14" t="str">
        <f>IF(tblHorasAbr[Horas Trabalhadas Além Jornada]&lt;0,IF(OR(tblHorasAbr[Evento 
(1º Período)]="",tblHorasAbr[Evento 
(2º Período)]=""),tblHorasAbr[Horas Trabalhadas Além Jornada],""),"")</f>
        <v/>
      </c>
      <c r="R27" s="14" t="str">
        <f>IF(tblHorasAbr[Jornada Diária]&lt;&gt;"",IF((N(tblHorasAbr[Jornada Diária])-ABS(N(tblHorasAbr[Horas Trabalhadas Além Jornada])))=0,1,""),"")</f>
        <v/>
      </c>
      <c r="S2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TEXT(tblHorasAbr[Data],"ddd")</f>
        <v/>
      </c>
      <c r="D28" s="25"/>
      <c r="E28" s="1"/>
      <c r="F28" s="1"/>
      <c r="G28" s="1"/>
      <c r="H28" s="1"/>
      <c r="I28" s="53"/>
      <c r="J2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8" s="4">
        <f>tblHorasAbr[Horas Trabalhadas (1º Período)]+tblHorasAbr[Horas Trabalhadas (2º Período)]</f>
        <v>0</v>
      </c>
      <c r="M2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Jornada])+O27</f>
        <v>0</v>
      </c>
      <c r="P28" s="14">
        <f t="shared" si="0"/>
        <v>0</v>
      </c>
      <c r="Q28" s="14" t="str">
        <f>IF(tblHorasAbr[Horas Trabalhadas Além Jornada]&lt;0,IF(OR(tblHorasAbr[Evento 
(1º Período)]="",tblHorasAbr[Evento 
(2º Período)]=""),tblHorasAbr[Horas Trabalhadas Além Jornada],""),"")</f>
        <v/>
      </c>
      <c r="R28" s="14" t="str">
        <f>IF(tblHorasAbr[Jornada Diária]&lt;&gt;"",IF((N(tblHorasAbr[Jornada Diária])-ABS(N(tblHorasAbr[Horas Trabalhadas Além Jornada])))=0,1,""),"")</f>
        <v/>
      </c>
      <c r="S2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TEXT(tblHorasAbr[Data],"ddd")</f>
        <v/>
      </c>
      <c r="D29" s="25"/>
      <c r="E29" s="1"/>
      <c r="F29" s="1"/>
      <c r="G29" s="1"/>
      <c r="H29" s="1"/>
      <c r="I29" s="53"/>
      <c r="J2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9" s="4">
        <f>tblHorasAbr[Horas Trabalhadas (1º Período)]+tblHorasAbr[Horas Trabalhadas (2º Período)]</f>
        <v>0</v>
      </c>
      <c r="M2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Jornada])+O28</f>
        <v>0</v>
      </c>
      <c r="P29" s="14">
        <f t="shared" si="0"/>
        <v>0</v>
      </c>
      <c r="Q29" s="14" t="str">
        <f>IF(tblHorasAbr[Horas Trabalhadas Além Jornada]&lt;0,IF(OR(tblHorasAbr[Evento 
(1º Período)]="",tblHorasAbr[Evento 
(2º Período)]=""),tblHorasAbr[Horas Trabalhadas Além Jornada],""),"")</f>
        <v/>
      </c>
      <c r="R29" s="14" t="str">
        <f>IF(tblHorasAbr[Jornada Diária]&lt;&gt;"",IF((N(tblHorasAbr[Jornada Diária])-ABS(N(tblHorasAbr[Horas Trabalhadas Além Jornada])))=0,1,""),"")</f>
        <v/>
      </c>
      <c r="S2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TEXT(tblHorasAbr[Data],"ddd")</f>
        <v/>
      </c>
      <c r="D30" s="25"/>
      <c r="E30" s="1"/>
      <c r="F30" s="1"/>
      <c r="G30" s="1"/>
      <c r="H30" s="1"/>
      <c r="I30" s="53"/>
      <c r="J3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0" s="4">
        <f>tblHorasAbr[Horas Trabalhadas (1º Período)]+tblHorasAbr[Horas Trabalhadas (2º Período)]</f>
        <v>0</v>
      </c>
      <c r="M3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Jornada])+O29</f>
        <v>0</v>
      </c>
      <c r="P30" s="14">
        <f t="shared" si="0"/>
        <v>0</v>
      </c>
      <c r="Q30" s="14" t="str">
        <f>IF(tblHorasAbr[Horas Trabalhadas Além Jornada]&lt;0,IF(OR(tblHorasAbr[Evento 
(1º Período)]="",tblHorasAbr[Evento 
(2º Período)]=""),tblHorasAbr[Horas Trabalhadas Além Jornada],""),"")</f>
        <v/>
      </c>
      <c r="R30" s="14" t="str">
        <f>IF(tblHorasAbr[Jornada Diária]&lt;&gt;"",IF((N(tblHorasAbr[Jornada Diária])-ABS(N(tblHorasAbr[Horas Trabalhadas Além Jornada])))=0,1,""),"")</f>
        <v/>
      </c>
      <c r="S3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TEXT(tblHorasAbr[Data],"ddd")</f>
        <v/>
      </c>
      <c r="D31" s="25"/>
      <c r="E31" s="1"/>
      <c r="F31" s="1"/>
      <c r="G31" s="1"/>
      <c r="H31" s="1"/>
      <c r="I31" s="53"/>
      <c r="J3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1" s="4">
        <f>tblHorasAbr[Horas Trabalhadas (1º Período)]+tblHorasAbr[Horas Trabalhadas (2º Período)]</f>
        <v>0</v>
      </c>
      <c r="M3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Jornada])+O30</f>
        <v>0</v>
      </c>
      <c r="P31" s="14">
        <f t="shared" si="0"/>
        <v>0</v>
      </c>
      <c r="Q31" s="14" t="str">
        <f>IF(tblHorasAbr[Horas Trabalhadas Além Jornada]&lt;0,IF(OR(tblHorasAbr[Evento 
(1º Período)]="",tblHorasAbr[Evento 
(2º Período)]=""),tblHorasAbr[Horas Trabalhadas Além Jornada],""),"")</f>
        <v/>
      </c>
      <c r="R31" s="14" t="str">
        <f>IF(tblHorasAbr[Jornada Diária]&lt;&gt;"",IF((N(tblHorasAbr[Jornada Diária])-ABS(N(tblHorasAbr[Horas Trabalhadas Além Jornada])))=0,1,""),"")</f>
        <v/>
      </c>
      <c r="S3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TEXT(tblHorasAbr[Data],"ddd")</f>
        <v/>
      </c>
      <c r="D32" s="25"/>
      <c r="E32" s="1"/>
      <c r="F32" s="1"/>
      <c r="G32" s="1"/>
      <c r="H32" s="1"/>
      <c r="I32" s="53"/>
      <c r="J3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2" s="4">
        <f>tblHorasAbr[Horas Trabalhadas (1º Período)]+tblHorasAbr[Horas Trabalhadas (2º Período)]</f>
        <v>0</v>
      </c>
      <c r="M3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Jornada])+O31</f>
        <v>0</v>
      </c>
      <c r="P32" s="14">
        <f t="shared" si="0"/>
        <v>0</v>
      </c>
      <c r="Q32" s="14" t="str">
        <f>IF(tblHorasAbr[Horas Trabalhadas Além Jornada]&lt;0,IF(OR(tblHorasAbr[Evento 
(1º Período)]="",tblHorasAbr[Evento 
(2º Período)]=""),tblHorasAbr[Horas Trabalhadas Além Jornada],""),"")</f>
        <v/>
      </c>
      <c r="R32" s="14" t="str">
        <f>IF(tblHorasAbr[Jornada Diária]&lt;&gt;"",IF((N(tblHorasAbr[Jornada Diária])-ABS(N(tblHorasAbr[Horas Trabalhadas Além Jornada])))=0,1,""),"")</f>
        <v/>
      </c>
      <c r="S3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TEXT(tblHorasAbr[Data],"ddd")</f>
        <v/>
      </c>
      <c r="D33" s="25"/>
      <c r="E33" s="1"/>
      <c r="F33" s="1"/>
      <c r="G33" s="1"/>
      <c r="H33" s="1"/>
      <c r="I33" s="53"/>
      <c r="J3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3" s="4">
        <f>tblHorasAbr[Horas Trabalhadas (1º Período)]+tblHorasAbr[Horas Trabalhadas (2º Período)]</f>
        <v>0</v>
      </c>
      <c r="M3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Jornada])+O32</f>
        <v>0</v>
      </c>
      <c r="P33" s="14">
        <f t="shared" si="0"/>
        <v>0</v>
      </c>
      <c r="Q33" s="14" t="str">
        <f>IF(tblHorasAbr[Horas Trabalhadas Além Jornada]&lt;0,IF(OR(tblHorasAbr[Evento 
(1º Período)]="",tblHorasAbr[Evento 
(2º Período)]=""),tblHorasAbr[Horas Trabalhadas Além Jornada],""),"")</f>
        <v/>
      </c>
      <c r="R33" s="14" t="str">
        <f>IF(tblHorasAbr[Jornada Diária]&lt;&gt;"",IF((N(tblHorasAbr[Jornada Diária])-ABS(N(tblHorasAbr[Horas Trabalhadas Além Jornada])))=0,1,""),"")</f>
        <v/>
      </c>
      <c r="S3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TEXT(tblHorasAbr[Data],"ddd")</f>
        <v/>
      </c>
      <c r="D34" s="25"/>
      <c r="E34" s="1"/>
      <c r="F34" s="1"/>
      <c r="G34" s="1"/>
      <c r="H34" s="1"/>
      <c r="I34" s="53"/>
      <c r="J3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4" s="4">
        <f>tblHorasAbr[Horas Trabalhadas (1º Período)]+tblHorasAbr[Horas Trabalhadas (2º Período)]</f>
        <v>0</v>
      </c>
      <c r="M3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Jornada])+O33</f>
        <v>0</v>
      </c>
      <c r="P34" s="14">
        <f t="shared" si="0"/>
        <v>0</v>
      </c>
      <c r="Q34" s="14" t="str">
        <f>IF(tblHorasAbr[Horas Trabalhadas Além Jornada]&lt;0,IF(OR(tblHorasAbr[Evento 
(1º Período)]="",tblHorasAbr[Evento 
(2º Período)]=""),tblHorasAbr[Horas Trabalhadas Além Jornada],""),"")</f>
        <v/>
      </c>
      <c r="R34" s="14" t="str">
        <f>IF(tblHorasAbr[Jornada Diária]&lt;&gt;"",IF((N(tblHorasAbr[Jornada Diária])-ABS(N(tblHorasAbr[Horas Trabalhadas Além Jornada])))=0,1,""),"")</f>
        <v/>
      </c>
      <c r="S3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TEXT(tblHorasAbr[Data],"ddd")</f>
        <v/>
      </c>
      <c r="D35" s="25"/>
      <c r="E35" s="1"/>
      <c r="F35" s="1"/>
      <c r="G35" s="1"/>
      <c r="H35" s="1"/>
      <c r="I35" s="53"/>
      <c r="J3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5" s="4">
        <f>tblHorasAbr[Horas Trabalhadas (1º Período)]+tblHorasAbr[Horas Trabalhadas (2º Período)]</f>
        <v>0</v>
      </c>
      <c r="M3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Jornada])+O34</f>
        <v>0</v>
      </c>
      <c r="P35" s="14">
        <f t="shared" si="0"/>
        <v>0</v>
      </c>
      <c r="Q35" s="14" t="str">
        <f>IF(tblHorasAbr[Horas Trabalhadas Além Jornada]&lt;0,IF(OR(tblHorasAbr[Evento 
(1º Período)]="",tblHorasAbr[Evento 
(2º Período)]=""),tblHorasAbr[Horas Trabalhadas Além Jornada],""),"")</f>
        <v/>
      </c>
      <c r="R35" s="14" t="str">
        <f>IF(tblHorasAbr[Jornada Diária]&lt;&gt;"",IF((N(tblHorasAbr[Jornada Diária])-ABS(N(tblHorasAbr[Horas Trabalhadas Além Jornada])))=0,1,""),"")</f>
        <v/>
      </c>
      <c r="S3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TEXT(tblHorasAbr[Data],"ddd")</f>
        <v/>
      </c>
      <c r="D36" s="25"/>
      <c r="E36" s="1"/>
      <c r="F36" s="1"/>
      <c r="G36" s="1"/>
      <c r="H36" s="1"/>
      <c r="I36" s="53"/>
      <c r="J3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6" s="4">
        <f>tblHorasAbr[Horas Trabalhadas (1º Período)]+tblHorasAbr[Horas Trabalhadas (2º Período)]</f>
        <v>0</v>
      </c>
      <c r="M3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Jornada])+O35</f>
        <v>0</v>
      </c>
      <c r="P36" s="14">
        <f t="shared" si="0"/>
        <v>0</v>
      </c>
      <c r="Q36" s="14" t="str">
        <f>IF(tblHorasAbr[Horas Trabalhadas Além Jornada]&lt;0,IF(OR(tblHorasAbr[Evento 
(1º Período)]="",tblHorasAbr[Evento 
(2º Período)]=""),tblHorasAbr[Horas Trabalhadas Além Jornada],""),"")</f>
        <v/>
      </c>
      <c r="R36" s="14" t="str">
        <f>IF(tblHorasAbr[Jornada Diária]&lt;&gt;"",IF((N(tblHorasAbr[Jornada Diária])-ABS(N(tblHorasAbr[Horas Trabalhadas Além Jornada])))=0,1,""),"")</f>
        <v/>
      </c>
      <c r="S3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TEXT(tblHorasAbr[Data],"ddd")</f>
        <v/>
      </c>
      <c r="D37" s="25"/>
      <c r="E37" s="1"/>
      <c r="F37" s="1"/>
      <c r="G37" s="1"/>
      <c r="H37" s="1"/>
      <c r="I37" s="53"/>
      <c r="J3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7" s="4">
        <f>tblHorasAbr[Horas Trabalhadas (1º Período)]+tblHorasAbr[Horas Trabalhadas (2º Período)]</f>
        <v>0</v>
      </c>
      <c r="M3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Jornada])+O36</f>
        <v>0</v>
      </c>
      <c r="P37" s="14">
        <f t="shared" si="0"/>
        <v>0</v>
      </c>
      <c r="Q37" s="14" t="str">
        <f>IF(tblHorasAbr[Horas Trabalhadas Além Jornada]&lt;0,IF(OR(tblHorasAbr[Evento 
(1º Período)]="",tblHorasAbr[Evento 
(2º Período)]=""),tblHorasAbr[Horas Trabalhadas Além Jornada],""),"")</f>
        <v/>
      </c>
      <c r="R37" s="14" t="str">
        <f>IF(tblHorasAbr[Jornada Diária]&lt;&gt;"",IF((N(tblHorasAbr[Jornada Diária])-ABS(N(tblHorasAbr[Horas Trabalhadas Além Jornada])))=0,1,""),"")</f>
        <v/>
      </c>
      <c r="S3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TEXT(tblHorasAbr[Data],"ddd")</f>
        <v/>
      </c>
      <c r="D38" s="25"/>
      <c r="E38" s="1"/>
      <c r="F38" s="1"/>
      <c r="G38" s="1"/>
      <c r="H38" s="1"/>
      <c r="I38" s="53"/>
      <c r="J3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8" s="4">
        <f>tblHorasAbr[Horas Trabalhadas (1º Período)]+tblHorasAbr[Horas Trabalhadas (2º Período)]</f>
        <v>0</v>
      </c>
      <c r="M3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Jornada])+O37</f>
        <v>0</v>
      </c>
      <c r="P38" s="14">
        <f t="shared" si="0"/>
        <v>0</v>
      </c>
      <c r="Q38" s="14" t="str">
        <f>IF(tblHorasAbr[Horas Trabalhadas Além Jornada]&lt;0,IF(OR(tblHorasAbr[Evento 
(1º Período)]="",tblHorasAbr[Evento 
(2º Período)]=""),tblHorasAbr[Horas Trabalhadas Além Jornada],""),"")</f>
        <v/>
      </c>
      <c r="R38" s="14" t="str">
        <f>IF(tblHorasAbr[Jornada Diária]&lt;&gt;"",IF((N(tblHorasAbr[Jornada Diária])-ABS(N(tblHorasAbr[Horas Trabalhadas Além Jornada])))=0,1,""),"")</f>
        <v/>
      </c>
      <c r="S3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TEXT(tblHorasAbr[Data],"ddd")</f>
        <v/>
      </c>
      <c r="D39" s="25"/>
      <c r="E39" s="1"/>
      <c r="F39" s="1"/>
      <c r="G39" s="1"/>
      <c r="H39" s="1"/>
      <c r="I39" s="53"/>
      <c r="J3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9" s="4">
        <f>tblHorasAbr[Horas Trabalhadas (1º Período)]+tblHorasAbr[Horas Trabalhadas (2º Período)]</f>
        <v>0</v>
      </c>
      <c r="M3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Jornada])+O38</f>
        <v>0</v>
      </c>
      <c r="P39" s="14">
        <f t="shared" si="0"/>
        <v>0</v>
      </c>
      <c r="Q39" s="14" t="str">
        <f>IF(tblHorasAbr[Horas Trabalhadas Além Jornada]&lt;0,IF(OR(tblHorasAbr[Evento 
(1º Período)]="",tblHorasAbr[Evento 
(2º Período)]=""),tblHorasAbr[Horas Trabalhadas Além Jornada],""),"")</f>
        <v/>
      </c>
      <c r="R39" s="14" t="str">
        <f>IF(tblHorasAbr[Jornada Diária]&lt;&gt;"",IF((N(tblHorasAbr[Jornada Diária])-ABS(N(tblHorasAbr[Horas Trabalhadas Além Jornada])))=0,1,""),"")</f>
        <v/>
      </c>
      <c r="S3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t73PHEUmy0CWMuC3C8PY5rk/YNxKF50xFJiRslJVIuBpcpNx0nmPaE4oqdlN4uJcJd7MetWib7iDDHJRLUfssw==" saltValue="XVE7fUjBrL1gmkJr29eOl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61E7509D-2379-404D-88E3-C67A7CC702B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I9:O9 Q9:U9</xm:sqref>
        </x14:conditionalFormatting>
        <x14:conditionalFormatting xmlns:xm="http://schemas.microsoft.com/office/excel/2006/main">
          <x14:cfRule type="expression" priority="12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4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11" id="{833ADBBF-0A81-4BF5-A135-54726D7CFA6D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0CCECDB3-C675-4715-8108-565D257DEA58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8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3678236B-08B9-405F-BEB6-95687F52B5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CEEF2D23-A00F-4AE5-852E-3AF95772111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4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6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  <x14:conditionalFormatting xmlns:xm="http://schemas.microsoft.com/office/excel/2006/main">
          <x14:cfRule type="expression" priority="3" id="{9836C34E-3BF1-4B11-8BCA-D5C2E304994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DF6EF90C-465A-4A27-B1A7-7EC5292DDAA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i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67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Abril!O39</f>
        <v>0</v>
      </c>
      <c r="P7" s="45">
        <f>SUM(tblHorasMai[Atrasos
(horas)])</f>
        <v>0</v>
      </c>
      <c r="Q7" s="45">
        <f>SUM(tblHorasMai[Atrasos
(horas)])</f>
        <v>0</v>
      </c>
      <c r="R7" s="46">
        <f>SUM(tblHorasMai[Faltas
(dias)])</f>
        <v>0</v>
      </c>
      <c r="S7" s="45">
        <f>SUM(tblHorasMai[Hora Extra Normal])</f>
        <v>0</v>
      </c>
      <c r="T7" s="45">
        <f>SUM(tblHorasMai[Hora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TEXT(tblHorasMai[Data],"ddd")</f>
        <v/>
      </c>
      <c r="D9" s="25"/>
      <c r="E9" s="1"/>
      <c r="F9" s="1"/>
      <c r="G9" s="1"/>
      <c r="H9" s="1"/>
      <c r="I9" s="53"/>
      <c r="J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9" s="4">
        <f>tblHorasMai[Horas Trabalhadas (1º Período)]+tblHorasMai[Horas Trabalhadas (2º Período)]</f>
        <v>0</v>
      </c>
      <c r="M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Jornada])+O7</f>
        <v>0</v>
      </c>
      <c r="P9" s="14">
        <f t="shared" ref="P9:P39" si="0">G9-F9</f>
        <v>0</v>
      </c>
      <c r="Q9" s="14" t="str">
        <f>IF(tblHorasMai[Horas Trabalhadas Além Jornada]&lt;0,IF(OR(tblHorasMai[Evento 
(1º Período)]="",tblHorasMai[Evento 
(2º Período)]=""),tblHorasMai[Horas Trabalhadas Além Jornada],""),"")</f>
        <v/>
      </c>
      <c r="R9" s="14" t="str">
        <f>IF(tblHorasMai[Jornada Diária]&lt;&gt;"",IF((N(tblHorasMai[Jornada Diária])-ABS(N(tblHorasMai[Horas Trabalhadas Além Jornada])))=0,1,""),"")</f>
        <v/>
      </c>
      <c r="S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TEXT(tblHorasMai[Data],"ddd")</f>
        <v/>
      </c>
      <c r="D10" s="25"/>
      <c r="E10" s="1"/>
      <c r="F10" s="1"/>
      <c r="G10" s="1"/>
      <c r="H10" s="1"/>
      <c r="I10" s="53"/>
      <c r="J1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0" s="4">
        <f>tblHorasMai[Horas Trabalhadas (1º Período)]+tblHorasMai[Horas Trabalhadas (2º Período)]</f>
        <v>0</v>
      </c>
      <c r="M1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Jornada])+O9</f>
        <v>0</v>
      </c>
      <c r="P10" s="14">
        <f t="shared" si="0"/>
        <v>0</v>
      </c>
      <c r="Q10" s="14" t="str">
        <f>IF(tblHorasMai[Horas Trabalhadas Além Jornada]&lt;0,IF(OR(tblHorasMai[Evento 
(1º Período)]="",tblHorasMai[Evento 
(2º Período)]=""),tblHorasMai[Horas Trabalhadas Além Jornada],""),"")</f>
        <v/>
      </c>
      <c r="R10" s="14" t="str">
        <f>IF(tblHorasMai[Jornada Diária]&lt;&gt;"",IF((N(tblHorasMai[Jornada Diária])-ABS(N(tblHorasMai[Horas Trabalhadas Além Jornada])))=0,1,""),"")</f>
        <v/>
      </c>
      <c r="S1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TEXT(tblHorasMai[Data],"ddd")</f>
        <v/>
      </c>
      <c r="D11" s="25"/>
      <c r="E11" s="1"/>
      <c r="F11" s="1"/>
      <c r="G11" s="1"/>
      <c r="H11" s="1"/>
      <c r="I11" s="53"/>
      <c r="J1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1" s="4">
        <f>tblHorasMai[Horas Trabalhadas (1º Período)]+tblHorasMai[Horas Trabalhadas (2º Período)]</f>
        <v>0</v>
      </c>
      <c r="M1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Jornada])+O10</f>
        <v>0</v>
      </c>
      <c r="P11" s="14">
        <f t="shared" si="0"/>
        <v>0</v>
      </c>
      <c r="Q11" s="14" t="str">
        <f>IF(tblHorasMai[Horas Trabalhadas Além Jornada]&lt;0,IF(OR(tblHorasMai[Evento 
(1º Período)]="",tblHorasMai[Evento 
(2º Período)]=""),tblHorasMai[Horas Trabalhadas Além Jornada],""),"")</f>
        <v/>
      </c>
      <c r="R11" s="14" t="str">
        <f>IF(tblHorasMai[Jornada Diária]&lt;&gt;"",IF((N(tblHorasMai[Jornada Diária])-ABS(N(tblHorasMai[Horas Trabalhadas Além Jornada])))=0,1,""),"")</f>
        <v/>
      </c>
      <c r="S1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TEXT(tblHorasMai[Data],"ddd")</f>
        <v/>
      </c>
      <c r="D12" s="25"/>
      <c r="E12" s="1"/>
      <c r="F12" s="1"/>
      <c r="G12" s="1"/>
      <c r="H12" s="1"/>
      <c r="I12" s="53"/>
      <c r="J1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2" s="4">
        <f>tblHorasMai[Horas Trabalhadas (1º Período)]+tblHorasMai[Horas Trabalhadas (2º Período)]</f>
        <v>0</v>
      </c>
      <c r="M1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Jornada])+O11</f>
        <v>0</v>
      </c>
      <c r="P12" s="14">
        <f t="shared" si="0"/>
        <v>0</v>
      </c>
      <c r="Q12" s="14" t="str">
        <f>IF(tblHorasMai[Horas Trabalhadas Além Jornada]&lt;0,IF(OR(tblHorasMai[Evento 
(1º Período)]="",tblHorasMai[Evento 
(2º Período)]=""),tblHorasMai[Horas Trabalhadas Além Jornada],""),"")</f>
        <v/>
      </c>
      <c r="R12" s="14" t="str">
        <f>IF(tblHorasMai[Jornada Diária]&lt;&gt;"",IF((N(tblHorasMai[Jornada Diária])-ABS(N(tblHorasMai[Horas Trabalhadas Além Jornada])))=0,1,""),"")</f>
        <v/>
      </c>
      <c r="S1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TEXT(tblHorasMai[Data],"ddd")</f>
        <v/>
      </c>
      <c r="D13" s="25"/>
      <c r="E13" s="1"/>
      <c r="F13" s="1"/>
      <c r="G13" s="1"/>
      <c r="H13" s="1"/>
      <c r="I13" s="53"/>
      <c r="J1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3" s="4">
        <f>tblHorasMai[Horas Trabalhadas (1º Período)]+tblHorasMai[Horas Trabalhadas (2º Período)]</f>
        <v>0</v>
      </c>
      <c r="M1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Jornada])+O12</f>
        <v>0</v>
      </c>
      <c r="P13" s="14">
        <f t="shared" si="0"/>
        <v>0</v>
      </c>
      <c r="Q13" s="14" t="str">
        <f>IF(tblHorasMai[Horas Trabalhadas Além Jornada]&lt;0,IF(OR(tblHorasMai[Evento 
(1º Período)]="",tblHorasMai[Evento 
(2º Período)]=""),tblHorasMai[Horas Trabalhadas Além Jornada],""),"")</f>
        <v/>
      </c>
      <c r="R13" s="14" t="str">
        <f>IF(tblHorasMai[Jornada Diária]&lt;&gt;"",IF((N(tblHorasMai[Jornada Diária])-ABS(N(tblHorasMai[Horas Trabalhadas Além Jornada])))=0,1,""),"")</f>
        <v/>
      </c>
      <c r="S1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TEXT(tblHorasMai[Data],"ddd")</f>
        <v/>
      </c>
      <c r="D14" s="25"/>
      <c r="E14" s="1"/>
      <c r="F14" s="1"/>
      <c r="G14" s="1"/>
      <c r="H14" s="1"/>
      <c r="I14" s="53"/>
      <c r="J1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4" s="4">
        <f>tblHorasMai[Horas Trabalhadas (1º Período)]+tblHorasMai[Horas Trabalhadas (2º Período)]</f>
        <v>0</v>
      </c>
      <c r="M1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Jornada])+O13</f>
        <v>0</v>
      </c>
      <c r="P14" s="14">
        <f t="shared" si="0"/>
        <v>0</v>
      </c>
      <c r="Q14" s="14" t="str">
        <f>IF(tblHorasMai[Horas Trabalhadas Além Jornada]&lt;0,IF(OR(tblHorasMai[Evento 
(1º Período)]="",tblHorasMai[Evento 
(2º Período)]=""),tblHorasMai[Horas Trabalhadas Além Jornada],""),"")</f>
        <v/>
      </c>
      <c r="R14" s="14" t="str">
        <f>IF(tblHorasMai[Jornada Diária]&lt;&gt;"",IF((N(tblHorasMai[Jornada Diária])-ABS(N(tblHorasMai[Horas Trabalhadas Além Jornada])))=0,1,""),"")</f>
        <v/>
      </c>
      <c r="S1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TEXT(tblHorasMai[Data],"ddd")</f>
        <v/>
      </c>
      <c r="D15" s="25"/>
      <c r="E15" s="1"/>
      <c r="F15" s="1"/>
      <c r="G15" s="1"/>
      <c r="H15" s="1"/>
      <c r="I15" s="53"/>
      <c r="J1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5" s="4">
        <f>tblHorasMai[Horas Trabalhadas (1º Período)]+tblHorasMai[Horas Trabalhadas (2º Período)]</f>
        <v>0</v>
      </c>
      <c r="M1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Jornada])+O14</f>
        <v>0</v>
      </c>
      <c r="P15" s="14">
        <f t="shared" si="0"/>
        <v>0</v>
      </c>
      <c r="Q15" s="14" t="str">
        <f>IF(tblHorasMai[Horas Trabalhadas Além Jornada]&lt;0,IF(OR(tblHorasMai[Evento 
(1º Período)]="",tblHorasMai[Evento 
(2º Período)]=""),tblHorasMai[Horas Trabalhadas Além Jornada],""),"")</f>
        <v/>
      </c>
      <c r="R15" s="14" t="str">
        <f>IF(tblHorasMai[Jornada Diária]&lt;&gt;"",IF((N(tblHorasMai[Jornada Diária])-ABS(N(tblHorasMai[Horas Trabalhadas Além Jornada])))=0,1,""),"")</f>
        <v/>
      </c>
      <c r="S1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TEXT(tblHorasMai[Data],"ddd")</f>
        <v/>
      </c>
      <c r="D16" s="25"/>
      <c r="E16" s="1"/>
      <c r="F16" s="1"/>
      <c r="G16" s="1"/>
      <c r="H16" s="1"/>
      <c r="I16" s="53"/>
      <c r="J1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6" s="4">
        <f>tblHorasMai[Horas Trabalhadas (1º Período)]+tblHorasMai[Horas Trabalhadas (2º Período)]</f>
        <v>0</v>
      </c>
      <c r="M1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Jornada])+O15</f>
        <v>0</v>
      </c>
      <c r="P16" s="14">
        <f t="shared" si="0"/>
        <v>0</v>
      </c>
      <c r="Q16" s="14" t="str">
        <f>IF(tblHorasMai[Horas Trabalhadas Além Jornada]&lt;0,IF(OR(tblHorasMai[Evento 
(1º Período)]="",tblHorasMai[Evento 
(2º Período)]=""),tblHorasMai[Horas Trabalhadas Além Jornada],""),"")</f>
        <v/>
      </c>
      <c r="R16" s="14" t="str">
        <f>IF(tblHorasMai[Jornada Diária]&lt;&gt;"",IF((N(tblHorasMai[Jornada Diária])-ABS(N(tblHorasMai[Horas Trabalhadas Além Jornada])))=0,1,""),"")</f>
        <v/>
      </c>
      <c r="S1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TEXT(tblHorasMai[Data],"ddd")</f>
        <v/>
      </c>
      <c r="D17" s="25"/>
      <c r="E17" s="1"/>
      <c r="F17" s="1"/>
      <c r="G17" s="1"/>
      <c r="H17" s="1"/>
      <c r="I17" s="53"/>
      <c r="J1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7" s="4">
        <f>tblHorasMai[Horas Trabalhadas (1º Período)]+tblHorasMai[Horas Trabalhadas (2º Período)]</f>
        <v>0</v>
      </c>
      <c r="M1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Jornada])+O16</f>
        <v>0</v>
      </c>
      <c r="P17" s="14">
        <f t="shared" si="0"/>
        <v>0</v>
      </c>
      <c r="Q17" s="14" t="str">
        <f>IF(tblHorasMai[Horas Trabalhadas Além Jornada]&lt;0,IF(OR(tblHorasMai[Evento 
(1º Período)]="",tblHorasMai[Evento 
(2º Período)]=""),tblHorasMai[Horas Trabalhadas Além Jornada],""),"")</f>
        <v/>
      </c>
      <c r="R17" s="14" t="str">
        <f>IF(tblHorasMai[Jornada Diária]&lt;&gt;"",IF((N(tblHorasMai[Jornada Diária])-ABS(N(tblHorasMai[Horas Trabalhadas Além Jornada])))=0,1,""),"")</f>
        <v/>
      </c>
      <c r="S1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TEXT(tblHorasMai[Data],"ddd")</f>
        <v/>
      </c>
      <c r="D18" s="25"/>
      <c r="E18" s="1"/>
      <c r="F18" s="1"/>
      <c r="G18" s="1"/>
      <c r="H18" s="1"/>
      <c r="I18" s="53"/>
      <c r="J1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8" s="4">
        <f>tblHorasMai[Horas Trabalhadas (1º Período)]+tblHorasMai[Horas Trabalhadas (2º Período)]</f>
        <v>0</v>
      </c>
      <c r="M1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Jornada])+O17</f>
        <v>0</v>
      </c>
      <c r="P18" s="14">
        <f t="shared" si="0"/>
        <v>0</v>
      </c>
      <c r="Q18" s="14" t="str">
        <f>IF(tblHorasMai[Horas Trabalhadas Além Jornada]&lt;0,IF(OR(tblHorasMai[Evento 
(1º Período)]="",tblHorasMai[Evento 
(2º Período)]=""),tblHorasMai[Horas Trabalhadas Além Jornada],""),"")</f>
        <v/>
      </c>
      <c r="R18" s="14" t="str">
        <f>IF(tblHorasMai[Jornada Diária]&lt;&gt;"",IF((N(tblHorasMai[Jornada Diária])-ABS(N(tblHorasMai[Horas Trabalhadas Além Jornada])))=0,1,""),"")</f>
        <v/>
      </c>
      <c r="S1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TEXT(tblHorasMai[Data],"ddd")</f>
        <v/>
      </c>
      <c r="D19" s="25"/>
      <c r="E19" s="1"/>
      <c r="F19" s="1"/>
      <c r="G19" s="1"/>
      <c r="H19" s="1"/>
      <c r="I19" s="53"/>
      <c r="J1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9" s="4">
        <f>tblHorasMai[Horas Trabalhadas (1º Período)]+tblHorasMai[Horas Trabalhadas (2º Período)]</f>
        <v>0</v>
      </c>
      <c r="M1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Jornada])+O18</f>
        <v>0</v>
      </c>
      <c r="P19" s="14">
        <f t="shared" si="0"/>
        <v>0</v>
      </c>
      <c r="Q19" s="14" t="str">
        <f>IF(tblHorasMai[Horas Trabalhadas Além Jornada]&lt;0,IF(OR(tblHorasMai[Evento 
(1º Período)]="",tblHorasMai[Evento 
(2º Período)]=""),tblHorasMai[Horas Trabalhadas Além Jornada],""),"")</f>
        <v/>
      </c>
      <c r="R19" s="14" t="str">
        <f>IF(tblHorasMai[Jornada Diária]&lt;&gt;"",IF((N(tblHorasMai[Jornada Diária])-ABS(N(tblHorasMai[Horas Trabalhadas Além Jornada])))=0,1,""),"")</f>
        <v/>
      </c>
      <c r="S1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TEXT(tblHorasMai[Data],"ddd")</f>
        <v/>
      </c>
      <c r="D20" s="25"/>
      <c r="E20" s="1"/>
      <c r="F20" s="1"/>
      <c r="G20" s="1"/>
      <c r="H20" s="1"/>
      <c r="I20" s="53"/>
      <c r="J2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0" s="4">
        <f>tblHorasMai[Horas Trabalhadas (1º Período)]+tblHorasMai[Horas Trabalhadas (2º Período)]</f>
        <v>0</v>
      </c>
      <c r="M2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Jornada])+O19</f>
        <v>0</v>
      </c>
      <c r="P20" s="14">
        <f t="shared" si="0"/>
        <v>0</v>
      </c>
      <c r="Q20" s="14" t="str">
        <f>IF(tblHorasMai[Horas Trabalhadas Além Jornada]&lt;0,IF(OR(tblHorasMai[Evento 
(1º Período)]="",tblHorasMai[Evento 
(2º Período)]=""),tblHorasMai[Horas Trabalhadas Além Jornada],""),"")</f>
        <v/>
      </c>
      <c r="R20" s="14" t="str">
        <f>IF(tblHorasMai[Jornada Diária]&lt;&gt;"",IF((N(tblHorasMai[Jornada Diária])-ABS(N(tblHorasMai[Horas Trabalhadas Além Jornada])))=0,1,""),"")</f>
        <v/>
      </c>
      <c r="S2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TEXT(tblHorasMai[Data],"ddd")</f>
        <v/>
      </c>
      <c r="D21" s="25"/>
      <c r="E21" s="1"/>
      <c r="F21" s="1"/>
      <c r="G21" s="1"/>
      <c r="H21" s="1"/>
      <c r="I21" s="53"/>
      <c r="J2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1" s="4">
        <f>tblHorasMai[Horas Trabalhadas (1º Período)]+tblHorasMai[Horas Trabalhadas (2º Período)]</f>
        <v>0</v>
      </c>
      <c r="M2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Jornada])+O20</f>
        <v>0</v>
      </c>
      <c r="P21" s="14">
        <f t="shared" si="0"/>
        <v>0</v>
      </c>
      <c r="Q21" s="14" t="str">
        <f>IF(tblHorasMai[Horas Trabalhadas Além Jornada]&lt;0,IF(OR(tblHorasMai[Evento 
(1º Período)]="",tblHorasMai[Evento 
(2º Período)]=""),tblHorasMai[Horas Trabalhadas Além Jornada],""),"")</f>
        <v/>
      </c>
      <c r="R21" s="14" t="str">
        <f>IF(tblHorasMai[Jornada Diária]&lt;&gt;"",IF((N(tblHorasMai[Jornada Diária])-ABS(N(tblHorasMai[Horas Trabalhadas Além Jornada])))=0,1,""),"")</f>
        <v/>
      </c>
      <c r="S2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TEXT(tblHorasMai[Data],"ddd")</f>
        <v/>
      </c>
      <c r="D22" s="25"/>
      <c r="E22" s="1"/>
      <c r="F22" s="1"/>
      <c r="G22" s="1"/>
      <c r="H22" s="1"/>
      <c r="I22" s="53"/>
      <c r="J2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2" s="4">
        <f>tblHorasMai[Horas Trabalhadas (1º Período)]+tblHorasMai[Horas Trabalhadas (2º Período)]</f>
        <v>0</v>
      </c>
      <c r="M2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Jornada])+O21</f>
        <v>0</v>
      </c>
      <c r="P22" s="14">
        <f t="shared" si="0"/>
        <v>0</v>
      </c>
      <c r="Q22" s="14" t="str">
        <f>IF(tblHorasMai[Horas Trabalhadas Além Jornada]&lt;0,IF(OR(tblHorasMai[Evento 
(1º Período)]="",tblHorasMai[Evento 
(2º Período)]=""),tblHorasMai[Horas Trabalhadas Além Jornada],""),"")</f>
        <v/>
      </c>
      <c r="R22" s="14" t="str">
        <f>IF(tblHorasMai[Jornada Diária]&lt;&gt;"",IF((N(tblHorasMai[Jornada Diária])-ABS(N(tblHorasMai[Horas Trabalhadas Além Jornada])))=0,1,""),"")</f>
        <v/>
      </c>
      <c r="S2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TEXT(tblHorasMai[Data],"ddd")</f>
        <v/>
      </c>
      <c r="D23" s="25"/>
      <c r="E23" s="1"/>
      <c r="F23" s="1"/>
      <c r="G23" s="1"/>
      <c r="H23" s="1"/>
      <c r="I23" s="53"/>
      <c r="J2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3" s="4">
        <f>tblHorasMai[Horas Trabalhadas (1º Período)]+tblHorasMai[Horas Trabalhadas (2º Período)]</f>
        <v>0</v>
      </c>
      <c r="M2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Jornada])+O22</f>
        <v>0</v>
      </c>
      <c r="P23" s="14">
        <f t="shared" si="0"/>
        <v>0</v>
      </c>
      <c r="Q23" s="14" t="str">
        <f>IF(tblHorasMai[Horas Trabalhadas Além Jornada]&lt;0,IF(OR(tblHorasMai[Evento 
(1º Período)]="",tblHorasMai[Evento 
(2º Período)]=""),tblHorasMai[Horas Trabalhadas Além Jornada],""),"")</f>
        <v/>
      </c>
      <c r="R23" s="14" t="str">
        <f>IF(tblHorasMai[Jornada Diária]&lt;&gt;"",IF((N(tblHorasMai[Jornada Diária])-ABS(N(tblHorasMai[Horas Trabalhadas Além Jornada])))=0,1,""),"")</f>
        <v/>
      </c>
      <c r="S2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TEXT(tblHorasMai[Data],"ddd")</f>
        <v/>
      </c>
      <c r="D24" s="25"/>
      <c r="E24" s="1"/>
      <c r="F24" s="1"/>
      <c r="G24" s="1"/>
      <c r="H24" s="1"/>
      <c r="I24" s="53"/>
      <c r="J2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4" s="4">
        <f>tblHorasMai[Horas Trabalhadas (1º Período)]+tblHorasMai[Horas Trabalhadas (2º Período)]</f>
        <v>0</v>
      </c>
      <c r="M2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Jornada])+O23</f>
        <v>0</v>
      </c>
      <c r="P24" s="14">
        <f t="shared" si="0"/>
        <v>0</v>
      </c>
      <c r="Q24" s="14" t="str">
        <f>IF(tblHorasMai[Horas Trabalhadas Além Jornada]&lt;0,IF(OR(tblHorasMai[Evento 
(1º Período)]="",tblHorasMai[Evento 
(2º Período)]=""),tblHorasMai[Horas Trabalhadas Além Jornada],""),"")</f>
        <v/>
      </c>
      <c r="R24" s="14" t="str">
        <f>IF(tblHorasMai[Jornada Diária]&lt;&gt;"",IF((N(tblHorasMai[Jornada Diária])-ABS(N(tblHorasMai[Horas Trabalhadas Além Jornada])))=0,1,""),"")</f>
        <v/>
      </c>
      <c r="S2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TEXT(tblHorasMai[Data],"ddd")</f>
        <v/>
      </c>
      <c r="D25" s="25"/>
      <c r="E25" s="1"/>
      <c r="F25" s="1"/>
      <c r="G25" s="1"/>
      <c r="H25" s="1"/>
      <c r="I25" s="53"/>
      <c r="J2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5" s="4">
        <f>tblHorasMai[Horas Trabalhadas (1º Período)]+tblHorasMai[Horas Trabalhadas (2º Período)]</f>
        <v>0</v>
      </c>
      <c r="M2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Jornada])+O24</f>
        <v>0</v>
      </c>
      <c r="P25" s="14">
        <f t="shared" si="0"/>
        <v>0</v>
      </c>
      <c r="Q25" s="14" t="str">
        <f>IF(tblHorasMai[Horas Trabalhadas Além Jornada]&lt;0,IF(OR(tblHorasMai[Evento 
(1º Período)]="",tblHorasMai[Evento 
(2º Período)]=""),tblHorasMai[Horas Trabalhadas Além Jornada],""),"")</f>
        <v/>
      </c>
      <c r="R25" s="14" t="str">
        <f>IF(tblHorasMai[Jornada Diária]&lt;&gt;"",IF((N(tblHorasMai[Jornada Diária])-ABS(N(tblHorasMai[Horas Trabalhadas Além Jornada])))=0,1,""),"")</f>
        <v/>
      </c>
      <c r="S2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TEXT(tblHorasMai[Data],"ddd")</f>
        <v/>
      </c>
      <c r="D26" s="25"/>
      <c r="E26" s="1"/>
      <c r="F26" s="1"/>
      <c r="G26" s="1"/>
      <c r="H26" s="1"/>
      <c r="I26" s="53"/>
      <c r="J2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6" s="4">
        <f>tblHorasMai[Horas Trabalhadas (1º Período)]+tblHorasMai[Horas Trabalhadas (2º Período)]</f>
        <v>0</v>
      </c>
      <c r="M2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Jornada])+O25</f>
        <v>0</v>
      </c>
      <c r="P26" s="14">
        <f t="shared" si="0"/>
        <v>0</v>
      </c>
      <c r="Q26" s="14" t="str">
        <f>IF(tblHorasMai[Horas Trabalhadas Além Jornada]&lt;0,IF(OR(tblHorasMai[Evento 
(1º Período)]="",tblHorasMai[Evento 
(2º Período)]=""),tblHorasMai[Horas Trabalhadas Além Jornada],""),"")</f>
        <v/>
      </c>
      <c r="R26" s="14" t="str">
        <f>IF(tblHorasMai[Jornada Diária]&lt;&gt;"",IF((N(tblHorasMai[Jornada Diária])-ABS(N(tblHorasMai[Horas Trabalhadas Além Jornada])))=0,1,""),"")</f>
        <v/>
      </c>
      <c r="S2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TEXT(tblHorasMai[Data],"ddd")</f>
        <v/>
      </c>
      <c r="D27" s="25"/>
      <c r="E27" s="1"/>
      <c r="F27" s="1"/>
      <c r="G27" s="1"/>
      <c r="H27" s="1"/>
      <c r="I27" s="53"/>
      <c r="J2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7" s="4">
        <f>tblHorasMai[Horas Trabalhadas (1º Período)]+tblHorasMai[Horas Trabalhadas (2º Período)]</f>
        <v>0</v>
      </c>
      <c r="M2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Jornada])+O26</f>
        <v>0</v>
      </c>
      <c r="P27" s="14">
        <f t="shared" si="0"/>
        <v>0</v>
      </c>
      <c r="Q27" s="14" t="str">
        <f>IF(tblHorasMai[Horas Trabalhadas Além Jornada]&lt;0,IF(OR(tblHorasMai[Evento 
(1º Período)]="",tblHorasMai[Evento 
(2º Período)]=""),tblHorasMai[Horas Trabalhadas Além Jornada],""),"")</f>
        <v/>
      </c>
      <c r="R27" s="14" t="str">
        <f>IF(tblHorasMai[Jornada Diária]&lt;&gt;"",IF((N(tblHorasMai[Jornada Diária])-ABS(N(tblHorasMai[Horas Trabalhadas Além Jornada])))=0,1,""),"")</f>
        <v/>
      </c>
      <c r="S2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TEXT(tblHorasMai[Data],"ddd")</f>
        <v/>
      </c>
      <c r="D28" s="25"/>
      <c r="E28" s="1"/>
      <c r="F28" s="1"/>
      <c r="G28" s="1"/>
      <c r="H28" s="1"/>
      <c r="I28" s="53"/>
      <c r="J2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8" s="4">
        <f>tblHorasMai[Horas Trabalhadas (1º Período)]+tblHorasMai[Horas Trabalhadas (2º Período)]</f>
        <v>0</v>
      </c>
      <c r="M2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Jornada])+O27</f>
        <v>0</v>
      </c>
      <c r="P28" s="14">
        <f t="shared" si="0"/>
        <v>0</v>
      </c>
      <c r="Q28" s="14" t="str">
        <f>IF(tblHorasMai[Horas Trabalhadas Além Jornada]&lt;0,IF(OR(tblHorasMai[Evento 
(1º Período)]="",tblHorasMai[Evento 
(2º Período)]=""),tblHorasMai[Horas Trabalhadas Além Jornada],""),"")</f>
        <v/>
      </c>
      <c r="R28" s="14" t="str">
        <f>IF(tblHorasMai[Jornada Diária]&lt;&gt;"",IF((N(tblHorasMai[Jornada Diária])-ABS(N(tblHorasMai[Horas Trabalhadas Além Jornada])))=0,1,""),"")</f>
        <v/>
      </c>
      <c r="S2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TEXT(tblHorasMai[Data],"ddd")</f>
        <v/>
      </c>
      <c r="D29" s="25"/>
      <c r="E29" s="1"/>
      <c r="F29" s="1"/>
      <c r="G29" s="1"/>
      <c r="H29" s="1"/>
      <c r="I29" s="53"/>
      <c r="J2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9" s="4">
        <f>tblHorasMai[Horas Trabalhadas (1º Período)]+tblHorasMai[Horas Trabalhadas (2º Período)]</f>
        <v>0</v>
      </c>
      <c r="M2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Jornada])+O28</f>
        <v>0</v>
      </c>
      <c r="P29" s="14">
        <f t="shared" si="0"/>
        <v>0</v>
      </c>
      <c r="Q29" s="14" t="str">
        <f>IF(tblHorasMai[Horas Trabalhadas Além Jornada]&lt;0,IF(OR(tblHorasMai[Evento 
(1º Período)]="",tblHorasMai[Evento 
(2º Período)]=""),tblHorasMai[Horas Trabalhadas Além Jornada],""),"")</f>
        <v/>
      </c>
      <c r="R29" s="14" t="str">
        <f>IF(tblHorasMai[Jornada Diária]&lt;&gt;"",IF((N(tblHorasMai[Jornada Diária])-ABS(N(tblHorasMai[Horas Trabalhadas Além Jornada])))=0,1,""),"")</f>
        <v/>
      </c>
      <c r="S2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TEXT(tblHorasMai[Data],"ddd")</f>
        <v/>
      </c>
      <c r="D30" s="25"/>
      <c r="E30" s="1"/>
      <c r="F30" s="1"/>
      <c r="G30" s="1"/>
      <c r="H30" s="1"/>
      <c r="I30" s="53"/>
      <c r="J3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0" s="4">
        <f>tblHorasMai[Horas Trabalhadas (1º Período)]+tblHorasMai[Horas Trabalhadas (2º Período)]</f>
        <v>0</v>
      </c>
      <c r="M3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Jornada])+O29</f>
        <v>0</v>
      </c>
      <c r="P30" s="14">
        <f t="shared" si="0"/>
        <v>0</v>
      </c>
      <c r="Q30" s="14" t="str">
        <f>IF(tblHorasMai[Horas Trabalhadas Além Jornada]&lt;0,IF(OR(tblHorasMai[Evento 
(1º Período)]="",tblHorasMai[Evento 
(2º Período)]=""),tblHorasMai[Horas Trabalhadas Além Jornada],""),"")</f>
        <v/>
      </c>
      <c r="R30" s="14" t="str">
        <f>IF(tblHorasMai[Jornada Diária]&lt;&gt;"",IF((N(tblHorasMai[Jornada Diária])-ABS(N(tblHorasMai[Horas Trabalhadas Além Jornada])))=0,1,""),"")</f>
        <v/>
      </c>
      <c r="S3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TEXT(tblHorasMai[Data],"ddd")</f>
        <v/>
      </c>
      <c r="D31" s="25"/>
      <c r="E31" s="1"/>
      <c r="F31" s="1"/>
      <c r="G31" s="1"/>
      <c r="H31" s="1"/>
      <c r="I31" s="53"/>
      <c r="J3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1" s="4">
        <f>tblHorasMai[Horas Trabalhadas (1º Período)]+tblHorasMai[Horas Trabalhadas (2º Período)]</f>
        <v>0</v>
      </c>
      <c r="M3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Jornada])+O30</f>
        <v>0</v>
      </c>
      <c r="P31" s="14">
        <f t="shared" si="0"/>
        <v>0</v>
      </c>
      <c r="Q31" s="14" t="str">
        <f>IF(tblHorasMai[Horas Trabalhadas Além Jornada]&lt;0,IF(OR(tblHorasMai[Evento 
(1º Período)]="",tblHorasMai[Evento 
(2º Período)]=""),tblHorasMai[Horas Trabalhadas Além Jornada],""),"")</f>
        <v/>
      </c>
      <c r="R31" s="14" t="str">
        <f>IF(tblHorasMai[Jornada Diária]&lt;&gt;"",IF((N(tblHorasMai[Jornada Diária])-ABS(N(tblHorasMai[Horas Trabalhadas Além Jornada])))=0,1,""),"")</f>
        <v/>
      </c>
      <c r="S3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TEXT(tblHorasMai[Data],"ddd")</f>
        <v/>
      </c>
      <c r="D32" s="25"/>
      <c r="E32" s="1"/>
      <c r="F32" s="1"/>
      <c r="G32" s="1"/>
      <c r="H32" s="1"/>
      <c r="I32" s="53"/>
      <c r="J3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2" s="4">
        <f>tblHorasMai[Horas Trabalhadas (1º Período)]+tblHorasMai[Horas Trabalhadas (2º Período)]</f>
        <v>0</v>
      </c>
      <c r="M3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Jornada])+O31</f>
        <v>0</v>
      </c>
      <c r="P32" s="14">
        <f t="shared" si="0"/>
        <v>0</v>
      </c>
      <c r="Q32" s="14" t="str">
        <f>IF(tblHorasMai[Horas Trabalhadas Além Jornada]&lt;0,IF(OR(tblHorasMai[Evento 
(1º Período)]="",tblHorasMai[Evento 
(2º Período)]=""),tblHorasMai[Horas Trabalhadas Além Jornada],""),"")</f>
        <v/>
      </c>
      <c r="R32" s="14" t="str">
        <f>IF(tblHorasMai[Jornada Diária]&lt;&gt;"",IF((N(tblHorasMai[Jornada Diária])-ABS(N(tblHorasMai[Horas Trabalhadas Além Jornada])))=0,1,""),"")</f>
        <v/>
      </c>
      <c r="S3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TEXT(tblHorasMai[Data],"ddd")</f>
        <v/>
      </c>
      <c r="D33" s="25"/>
      <c r="E33" s="1"/>
      <c r="F33" s="1"/>
      <c r="G33" s="1"/>
      <c r="H33" s="1"/>
      <c r="I33" s="53"/>
      <c r="J3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3" s="4">
        <f>tblHorasMai[Horas Trabalhadas (1º Período)]+tblHorasMai[Horas Trabalhadas (2º Período)]</f>
        <v>0</v>
      </c>
      <c r="M3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Jornada])+O32</f>
        <v>0</v>
      </c>
      <c r="P33" s="14">
        <f t="shared" si="0"/>
        <v>0</v>
      </c>
      <c r="Q33" s="14" t="str">
        <f>IF(tblHorasMai[Horas Trabalhadas Além Jornada]&lt;0,IF(OR(tblHorasMai[Evento 
(1º Período)]="",tblHorasMai[Evento 
(2º Período)]=""),tblHorasMai[Horas Trabalhadas Além Jornada],""),"")</f>
        <v/>
      </c>
      <c r="R33" s="14" t="str">
        <f>IF(tblHorasMai[Jornada Diária]&lt;&gt;"",IF((N(tblHorasMai[Jornada Diária])-ABS(N(tblHorasMai[Horas Trabalhadas Além Jornada])))=0,1,""),"")</f>
        <v/>
      </c>
      <c r="S3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TEXT(tblHorasMai[Data],"ddd")</f>
        <v/>
      </c>
      <c r="D34" s="25"/>
      <c r="E34" s="1"/>
      <c r="F34" s="1"/>
      <c r="G34" s="1"/>
      <c r="H34" s="1"/>
      <c r="I34" s="53"/>
      <c r="J3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4" s="4">
        <f>tblHorasMai[Horas Trabalhadas (1º Período)]+tblHorasMai[Horas Trabalhadas (2º Período)]</f>
        <v>0</v>
      </c>
      <c r="M3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Jornada])+O33</f>
        <v>0</v>
      </c>
      <c r="P34" s="14">
        <f t="shared" si="0"/>
        <v>0</v>
      </c>
      <c r="Q34" s="14" t="str">
        <f>IF(tblHorasMai[Horas Trabalhadas Além Jornada]&lt;0,IF(OR(tblHorasMai[Evento 
(1º Período)]="",tblHorasMai[Evento 
(2º Período)]=""),tblHorasMai[Horas Trabalhadas Além Jornada],""),"")</f>
        <v/>
      </c>
      <c r="R34" s="14" t="str">
        <f>IF(tblHorasMai[Jornada Diária]&lt;&gt;"",IF((N(tblHorasMai[Jornada Diária])-ABS(N(tblHorasMai[Horas Trabalhadas Além Jornada])))=0,1,""),"")</f>
        <v/>
      </c>
      <c r="S3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TEXT(tblHorasMai[Data],"ddd")</f>
        <v/>
      </c>
      <c r="D35" s="25"/>
      <c r="E35" s="1"/>
      <c r="F35" s="1"/>
      <c r="G35" s="1"/>
      <c r="H35" s="1"/>
      <c r="I35" s="53"/>
      <c r="J3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5" s="4">
        <f>tblHorasMai[Horas Trabalhadas (1º Período)]+tblHorasMai[Horas Trabalhadas (2º Período)]</f>
        <v>0</v>
      </c>
      <c r="M3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Jornada])+O34</f>
        <v>0</v>
      </c>
      <c r="P35" s="14">
        <f t="shared" si="0"/>
        <v>0</v>
      </c>
      <c r="Q35" s="14" t="str">
        <f>IF(tblHorasMai[Horas Trabalhadas Além Jornada]&lt;0,IF(OR(tblHorasMai[Evento 
(1º Período)]="",tblHorasMai[Evento 
(2º Período)]=""),tblHorasMai[Horas Trabalhadas Além Jornada],""),"")</f>
        <v/>
      </c>
      <c r="R35" s="14" t="str">
        <f>IF(tblHorasMai[Jornada Diária]&lt;&gt;"",IF((N(tblHorasMai[Jornada Diária])-ABS(N(tblHorasMai[Horas Trabalhadas Além Jornada])))=0,1,""),"")</f>
        <v/>
      </c>
      <c r="S3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TEXT(tblHorasMai[Data],"ddd")</f>
        <v/>
      </c>
      <c r="D36" s="25"/>
      <c r="E36" s="1"/>
      <c r="F36" s="1"/>
      <c r="G36" s="1"/>
      <c r="H36" s="1"/>
      <c r="I36" s="53"/>
      <c r="J3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6" s="4">
        <f>tblHorasMai[Horas Trabalhadas (1º Período)]+tblHorasMai[Horas Trabalhadas (2º Período)]</f>
        <v>0</v>
      </c>
      <c r="M3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Jornada])+O35</f>
        <v>0</v>
      </c>
      <c r="P36" s="14">
        <f t="shared" si="0"/>
        <v>0</v>
      </c>
      <c r="Q36" s="14" t="str">
        <f>IF(tblHorasMai[Horas Trabalhadas Além Jornada]&lt;0,IF(OR(tblHorasMai[Evento 
(1º Período)]="",tblHorasMai[Evento 
(2º Período)]=""),tblHorasMai[Horas Trabalhadas Além Jornada],""),"")</f>
        <v/>
      </c>
      <c r="R36" s="14" t="str">
        <f>IF(tblHorasMai[Jornada Diária]&lt;&gt;"",IF((N(tblHorasMai[Jornada Diária])-ABS(N(tblHorasMai[Horas Trabalhadas Além Jornada])))=0,1,""),"")</f>
        <v/>
      </c>
      <c r="S3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TEXT(tblHorasMai[Data],"ddd")</f>
        <v/>
      </c>
      <c r="D37" s="25"/>
      <c r="E37" s="1"/>
      <c r="F37" s="1"/>
      <c r="G37" s="1"/>
      <c r="H37" s="1"/>
      <c r="I37" s="53"/>
      <c r="J3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7" s="4">
        <f>tblHorasMai[Horas Trabalhadas (1º Período)]+tblHorasMai[Horas Trabalhadas (2º Período)]</f>
        <v>0</v>
      </c>
      <c r="M3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Jornada])+O36</f>
        <v>0</v>
      </c>
      <c r="P37" s="14">
        <f t="shared" si="0"/>
        <v>0</v>
      </c>
      <c r="Q37" s="14" t="str">
        <f>IF(tblHorasMai[Horas Trabalhadas Além Jornada]&lt;0,IF(OR(tblHorasMai[Evento 
(1º Período)]="",tblHorasMai[Evento 
(2º Período)]=""),tblHorasMai[Horas Trabalhadas Além Jornada],""),"")</f>
        <v/>
      </c>
      <c r="R37" s="14" t="str">
        <f>IF(tblHorasMai[Jornada Diária]&lt;&gt;"",IF((N(tblHorasMai[Jornada Diária])-ABS(N(tblHorasMai[Horas Trabalhadas Além Jornada])))=0,1,""),"")</f>
        <v/>
      </c>
      <c r="S3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TEXT(tblHorasMai[Data],"ddd")</f>
        <v/>
      </c>
      <c r="D38" s="25"/>
      <c r="E38" s="1"/>
      <c r="F38" s="1"/>
      <c r="G38" s="1"/>
      <c r="H38" s="1"/>
      <c r="I38" s="53"/>
      <c r="J3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8" s="4">
        <f>tblHorasMai[Horas Trabalhadas (1º Período)]+tblHorasMai[Horas Trabalhadas (2º Período)]</f>
        <v>0</v>
      </c>
      <c r="M3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Jornada])+O37</f>
        <v>0</v>
      </c>
      <c r="P38" s="14">
        <f t="shared" si="0"/>
        <v>0</v>
      </c>
      <c r="Q38" s="14" t="str">
        <f>IF(tblHorasMai[Horas Trabalhadas Além Jornada]&lt;0,IF(OR(tblHorasMai[Evento 
(1º Período)]="",tblHorasMai[Evento 
(2º Período)]=""),tblHorasMai[Horas Trabalhadas Além Jornada],""),"")</f>
        <v/>
      </c>
      <c r="R38" s="14" t="str">
        <f>IF(tblHorasMai[Jornada Diária]&lt;&gt;"",IF((N(tblHorasMai[Jornada Diária])-ABS(N(tblHorasMai[Horas Trabalhadas Além Jornada])))=0,1,""),"")</f>
        <v/>
      </c>
      <c r="S3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TEXT(tblHorasMai[Data],"ddd")</f>
        <v/>
      </c>
      <c r="D39" s="25"/>
      <c r="E39" s="1"/>
      <c r="F39" s="1"/>
      <c r="G39" s="1"/>
      <c r="H39" s="1"/>
      <c r="I39" s="53"/>
      <c r="J3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9" s="4">
        <f>tblHorasMai[Horas Trabalhadas (1º Período)]+tblHorasMai[Horas Trabalhadas (2º Período)]</f>
        <v>0</v>
      </c>
      <c r="M3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Jornada])+O38</f>
        <v>0</v>
      </c>
      <c r="P39" s="14">
        <f t="shared" si="0"/>
        <v>0</v>
      </c>
      <c r="Q39" s="14" t="str">
        <f>IF(tblHorasMai[Horas Trabalhadas Além Jornada]&lt;0,IF(OR(tblHorasMai[Evento 
(1º Período)]="",tblHorasMai[Evento 
(2º Período)]=""),tblHorasMai[Horas Trabalhadas Além Jornada],""),"")</f>
        <v/>
      </c>
      <c r="R39" s="14" t="str">
        <f>IF(tblHorasMai[Jornada Diária]&lt;&gt;"",IF((N(tblHorasMai[Jornada Diária])-ABS(N(tblHorasMai[Horas Trabalhadas Além Jornada])))=0,1,""),"")</f>
        <v/>
      </c>
      <c r="S3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2yYbsQWfU8KZMx7dlJ6XhQP2utVTnZvVoBddrsuBL7fHzyBtvYanuWhuyI9XiUbHOu2kZouV52pCtfpEGEJKrA==" saltValue="KuQkn5lbQZ11Pdm30Ixwng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34D004E8-071A-45B7-BB35-38410EF2511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32932BA0-F751-47CF-954D-F96812AD87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81DDAE87-779D-4947-8EE8-175CA190D1A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52365AFC-0359-49F5-A897-6A50D5F33F5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961A92C1-98FD-4AC7-93E5-6148CEB5CDC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0E6B1DFE-57C2-40D8-BA22-D7F9821F6B95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nh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68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Maio!O39</f>
        <v>0</v>
      </c>
      <c r="P7" s="45">
        <f>SUM(tblHorasJun[Atrasos
(horas)])</f>
        <v>0</v>
      </c>
      <c r="Q7" s="45">
        <f>SUM(tblHorasJun[Atrasos
(horas)])</f>
        <v>0</v>
      </c>
      <c r="R7" s="46">
        <f>SUM(tblHorasJun[Faltas
(dias)])</f>
        <v>0</v>
      </c>
      <c r="S7" s="45">
        <f>SUM(tblHorasJun[Hora Extra Normal])</f>
        <v>0</v>
      </c>
      <c r="T7" s="45">
        <f>SUM(tblHorasJun[Hora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TEXT(tblHorasJun[Data],"ddd")</f>
        <v/>
      </c>
      <c r="D9" s="25"/>
      <c r="E9" s="1"/>
      <c r="F9" s="1"/>
      <c r="G9" s="1"/>
      <c r="H9" s="1"/>
      <c r="I9" s="53"/>
      <c r="J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9" s="4">
        <f>tblHorasJun[Horas Trabalhadas (1º Período)]+tblHorasJun[Horas Trabalhadas (2º Período)]</f>
        <v>0</v>
      </c>
      <c r="M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Jornada])+O7</f>
        <v>0</v>
      </c>
      <c r="P9" s="14">
        <f t="shared" ref="P9:P39" si="0">G9-F9</f>
        <v>0</v>
      </c>
      <c r="Q9" s="14" t="str">
        <f>IF(tblHorasJun[Horas Trabalhadas Além Jornada]&lt;0,IF(OR(tblHorasJun[Evento 
(1º Período)]="",tblHorasJun[Evento 
(2º Período)]=""),tblHorasJun[Horas Trabalhadas Além Jornada],""),"")</f>
        <v/>
      </c>
      <c r="R9" s="14" t="str">
        <f>IF(tblHorasJun[Jornada Diária]&lt;&gt;"",IF((N(tblHorasJun[Jornada Diária])-ABS(N(tblHorasJun[Horas Trabalhadas Além Jornada])))=0,1,""),"")</f>
        <v/>
      </c>
      <c r="S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TEXT(tblHorasJun[Data],"ddd")</f>
        <v/>
      </c>
      <c r="D10" s="25"/>
      <c r="E10" s="1"/>
      <c r="F10" s="1"/>
      <c r="G10" s="1"/>
      <c r="H10" s="1"/>
      <c r="I10" s="53"/>
      <c r="J1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0" s="4">
        <f>tblHorasJun[Horas Trabalhadas (1º Período)]+tblHorasJun[Horas Trabalhadas (2º Período)]</f>
        <v>0</v>
      </c>
      <c r="M1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Jornada])+O9</f>
        <v>0</v>
      </c>
      <c r="P10" s="14">
        <f t="shared" si="0"/>
        <v>0</v>
      </c>
      <c r="Q10" s="14" t="str">
        <f>IF(tblHorasJun[Horas Trabalhadas Além Jornada]&lt;0,IF(OR(tblHorasJun[Evento 
(1º Período)]="",tblHorasJun[Evento 
(2º Período)]=""),tblHorasJun[Horas Trabalhadas Além Jornada],""),"")</f>
        <v/>
      </c>
      <c r="R10" s="14" t="str">
        <f>IF(tblHorasJun[Jornada Diária]&lt;&gt;"",IF((N(tblHorasJun[Jornada Diária])-ABS(N(tblHorasJun[Horas Trabalhadas Além Jornada])))=0,1,""),"")</f>
        <v/>
      </c>
      <c r="S1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TEXT(tblHorasJun[Data],"ddd")</f>
        <v/>
      </c>
      <c r="D11" s="25"/>
      <c r="E11" s="1"/>
      <c r="F11" s="1"/>
      <c r="G11" s="1"/>
      <c r="H11" s="1"/>
      <c r="I11" s="53"/>
      <c r="J1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1" s="4">
        <f>tblHorasJun[Horas Trabalhadas (1º Período)]+tblHorasJun[Horas Trabalhadas (2º Período)]</f>
        <v>0</v>
      </c>
      <c r="M1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Jornada])+O10</f>
        <v>0</v>
      </c>
      <c r="P11" s="14">
        <f t="shared" si="0"/>
        <v>0</v>
      </c>
      <c r="Q11" s="14" t="str">
        <f>IF(tblHorasJun[Horas Trabalhadas Além Jornada]&lt;0,IF(OR(tblHorasJun[Evento 
(1º Período)]="",tblHorasJun[Evento 
(2º Período)]=""),tblHorasJun[Horas Trabalhadas Além Jornada],""),"")</f>
        <v/>
      </c>
      <c r="R11" s="14" t="str">
        <f>IF(tblHorasJun[Jornada Diária]&lt;&gt;"",IF((N(tblHorasJun[Jornada Diária])-ABS(N(tblHorasJun[Horas Trabalhadas Além Jornada])))=0,1,""),"")</f>
        <v/>
      </c>
      <c r="S1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TEXT(tblHorasJun[Data],"ddd")</f>
        <v/>
      </c>
      <c r="D12" s="25"/>
      <c r="E12" s="1"/>
      <c r="F12" s="1"/>
      <c r="G12" s="1"/>
      <c r="H12" s="1"/>
      <c r="I12" s="53"/>
      <c r="J1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2" s="4">
        <f>tblHorasJun[Horas Trabalhadas (1º Período)]+tblHorasJun[Horas Trabalhadas (2º Período)]</f>
        <v>0</v>
      </c>
      <c r="M1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Jornada])+O11</f>
        <v>0</v>
      </c>
      <c r="P12" s="14">
        <f t="shared" si="0"/>
        <v>0</v>
      </c>
      <c r="Q12" s="14" t="str">
        <f>IF(tblHorasJun[Horas Trabalhadas Além Jornada]&lt;0,IF(OR(tblHorasJun[Evento 
(1º Período)]="",tblHorasJun[Evento 
(2º Período)]=""),tblHorasJun[Horas Trabalhadas Além Jornada],""),"")</f>
        <v/>
      </c>
      <c r="R12" s="14" t="str">
        <f>IF(tblHorasJun[Jornada Diária]&lt;&gt;"",IF((N(tblHorasJun[Jornada Diária])-ABS(N(tblHorasJun[Horas Trabalhadas Além Jornada])))=0,1,""),"")</f>
        <v/>
      </c>
      <c r="S1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TEXT(tblHorasJun[Data],"ddd")</f>
        <v/>
      </c>
      <c r="D13" s="25"/>
      <c r="E13" s="1"/>
      <c r="F13" s="1"/>
      <c r="G13" s="1"/>
      <c r="H13" s="1"/>
      <c r="I13" s="53"/>
      <c r="J1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3" s="4">
        <f>tblHorasJun[Horas Trabalhadas (1º Período)]+tblHorasJun[Horas Trabalhadas (2º Período)]</f>
        <v>0</v>
      </c>
      <c r="M1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Jornada])+O12</f>
        <v>0</v>
      </c>
      <c r="P13" s="14">
        <f t="shared" si="0"/>
        <v>0</v>
      </c>
      <c r="Q13" s="14" t="str">
        <f>IF(tblHorasJun[Horas Trabalhadas Além Jornada]&lt;0,IF(OR(tblHorasJun[Evento 
(1º Período)]="",tblHorasJun[Evento 
(2º Período)]=""),tblHorasJun[Horas Trabalhadas Além Jornada],""),"")</f>
        <v/>
      </c>
      <c r="R13" s="14" t="str">
        <f>IF(tblHorasJun[Jornada Diária]&lt;&gt;"",IF((N(tblHorasJun[Jornada Diária])-ABS(N(tblHorasJun[Horas Trabalhadas Além Jornada])))=0,1,""),"")</f>
        <v/>
      </c>
      <c r="S1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TEXT(tblHorasJun[Data],"ddd")</f>
        <v/>
      </c>
      <c r="D14" s="25"/>
      <c r="E14" s="1"/>
      <c r="F14" s="1"/>
      <c r="G14" s="1"/>
      <c r="H14" s="1"/>
      <c r="I14" s="53"/>
      <c r="J1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4" s="4">
        <f>tblHorasJun[Horas Trabalhadas (1º Período)]+tblHorasJun[Horas Trabalhadas (2º Período)]</f>
        <v>0</v>
      </c>
      <c r="M1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Jornada])+O13</f>
        <v>0</v>
      </c>
      <c r="P14" s="14">
        <f t="shared" si="0"/>
        <v>0</v>
      </c>
      <c r="Q14" s="14" t="str">
        <f>IF(tblHorasJun[Horas Trabalhadas Além Jornada]&lt;0,IF(OR(tblHorasJun[Evento 
(1º Período)]="",tblHorasJun[Evento 
(2º Período)]=""),tblHorasJun[Horas Trabalhadas Além Jornada],""),"")</f>
        <v/>
      </c>
      <c r="R14" s="14" t="str">
        <f>IF(tblHorasJun[Jornada Diária]&lt;&gt;"",IF((N(tblHorasJun[Jornada Diária])-ABS(N(tblHorasJun[Horas Trabalhadas Além Jornada])))=0,1,""),"")</f>
        <v/>
      </c>
      <c r="S1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TEXT(tblHorasJun[Data],"ddd")</f>
        <v/>
      </c>
      <c r="D15" s="25"/>
      <c r="E15" s="1"/>
      <c r="F15" s="1"/>
      <c r="G15" s="1"/>
      <c r="H15" s="1"/>
      <c r="I15" s="53"/>
      <c r="J1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5" s="4">
        <f>tblHorasJun[Horas Trabalhadas (1º Período)]+tblHorasJun[Horas Trabalhadas (2º Período)]</f>
        <v>0</v>
      </c>
      <c r="M1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Jornada])+O14</f>
        <v>0</v>
      </c>
      <c r="P15" s="14">
        <f t="shared" si="0"/>
        <v>0</v>
      </c>
      <c r="Q15" s="14" t="str">
        <f>IF(tblHorasJun[Horas Trabalhadas Além Jornada]&lt;0,IF(OR(tblHorasJun[Evento 
(1º Período)]="",tblHorasJun[Evento 
(2º Período)]=""),tblHorasJun[Horas Trabalhadas Além Jornada],""),"")</f>
        <v/>
      </c>
      <c r="R15" s="14" t="str">
        <f>IF(tblHorasJun[Jornada Diária]&lt;&gt;"",IF((N(tblHorasJun[Jornada Diária])-ABS(N(tblHorasJun[Horas Trabalhadas Além Jornada])))=0,1,""),"")</f>
        <v/>
      </c>
      <c r="S1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TEXT(tblHorasJun[Data],"ddd")</f>
        <v/>
      </c>
      <c r="D16" s="25"/>
      <c r="E16" s="1"/>
      <c r="F16" s="1"/>
      <c r="G16" s="1"/>
      <c r="H16" s="1"/>
      <c r="I16" s="53"/>
      <c r="J1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6" s="4">
        <f>tblHorasJun[Horas Trabalhadas (1º Período)]+tblHorasJun[Horas Trabalhadas (2º Período)]</f>
        <v>0</v>
      </c>
      <c r="M1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Jornada])+O15</f>
        <v>0</v>
      </c>
      <c r="P16" s="14">
        <f t="shared" si="0"/>
        <v>0</v>
      </c>
      <c r="Q16" s="14" t="str">
        <f>IF(tblHorasJun[Horas Trabalhadas Além Jornada]&lt;0,IF(OR(tblHorasJun[Evento 
(1º Período)]="",tblHorasJun[Evento 
(2º Período)]=""),tblHorasJun[Horas Trabalhadas Além Jornada],""),"")</f>
        <v/>
      </c>
      <c r="R16" s="14" t="str">
        <f>IF(tblHorasJun[Jornada Diária]&lt;&gt;"",IF((N(tblHorasJun[Jornada Diária])-ABS(N(tblHorasJun[Horas Trabalhadas Além Jornada])))=0,1,""),"")</f>
        <v/>
      </c>
      <c r="S1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TEXT(tblHorasJun[Data],"ddd")</f>
        <v/>
      </c>
      <c r="D17" s="25"/>
      <c r="E17" s="1"/>
      <c r="F17" s="1"/>
      <c r="G17" s="1"/>
      <c r="H17" s="1"/>
      <c r="I17" s="53"/>
      <c r="J1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7" s="4">
        <f>tblHorasJun[Horas Trabalhadas (1º Período)]+tblHorasJun[Horas Trabalhadas (2º Período)]</f>
        <v>0</v>
      </c>
      <c r="M1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Jornada])+O16</f>
        <v>0</v>
      </c>
      <c r="P17" s="14">
        <f t="shared" si="0"/>
        <v>0</v>
      </c>
      <c r="Q17" s="14" t="str">
        <f>IF(tblHorasJun[Horas Trabalhadas Além Jornada]&lt;0,IF(OR(tblHorasJun[Evento 
(1º Período)]="",tblHorasJun[Evento 
(2º Período)]=""),tblHorasJun[Horas Trabalhadas Além Jornada],""),"")</f>
        <v/>
      </c>
      <c r="R17" s="14" t="str">
        <f>IF(tblHorasJun[Jornada Diária]&lt;&gt;"",IF((N(tblHorasJun[Jornada Diária])-ABS(N(tblHorasJun[Horas Trabalhadas Além Jornada])))=0,1,""),"")</f>
        <v/>
      </c>
      <c r="S1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TEXT(tblHorasJun[Data],"ddd")</f>
        <v/>
      </c>
      <c r="D18" s="25"/>
      <c r="E18" s="1"/>
      <c r="F18" s="1"/>
      <c r="G18" s="1"/>
      <c r="H18" s="1"/>
      <c r="I18" s="53"/>
      <c r="J1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8" s="4">
        <f>tblHorasJun[Horas Trabalhadas (1º Período)]+tblHorasJun[Horas Trabalhadas (2º Período)]</f>
        <v>0</v>
      </c>
      <c r="M1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Jornada])+O17</f>
        <v>0</v>
      </c>
      <c r="P18" s="14">
        <f t="shared" si="0"/>
        <v>0</v>
      </c>
      <c r="Q18" s="14" t="str">
        <f>IF(tblHorasJun[Horas Trabalhadas Além Jornada]&lt;0,IF(OR(tblHorasJun[Evento 
(1º Período)]="",tblHorasJun[Evento 
(2º Período)]=""),tblHorasJun[Horas Trabalhadas Além Jornada],""),"")</f>
        <v/>
      </c>
      <c r="R18" s="14" t="str">
        <f>IF(tblHorasJun[Jornada Diária]&lt;&gt;"",IF((N(tblHorasJun[Jornada Diária])-ABS(N(tblHorasJun[Horas Trabalhadas Além Jornada])))=0,1,""),"")</f>
        <v/>
      </c>
      <c r="S1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TEXT(tblHorasJun[Data],"ddd")</f>
        <v/>
      </c>
      <c r="D19" s="25"/>
      <c r="E19" s="1"/>
      <c r="F19" s="1"/>
      <c r="G19" s="1"/>
      <c r="H19" s="1"/>
      <c r="I19" s="53"/>
      <c r="J1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9" s="4">
        <f>tblHorasJun[Horas Trabalhadas (1º Período)]+tblHorasJun[Horas Trabalhadas (2º Período)]</f>
        <v>0</v>
      </c>
      <c r="M1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Jornada])+O18</f>
        <v>0</v>
      </c>
      <c r="P19" s="14">
        <f t="shared" si="0"/>
        <v>0</v>
      </c>
      <c r="Q19" s="14" t="str">
        <f>IF(tblHorasJun[Horas Trabalhadas Além Jornada]&lt;0,IF(OR(tblHorasJun[Evento 
(1º Período)]="",tblHorasJun[Evento 
(2º Período)]=""),tblHorasJun[Horas Trabalhadas Além Jornada],""),"")</f>
        <v/>
      </c>
      <c r="R19" s="14" t="str">
        <f>IF(tblHorasJun[Jornada Diária]&lt;&gt;"",IF((N(tblHorasJun[Jornada Diária])-ABS(N(tblHorasJun[Horas Trabalhadas Além Jornada])))=0,1,""),"")</f>
        <v/>
      </c>
      <c r="S1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TEXT(tblHorasJun[Data],"ddd")</f>
        <v/>
      </c>
      <c r="D20" s="25"/>
      <c r="E20" s="1"/>
      <c r="F20" s="1"/>
      <c r="G20" s="1"/>
      <c r="H20" s="1"/>
      <c r="I20" s="53"/>
      <c r="J2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0" s="4">
        <f>tblHorasJun[Horas Trabalhadas (1º Período)]+tblHorasJun[Horas Trabalhadas (2º Período)]</f>
        <v>0</v>
      </c>
      <c r="M2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Jornada])+O19</f>
        <v>0</v>
      </c>
      <c r="P20" s="14">
        <f t="shared" si="0"/>
        <v>0</v>
      </c>
      <c r="Q20" s="14" t="str">
        <f>IF(tblHorasJun[Horas Trabalhadas Além Jornada]&lt;0,IF(OR(tblHorasJun[Evento 
(1º Período)]="",tblHorasJun[Evento 
(2º Período)]=""),tblHorasJun[Horas Trabalhadas Além Jornada],""),"")</f>
        <v/>
      </c>
      <c r="R20" s="14" t="str">
        <f>IF(tblHorasJun[Jornada Diária]&lt;&gt;"",IF((N(tblHorasJun[Jornada Diária])-ABS(N(tblHorasJun[Horas Trabalhadas Além Jornada])))=0,1,""),"")</f>
        <v/>
      </c>
      <c r="S2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TEXT(tblHorasJun[Data],"ddd")</f>
        <v/>
      </c>
      <c r="D21" s="25"/>
      <c r="E21" s="1"/>
      <c r="F21" s="1"/>
      <c r="G21" s="1"/>
      <c r="H21" s="1"/>
      <c r="I21" s="53"/>
      <c r="J2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1" s="4">
        <f>tblHorasJun[Horas Trabalhadas (1º Período)]+tblHorasJun[Horas Trabalhadas (2º Período)]</f>
        <v>0</v>
      </c>
      <c r="M2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Jornada])+O20</f>
        <v>0</v>
      </c>
      <c r="P21" s="14">
        <f t="shared" si="0"/>
        <v>0</v>
      </c>
      <c r="Q21" s="14" t="str">
        <f>IF(tblHorasJun[Horas Trabalhadas Além Jornada]&lt;0,IF(OR(tblHorasJun[Evento 
(1º Período)]="",tblHorasJun[Evento 
(2º Período)]=""),tblHorasJun[Horas Trabalhadas Além Jornada],""),"")</f>
        <v/>
      </c>
      <c r="R21" s="14" t="str">
        <f>IF(tblHorasJun[Jornada Diária]&lt;&gt;"",IF((N(tblHorasJun[Jornada Diária])-ABS(N(tblHorasJun[Horas Trabalhadas Além Jornada])))=0,1,""),"")</f>
        <v/>
      </c>
      <c r="S2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TEXT(tblHorasJun[Data],"ddd")</f>
        <v/>
      </c>
      <c r="D22" s="25"/>
      <c r="E22" s="1"/>
      <c r="F22" s="1"/>
      <c r="G22" s="1"/>
      <c r="H22" s="1"/>
      <c r="I22" s="53"/>
      <c r="J2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2" s="4">
        <f>tblHorasJun[Horas Trabalhadas (1º Período)]+tblHorasJun[Horas Trabalhadas (2º Período)]</f>
        <v>0</v>
      </c>
      <c r="M2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Jornada])+O21</f>
        <v>0</v>
      </c>
      <c r="P22" s="14">
        <f t="shared" si="0"/>
        <v>0</v>
      </c>
      <c r="Q22" s="14" t="str">
        <f>IF(tblHorasJun[Horas Trabalhadas Além Jornada]&lt;0,IF(OR(tblHorasJun[Evento 
(1º Período)]="",tblHorasJun[Evento 
(2º Período)]=""),tblHorasJun[Horas Trabalhadas Além Jornada],""),"")</f>
        <v/>
      </c>
      <c r="R22" s="14" t="str">
        <f>IF(tblHorasJun[Jornada Diária]&lt;&gt;"",IF((N(tblHorasJun[Jornada Diária])-ABS(N(tblHorasJun[Horas Trabalhadas Além Jornada])))=0,1,""),"")</f>
        <v/>
      </c>
      <c r="S2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TEXT(tblHorasJun[Data],"ddd")</f>
        <v/>
      </c>
      <c r="D23" s="25"/>
      <c r="E23" s="1"/>
      <c r="F23" s="1"/>
      <c r="G23" s="1"/>
      <c r="H23" s="1"/>
      <c r="I23" s="53"/>
      <c r="J2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3" s="4">
        <f>tblHorasJun[Horas Trabalhadas (1º Período)]+tblHorasJun[Horas Trabalhadas (2º Período)]</f>
        <v>0</v>
      </c>
      <c r="M2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Jornada])+O22</f>
        <v>0</v>
      </c>
      <c r="P23" s="14">
        <f t="shared" si="0"/>
        <v>0</v>
      </c>
      <c r="Q23" s="14" t="str">
        <f>IF(tblHorasJun[Horas Trabalhadas Além Jornada]&lt;0,IF(OR(tblHorasJun[Evento 
(1º Período)]="",tblHorasJun[Evento 
(2º Período)]=""),tblHorasJun[Horas Trabalhadas Além Jornada],""),"")</f>
        <v/>
      </c>
      <c r="R23" s="14" t="str">
        <f>IF(tblHorasJun[Jornada Diária]&lt;&gt;"",IF((N(tblHorasJun[Jornada Diária])-ABS(N(tblHorasJun[Horas Trabalhadas Além Jornada])))=0,1,""),"")</f>
        <v/>
      </c>
      <c r="S2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TEXT(tblHorasJun[Data],"ddd")</f>
        <v/>
      </c>
      <c r="D24" s="25"/>
      <c r="E24" s="1"/>
      <c r="F24" s="1"/>
      <c r="G24" s="1"/>
      <c r="H24" s="1"/>
      <c r="I24" s="53"/>
      <c r="J2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4" s="4">
        <f>tblHorasJun[Horas Trabalhadas (1º Período)]+tblHorasJun[Horas Trabalhadas (2º Período)]</f>
        <v>0</v>
      </c>
      <c r="M2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Jornada])+O23</f>
        <v>0</v>
      </c>
      <c r="P24" s="14">
        <f t="shared" si="0"/>
        <v>0</v>
      </c>
      <c r="Q24" s="14" t="str">
        <f>IF(tblHorasJun[Horas Trabalhadas Além Jornada]&lt;0,IF(OR(tblHorasJun[Evento 
(1º Período)]="",tblHorasJun[Evento 
(2º Período)]=""),tblHorasJun[Horas Trabalhadas Além Jornada],""),"")</f>
        <v/>
      </c>
      <c r="R24" s="14" t="str">
        <f>IF(tblHorasJun[Jornada Diária]&lt;&gt;"",IF((N(tblHorasJun[Jornada Diária])-ABS(N(tblHorasJun[Horas Trabalhadas Além Jornada])))=0,1,""),"")</f>
        <v/>
      </c>
      <c r="S2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TEXT(tblHorasJun[Data],"ddd")</f>
        <v/>
      </c>
      <c r="D25" s="25"/>
      <c r="E25" s="1"/>
      <c r="F25" s="1"/>
      <c r="G25" s="1"/>
      <c r="H25" s="1"/>
      <c r="I25" s="53"/>
      <c r="J2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5" s="4">
        <f>tblHorasJun[Horas Trabalhadas (1º Período)]+tblHorasJun[Horas Trabalhadas (2º Período)]</f>
        <v>0</v>
      </c>
      <c r="M2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Jornada])+O24</f>
        <v>0</v>
      </c>
      <c r="P25" s="14">
        <f t="shared" si="0"/>
        <v>0</v>
      </c>
      <c r="Q25" s="14" t="str">
        <f>IF(tblHorasJun[Horas Trabalhadas Além Jornada]&lt;0,IF(OR(tblHorasJun[Evento 
(1º Período)]="",tblHorasJun[Evento 
(2º Período)]=""),tblHorasJun[Horas Trabalhadas Além Jornada],""),"")</f>
        <v/>
      </c>
      <c r="R25" s="14" t="str">
        <f>IF(tblHorasJun[Jornada Diária]&lt;&gt;"",IF((N(tblHorasJun[Jornada Diária])-ABS(N(tblHorasJun[Horas Trabalhadas Além Jornada])))=0,1,""),"")</f>
        <v/>
      </c>
      <c r="S2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TEXT(tblHorasJun[Data],"ddd")</f>
        <v/>
      </c>
      <c r="D26" s="25"/>
      <c r="E26" s="1"/>
      <c r="F26" s="1"/>
      <c r="G26" s="1"/>
      <c r="H26" s="1"/>
      <c r="I26" s="53"/>
      <c r="J2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6" s="4">
        <f>tblHorasJun[Horas Trabalhadas (1º Período)]+tblHorasJun[Horas Trabalhadas (2º Período)]</f>
        <v>0</v>
      </c>
      <c r="M2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Jornada])+O25</f>
        <v>0</v>
      </c>
      <c r="P26" s="14">
        <f t="shared" si="0"/>
        <v>0</v>
      </c>
      <c r="Q26" s="14" t="str">
        <f>IF(tblHorasJun[Horas Trabalhadas Além Jornada]&lt;0,IF(OR(tblHorasJun[Evento 
(1º Período)]="",tblHorasJun[Evento 
(2º Período)]=""),tblHorasJun[Horas Trabalhadas Além Jornada],""),"")</f>
        <v/>
      </c>
      <c r="R26" s="14" t="str">
        <f>IF(tblHorasJun[Jornada Diária]&lt;&gt;"",IF((N(tblHorasJun[Jornada Diária])-ABS(N(tblHorasJun[Horas Trabalhadas Além Jornada])))=0,1,""),"")</f>
        <v/>
      </c>
      <c r="S2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TEXT(tblHorasJun[Data],"ddd")</f>
        <v/>
      </c>
      <c r="D27" s="25"/>
      <c r="E27" s="1"/>
      <c r="F27" s="1"/>
      <c r="G27" s="1"/>
      <c r="H27" s="1"/>
      <c r="I27" s="53"/>
      <c r="J2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7" s="4">
        <f>tblHorasJun[Horas Trabalhadas (1º Período)]+tblHorasJun[Horas Trabalhadas (2º Período)]</f>
        <v>0</v>
      </c>
      <c r="M2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Jornada])+O26</f>
        <v>0</v>
      </c>
      <c r="P27" s="14">
        <f t="shared" si="0"/>
        <v>0</v>
      </c>
      <c r="Q27" s="14" t="str">
        <f>IF(tblHorasJun[Horas Trabalhadas Além Jornada]&lt;0,IF(OR(tblHorasJun[Evento 
(1º Período)]="",tblHorasJun[Evento 
(2º Período)]=""),tblHorasJun[Horas Trabalhadas Além Jornada],""),"")</f>
        <v/>
      </c>
      <c r="R27" s="14" t="str">
        <f>IF(tblHorasJun[Jornada Diária]&lt;&gt;"",IF((N(tblHorasJun[Jornada Diária])-ABS(N(tblHorasJun[Horas Trabalhadas Além Jornada])))=0,1,""),"")</f>
        <v/>
      </c>
      <c r="S2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TEXT(tblHorasJun[Data],"ddd")</f>
        <v/>
      </c>
      <c r="D28" s="25"/>
      <c r="E28" s="1"/>
      <c r="F28" s="1"/>
      <c r="G28" s="1"/>
      <c r="H28" s="1"/>
      <c r="I28" s="53"/>
      <c r="J2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8" s="4">
        <f>tblHorasJun[Horas Trabalhadas (1º Período)]+tblHorasJun[Horas Trabalhadas (2º Período)]</f>
        <v>0</v>
      </c>
      <c r="M2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Jornada])+O27</f>
        <v>0</v>
      </c>
      <c r="P28" s="14">
        <f t="shared" si="0"/>
        <v>0</v>
      </c>
      <c r="Q28" s="14" t="str">
        <f>IF(tblHorasJun[Horas Trabalhadas Além Jornada]&lt;0,IF(OR(tblHorasJun[Evento 
(1º Período)]="",tblHorasJun[Evento 
(2º Período)]=""),tblHorasJun[Horas Trabalhadas Além Jornada],""),"")</f>
        <v/>
      </c>
      <c r="R28" s="14" t="str">
        <f>IF(tblHorasJun[Jornada Diária]&lt;&gt;"",IF((N(tblHorasJun[Jornada Diária])-ABS(N(tblHorasJun[Horas Trabalhadas Além Jornada])))=0,1,""),"")</f>
        <v/>
      </c>
      <c r="S2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TEXT(tblHorasJun[Data],"ddd")</f>
        <v/>
      </c>
      <c r="D29" s="25"/>
      <c r="E29" s="1"/>
      <c r="F29" s="1"/>
      <c r="G29" s="1"/>
      <c r="H29" s="1"/>
      <c r="I29" s="53"/>
      <c r="J2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9" s="4">
        <f>tblHorasJun[Horas Trabalhadas (1º Período)]+tblHorasJun[Horas Trabalhadas (2º Período)]</f>
        <v>0</v>
      </c>
      <c r="M2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Jornada])+O28</f>
        <v>0</v>
      </c>
      <c r="P29" s="14">
        <f t="shared" si="0"/>
        <v>0</v>
      </c>
      <c r="Q29" s="14" t="str">
        <f>IF(tblHorasJun[Horas Trabalhadas Além Jornada]&lt;0,IF(OR(tblHorasJun[Evento 
(1º Período)]="",tblHorasJun[Evento 
(2º Período)]=""),tblHorasJun[Horas Trabalhadas Além Jornada],""),"")</f>
        <v/>
      </c>
      <c r="R29" s="14" t="str">
        <f>IF(tblHorasJun[Jornada Diária]&lt;&gt;"",IF((N(tblHorasJun[Jornada Diária])-ABS(N(tblHorasJun[Horas Trabalhadas Além Jornada])))=0,1,""),"")</f>
        <v/>
      </c>
      <c r="S2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TEXT(tblHorasJun[Data],"ddd")</f>
        <v/>
      </c>
      <c r="D30" s="25"/>
      <c r="E30" s="1"/>
      <c r="F30" s="1"/>
      <c r="G30" s="1"/>
      <c r="H30" s="1"/>
      <c r="I30" s="53"/>
      <c r="J3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0" s="4">
        <f>tblHorasJun[Horas Trabalhadas (1º Período)]+tblHorasJun[Horas Trabalhadas (2º Período)]</f>
        <v>0</v>
      </c>
      <c r="M3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Jornada])+O29</f>
        <v>0</v>
      </c>
      <c r="P30" s="14">
        <f t="shared" si="0"/>
        <v>0</v>
      </c>
      <c r="Q30" s="14" t="str">
        <f>IF(tblHorasJun[Horas Trabalhadas Além Jornada]&lt;0,IF(OR(tblHorasJun[Evento 
(1º Período)]="",tblHorasJun[Evento 
(2º Período)]=""),tblHorasJun[Horas Trabalhadas Além Jornada],""),"")</f>
        <v/>
      </c>
      <c r="R30" s="14" t="str">
        <f>IF(tblHorasJun[Jornada Diária]&lt;&gt;"",IF((N(tblHorasJun[Jornada Diária])-ABS(N(tblHorasJun[Horas Trabalhadas Além Jornada])))=0,1,""),"")</f>
        <v/>
      </c>
      <c r="S3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TEXT(tblHorasJun[Data],"ddd")</f>
        <v/>
      </c>
      <c r="D31" s="25"/>
      <c r="E31" s="1"/>
      <c r="F31" s="1"/>
      <c r="G31" s="1"/>
      <c r="H31" s="1"/>
      <c r="I31" s="53"/>
      <c r="J3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1" s="4">
        <f>tblHorasJun[Horas Trabalhadas (1º Período)]+tblHorasJun[Horas Trabalhadas (2º Período)]</f>
        <v>0</v>
      </c>
      <c r="M3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Jornada])+O30</f>
        <v>0</v>
      </c>
      <c r="P31" s="14">
        <f t="shared" si="0"/>
        <v>0</v>
      </c>
      <c r="Q31" s="14" t="str">
        <f>IF(tblHorasJun[Horas Trabalhadas Além Jornada]&lt;0,IF(OR(tblHorasJun[Evento 
(1º Período)]="",tblHorasJun[Evento 
(2º Período)]=""),tblHorasJun[Horas Trabalhadas Além Jornada],""),"")</f>
        <v/>
      </c>
      <c r="R31" s="14" t="str">
        <f>IF(tblHorasJun[Jornada Diária]&lt;&gt;"",IF((N(tblHorasJun[Jornada Diária])-ABS(N(tblHorasJun[Horas Trabalhadas Além Jornada])))=0,1,""),"")</f>
        <v/>
      </c>
      <c r="S3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TEXT(tblHorasJun[Data],"ddd")</f>
        <v/>
      </c>
      <c r="D32" s="25"/>
      <c r="E32" s="1"/>
      <c r="F32" s="1"/>
      <c r="G32" s="1"/>
      <c r="H32" s="1"/>
      <c r="I32" s="53"/>
      <c r="J3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2" s="4">
        <f>tblHorasJun[Horas Trabalhadas (1º Período)]+tblHorasJun[Horas Trabalhadas (2º Período)]</f>
        <v>0</v>
      </c>
      <c r="M3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Jornada])+O31</f>
        <v>0</v>
      </c>
      <c r="P32" s="14">
        <f t="shared" si="0"/>
        <v>0</v>
      </c>
      <c r="Q32" s="14" t="str">
        <f>IF(tblHorasJun[Horas Trabalhadas Além Jornada]&lt;0,IF(OR(tblHorasJun[Evento 
(1º Período)]="",tblHorasJun[Evento 
(2º Período)]=""),tblHorasJun[Horas Trabalhadas Além Jornada],""),"")</f>
        <v/>
      </c>
      <c r="R32" s="14" t="str">
        <f>IF(tblHorasJun[Jornada Diária]&lt;&gt;"",IF((N(tblHorasJun[Jornada Diária])-ABS(N(tblHorasJun[Horas Trabalhadas Além Jornada])))=0,1,""),"")</f>
        <v/>
      </c>
      <c r="S3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TEXT(tblHorasJun[Data],"ddd")</f>
        <v/>
      </c>
      <c r="D33" s="25"/>
      <c r="E33" s="1"/>
      <c r="F33" s="1"/>
      <c r="G33" s="1"/>
      <c r="H33" s="1"/>
      <c r="I33" s="53"/>
      <c r="J3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3" s="4">
        <f>tblHorasJun[Horas Trabalhadas (1º Período)]+tblHorasJun[Horas Trabalhadas (2º Período)]</f>
        <v>0</v>
      </c>
      <c r="M3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Jornada])+O32</f>
        <v>0</v>
      </c>
      <c r="P33" s="14">
        <f t="shared" si="0"/>
        <v>0</v>
      </c>
      <c r="Q33" s="14" t="str">
        <f>IF(tblHorasJun[Horas Trabalhadas Além Jornada]&lt;0,IF(OR(tblHorasJun[Evento 
(1º Período)]="",tblHorasJun[Evento 
(2º Período)]=""),tblHorasJun[Horas Trabalhadas Além Jornada],""),"")</f>
        <v/>
      </c>
      <c r="R33" s="14" t="str">
        <f>IF(tblHorasJun[Jornada Diária]&lt;&gt;"",IF((N(tblHorasJun[Jornada Diária])-ABS(N(tblHorasJun[Horas Trabalhadas Além Jornada])))=0,1,""),"")</f>
        <v/>
      </c>
      <c r="S3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TEXT(tblHorasJun[Data],"ddd")</f>
        <v/>
      </c>
      <c r="D34" s="25"/>
      <c r="E34" s="1"/>
      <c r="F34" s="1"/>
      <c r="G34" s="1"/>
      <c r="H34" s="1"/>
      <c r="I34" s="53"/>
      <c r="J3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4" s="4">
        <f>tblHorasJun[Horas Trabalhadas (1º Período)]+tblHorasJun[Horas Trabalhadas (2º Período)]</f>
        <v>0</v>
      </c>
      <c r="M3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Jornada])+O33</f>
        <v>0</v>
      </c>
      <c r="P34" s="14">
        <f t="shared" si="0"/>
        <v>0</v>
      </c>
      <c r="Q34" s="14" t="str">
        <f>IF(tblHorasJun[Horas Trabalhadas Além Jornada]&lt;0,IF(OR(tblHorasJun[Evento 
(1º Período)]="",tblHorasJun[Evento 
(2º Período)]=""),tblHorasJun[Horas Trabalhadas Além Jornada],""),"")</f>
        <v/>
      </c>
      <c r="R34" s="14" t="str">
        <f>IF(tblHorasJun[Jornada Diária]&lt;&gt;"",IF((N(tblHorasJun[Jornada Diária])-ABS(N(tblHorasJun[Horas Trabalhadas Além Jornada])))=0,1,""),"")</f>
        <v/>
      </c>
      <c r="S3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TEXT(tblHorasJun[Data],"ddd")</f>
        <v/>
      </c>
      <c r="D35" s="25"/>
      <c r="E35" s="1"/>
      <c r="F35" s="1"/>
      <c r="G35" s="1"/>
      <c r="H35" s="1"/>
      <c r="I35" s="53"/>
      <c r="J3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5" s="4">
        <f>tblHorasJun[Horas Trabalhadas (1º Período)]+tblHorasJun[Horas Trabalhadas (2º Período)]</f>
        <v>0</v>
      </c>
      <c r="M3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Jornada])+O34</f>
        <v>0</v>
      </c>
      <c r="P35" s="14">
        <f t="shared" si="0"/>
        <v>0</v>
      </c>
      <c r="Q35" s="14" t="str">
        <f>IF(tblHorasJun[Horas Trabalhadas Além Jornada]&lt;0,IF(OR(tblHorasJun[Evento 
(1º Período)]="",tblHorasJun[Evento 
(2º Período)]=""),tblHorasJun[Horas Trabalhadas Além Jornada],""),"")</f>
        <v/>
      </c>
      <c r="R35" s="14" t="str">
        <f>IF(tblHorasJun[Jornada Diária]&lt;&gt;"",IF((N(tblHorasJun[Jornada Diária])-ABS(N(tblHorasJun[Horas Trabalhadas Além Jornada])))=0,1,""),"")</f>
        <v/>
      </c>
      <c r="S3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TEXT(tblHorasJun[Data],"ddd")</f>
        <v/>
      </c>
      <c r="D36" s="25"/>
      <c r="E36" s="1"/>
      <c r="F36" s="1"/>
      <c r="G36" s="1"/>
      <c r="H36" s="1"/>
      <c r="I36" s="53"/>
      <c r="J3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6" s="4">
        <f>tblHorasJun[Horas Trabalhadas (1º Período)]+tblHorasJun[Horas Trabalhadas (2º Período)]</f>
        <v>0</v>
      </c>
      <c r="M3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Jornada])+O35</f>
        <v>0</v>
      </c>
      <c r="P36" s="14">
        <f t="shared" si="0"/>
        <v>0</v>
      </c>
      <c r="Q36" s="14" t="str">
        <f>IF(tblHorasJun[Horas Trabalhadas Além Jornada]&lt;0,IF(OR(tblHorasJun[Evento 
(1º Período)]="",tblHorasJun[Evento 
(2º Período)]=""),tblHorasJun[Horas Trabalhadas Além Jornada],""),"")</f>
        <v/>
      </c>
      <c r="R36" s="14" t="str">
        <f>IF(tblHorasJun[Jornada Diária]&lt;&gt;"",IF((N(tblHorasJun[Jornada Diária])-ABS(N(tblHorasJun[Horas Trabalhadas Além Jornada])))=0,1,""),"")</f>
        <v/>
      </c>
      <c r="S3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TEXT(tblHorasJun[Data],"ddd")</f>
        <v/>
      </c>
      <c r="D37" s="25"/>
      <c r="E37" s="1"/>
      <c r="F37" s="1"/>
      <c r="G37" s="1"/>
      <c r="H37" s="1"/>
      <c r="I37" s="53"/>
      <c r="J3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7" s="4">
        <f>tblHorasJun[Horas Trabalhadas (1º Período)]+tblHorasJun[Horas Trabalhadas (2º Período)]</f>
        <v>0</v>
      </c>
      <c r="M3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Jornada])+O36</f>
        <v>0</v>
      </c>
      <c r="P37" s="14">
        <f t="shared" si="0"/>
        <v>0</v>
      </c>
      <c r="Q37" s="14" t="str">
        <f>IF(tblHorasJun[Horas Trabalhadas Além Jornada]&lt;0,IF(OR(tblHorasJun[Evento 
(1º Período)]="",tblHorasJun[Evento 
(2º Período)]=""),tblHorasJun[Horas Trabalhadas Além Jornada],""),"")</f>
        <v/>
      </c>
      <c r="R37" s="14" t="str">
        <f>IF(tblHorasJun[Jornada Diária]&lt;&gt;"",IF((N(tblHorasJun[Jornada Diária])-ABS(N(tblHorasJun[Horas Trabalhadas Além Jornada])))=0,1,""),"")</f>
        <v/>
      </c>
      <c r="S3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TEXT(tblHorasJun[Data],"ddd")</f>
        <v/>
      </c>
      <c r="D38" s="25"/>
      <c r="E38" s="1"/>
      <c r="F38" s="1"/>
      <c r="G38" s="1"/>
      <c r="H38" s="1"/>
      <c r="I38" s="53"/>
      <c r="J3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8" s="4">
        <f>tblHorasJun[Horas Trabalhadas (1º Período)]+tblHorasJun[Horas Trabalhadas (2º Período)]</f>
        <v>0</v>
      </c>
      <c r="M3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Jornada])+O37</f>
        <v>0</v>
      </c>
      <c r="P38" s="14">
        <f t="shared" si="0"/>
        <v>0</v>
      </c>
      <c r="Q38" s="14" t="str">
        <f>IF(tblHorasJun[Horas Trabalhadas Além Jornada]&lt;0,IF(OR(tblHorasJun[Evento 
(1º Período)]="",tblHorasJun[Evento 
(2º Período)]=""),tblHorasJun[Horas Trabalhadas Além Jornada],""),"")</f>
        <v/>
      </c>
      <c r="R38" s="14" t="str">
        <f>IF(tblHorasJun[Jornada Diária]&lt;&gt;"",IF((N(tblHorasJun[Jornada Diária])-ABS(N(tblHorasJun[Horas Trabalhadas Além Jornada])))=0,1,""),"")</f>
        <v/>
      </c>
      <c r="S3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TEXT(tblHorasJun[Data],"ddd")</f>
        <v/>
      </c>
      <c r="D39" s="25"/>
      <c r="E39" s="1"/>
      <c r="F39" s="1"/>
      <c r="G39" s="1"/>
      <c r="H39" s="1"/>
      <c r="I39" s="53"/>
      <c r="J3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9" s="4">
        <f>tblHorasJun[Horas Trabalhadas (1º Período)]+tblHorasJun[Horas Trabalhadas (2º Período)]</f>
        <v>0</v>
      </c>
      <c r="M3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Jornada])+O38</f>
        <v>0</v>
      </c>
      <c r="P39" s="14">
        <f t="shared" si="0"/>
        <v>0</v>
      </c>
      <c r="Q39" s="14" t="str">
        <f>IF(tblHorasJun[Horas Trabalhadas Além Jornada]&lt;0,IF(OR(tblHorasJun[Evento 
(1º Período)]="",tblHorasJun[Evento 
(2º Período)]=""),tblHorasJun[Horas Trabalhadas Além Jornada],""),"")</f>
        <v/>
      </c>
      <c r="R39" s="14" t="str">
        <f>IF(tblHorasJun[Jornada Diária]&lt;&gt;"",IF((N(tblHorasJun[Jornada Diária])-ABS(N(tblHorasJun[Horas Trabalhadas Além Jornada])))=0,1,""),"")</f>
        <v/>
      </c>
      <c r="S3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p1/LrdQsu8coxU6Kb81MUbgSwRb9aRKNOZrZ1gXJRp9yPCvKZnVV3QL1At3ClYzU5TgncSrIc2JPjnbloFYu6w==" saltValue="hWvSI08q1DZoM7i/SZPcMg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FDBE7F75-3AF0-4006-9428-C8AE37E91B2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E1016E8-B030-418F-A53C-ECE8F26D315F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B52BCA18-C606-4667-9666-C87D0E3E891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F91C7385-3909-4D83-A49B-F3BE3BC3A3DB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3481086A-8A49-49F4-B658-29139893CB5A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57B314C8-89F6-4E27-9A69-BBBC7963A2C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lh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69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Junho!O39</f>
        <v>0</v>
      </c>
      <c r="P7" s="45">
        <f>SUM(tblHorasJul[Atrasos
(horas)])</f>
        <v>0</v>
      </c>
      <c r="Q7" s="45">
        <f>SUM(tblHorasJul[Atrasos
(horas)])</f>
        <v>0</v>
      </c>
      <c r="R7" s="46">
        <f>SUM(tblHorasJul[Faltas
(dias)])</f>
        <v>0</v>
      </c>
      <c r="S7" s="45">
        <f>SUM(tblHorasJul[Hora Extra Normal])</f>
        <v>0</v>
      </c>
      <c r="T7" s="45">
        <f>SUM(tblHorasJul[Hora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TEXT(tblHorasJul[Data],"ddd")</f>
        <v/>
      </c>
      <c r="D9" s="25"/>
      <c r="E9" s="1"/>
      <c r="F9" s="1"/>
      <c r="G9" s="1"/>
      <c r="H9" s="1"/>
      <c r="I9" s="53"/>
      <c r="J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9" s="4">
        <f>tblHorasJul[Horas Trabalhadas (1º Período)]+tblHorasJul[Horas Trabalhadas (2º Período)]</f>
        <v>0</v>
      </c>
      <c r="M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Jornada])+O7</f>
        <v>0</v>
      </c>
      <c r="P9" s="14">
        <f t="shared" ref="P9:P39" si="0">G9-F9</f>
        <v>0</v>
      </c>
      <c r="Q9" s="14" t="str">
        <f>IF(tblHorasJul[Horas Trabalhadas Além Jornada]&lt;0,IF(OR(tblHorasJul[Evento 
(1º Período)]="",tblHorasJul[Evento 
(2º Período)]=""),tblHorasJul[Horas Trabalhadas Além Jornada],""),"")</f>
        <v/>
      </c>
      <c r="R9" s="14" t="str">
        <f>IF(tblHorasJul[Jornada Diária]&lt;&gt;"",IF((N(tblHorasJul[Jornada Diária])-ABS(N(tblHorasJul[Horas Trabalhadas Além Jornada])))=0,1,""),"")</f>
        <v/>
      </c>
      <c r="S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TEXT(tblHorasJul[Data],"ddd")</f>
        <v/>
      </c>
      <c r="D10" s="25"/>
      <c r="E10" s="1"/>
      <c r="F10" s="1"/>
      <c r="G10" s="1"/>
      <c r="H10" s="1"/>
      <c r="I10" s="53"/>
      <c r="J1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0" s="4">
        <f>tblHorasJul[Horas Trabalhadas (1º Período)]+tblHorasJul[Horas Trabalhadas (2º Período)]</f>
        <v>0</v>
      </c>
      <c r="M1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Jornada])+O9</f>
        <v>0</v>
      </c>
      <c r="P10" s="14">
        <f t="shared" si="0"/>
        <v>0</v>
      </c>
      <c r="Q10" s="14" t="str">
        <f>IF(tblHorasJul[Horas Trabalhadas Além Jornada]&lt;0,IF(OR(tblHorasJul[Evento 
(1º Período)]="",tblHorasJul[Evento 
(2º Período)]=""),tblHorasJul[Horas Trabalhadas Além Jornada],""),"")</f>
        <v/>
      </c>
      <c r="R10" s="14" t="str">
        <f>IF(tblHorasJul[Jornada Diária]&lt;&gt;"",IF((N(tblHorasJul[Jornada Diária])-ABS(N(tblHorasJul[Horas Trabalhadas Além Jornada])))=0,1,""),"")</f>
        <v/>
      </c>
      <c r="S1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TEXT(tblHorasJul[Data],"ddd")</f>
        <v/>
      </c>
      <c r="D11" s="25"/>
      <c r="E11" s="1"/>
      <c r="F11" s="1"/>
      <c r="G11" s="1"/>
      <c r="H11" s="1"/>
      <c r="I11" s="53"/>
      <c r="J1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1" s="4">
        <f>tblHorasJul[Horas Trabalhadas (1º Período)]+tblHorasJul[Horas Trabalhadas (2º Período)]</f>
        <v>0</v>
      </c>
      <c r="M1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Jornada])+O10</f>
        <v>0</v>
      </c>
      <c r="P11" s="14">
        <f t="shared" si="0"/>
        <v>0</v>
      </c>
      <c r="Q11" s="14" t="str">
        <f>IF(tblHorasJul[Horas Trabalhadas Além Jornada]&lt;0,IF(OR(tblHorasJul[Evento 
(1º Período)]="",tblHorasJul[Evento 
(2º Período)]=""),tblHorasJul[Horas Trabalhadas Além Jornada],""),"")</f>
        <v/>
      </c>
      <c r="R11" s="14" t="str">
        <f>IF(tblHorasJul[Jornada Diária]&lt;&gt;"",IF((N(tblHorasJul[Jornada Diária])-ABS(N(tblHorasJul[Horas Trabalhadas Além Jornada])))=0,1,""),"")</f>
        <v/>
      </c>
      <c r="S1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TEXT(tblHorasJul[Data],"ddd")</f>
        <v/>
      </c>
      <c r="D12" s="25"/>
      <c r="E12" s="1"/>
      <c r="F12" s="1"/>
      <c r="G12" s="1"/>
      <c r="H12" s="1"/>
      <c r="I12" s="53"/>
      <c r="J1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2" s="4">
        <f>tblHorasJul[Horas Trabalhadas (1º Período)]+tblHorasJul[Horas Trabalhadas (2º Período)]</f>
        <v>0</v>
      </c>
      <c r="M1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Jornada])+O11</f>
        <v>0</v>
      </c>
      <c r="P12" s="14">
        <f t="shared" si="0"/>
        <v>0</v>
      </c>
      <c r="Q12" s="14" t="str">
        <f>IF(tblHorasJul[Horas Trabalhadas Além Jornada]&lt;0,IF(OR(tblHorasJul[Evento 
(1º Período)]="",tblHorasJul[Evento 
(2º Período)]=""),tblHorasJul[Horas Trabalhadas Além Jornada],""),"")</f>
        <v/>
      </c>
      <c r="R12" s="14" t="str">
        <f>IF(tblHorasJul[Jornada Diária]&lt;&gt;"",IF((N(tblHorasJul[Jornada Diária])-ABS(N(tblHorasJul[Horas Trabalhadas Além Jornada])))=0,1,""),"")</f>
        <v/>
      </c>
      <c r="S1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TEXT(tblHorasJul[Data],"ddd")</f>
        <v/>
      </c>
      <c r="D13" s="25"/>
      <c r="E13" s="1"/>
      <c r="F13" s="1"/>
      <c r="G13" s="1"/>
      <c r="H13" s="1"/>
      <c r="I13" s="53"/>
      <c r="J1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3" s="4">
        <f>tblHorasJul[Horas Trabalhadas (1º Período)]+tblHorasJul[Horas Trabalhadas (2º Período)]</f>
        <v>0</v>
      </c>
      <c r="M1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Jornada])+O12</f>
        <v>0</v>
      </c>
      <c r="P13" s="14">
        <f t="shared" si="0"/>
        <v>0</v>
      </c>
      <c r="Q13" s="14" t="str">
        <f>IF(tblHorasJul[Horas Trabalhadas Além Jornada]&lt;0,IF(OR(tblHorasJul[Evento 
(1º Período)]="",tblHorasJul[Evento 
(2º Período)]=""),tblHorasJul[Horas Trabalhadas Além Jornada],""),"")</f>
        <v/>
      </c>
      <c r="R13" s="14" t="str">
        <f>IF(tblHorasJul[Jornada Diária]&lt;&gt;"",IF((N(tblHorasJul[Jornada Diária])-ABS(N(tblHorasJul[Horas Trabalhadas Além Jornada])))=0,1,""),"")</f>
        <v/>
      </c>
      <c r="S1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TEXT(tblHorasJul[Data],"ddd")</f>
        <v/>
      </c>
      <c r="D14" s="25"/>
      <c r="E14" s="1"/>
      <c r="F14" s="1"/>
      <c r="G14" s="1"/>
      <c r="H14" s="1"/>
      <c r="I14" s="53"/>
      <c r="J1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4" s="4">
        <f>tblHorasJul[Horas Trabalhadas (1º Período)]+tblHorasJul[Horas Trabalhadas (2º Período)]</f>
        <v>0</v>
      </c>
      <c r="M1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Jornada])+O13</f>
        <v>0</v>
      </c>
      <c r="P14" s="14">
        <f t="shared" si="0"/>
        <v>0</v>
      </c>
      <c r="Q14" s="14" t="str">
        <f>IF(tblHorasJul[Horas Trabalhadas Além Jornada]&lt;0,IF(OR(tblHorasJul[Evento 
(1º Período)]="",tblHorasJul[Evento 
(2º Período)]=""),tblHorasJul[Horas Trabalhadas Além Jornada],""),"")</f>
        <v/>
      </c>
      <c r="R14" s="14" t="str">
        <f>IF(tblHorasJul[Jornada Diária]&lt;&gt;"",IF((N(tblHorasJul[Jornada Diária])-ABS(N(tblHorasJul[Horas Trabalhadas Além Jornada])))=0,1,""),"")</f>
        <v/>
      </c>
      <c r="S1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TEXT(tblHorasJul[Data],"ddd")</f>
        <v/>
      </c>
      <c r="D15" s="25"/>
      <c r="E15" s="1"/>
      <c r="F15" s="1"/>
      <c r="G15" s="1"/>
      <c r="H15" s="1"/>
      <c r="I15" s="53"/>
      <c r="J1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5" s="4">
        <f>tblHorasJul[Horas Trabalhadas (1º Período)]+tblHorasJul[Horas Trabalhadas (2º Período)]</f>
        <v>0</v>
      </c>
      <c r="M1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Jornada])+O14</f>
        <v>0</v>
      </c>
      <c r="P15" s="14">
        <f t="shared" si="0"/>
        <v>0</v>
      </c>
      <c r="Q15" s="14" t="str">
        <f>IF(tblHorasJul[Horas Trabalhadas Além Jornada]&lt;0,IF(OR(tblHorasJul[Evento 
(1º Período)]="",tblHorasJul[Evento 
(2º Período)]=""),tblHorasJul[Horas Trabalhadas Além Jornada],""),"")</f>
        <v/>
      </c>
      <c r="R15" s="14" t="str">
        <f>IF(tblHorasJul[Jornada Diária]&lt;&gt;"",IF((N(tblHorasJul[Jornada Diária])-ABS(N(tblHorasJul[Horas Trabalhadas Além Jornada])))=0,1,""),"")</f>
        <v/>
      </c>
      <c r="S1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TEXT(tblHorasJul[Data],"ddd")</f>
        <v/>
      </c>
      <c r="D16" s="25"/>
      <c r="E16" s="1"/>
      <c r="F16" s="1"/>
      <c r="G16" s="1"/>
      <c r="H16" s="1"/>
      <c r="I16" s="53"/>
      <c r="J1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6" s="4">
        <f>tblHorasJul[Horas Trabalhadas (1º Período)]+tblHorasJul[Horas Trabalhadas (2º Período)]</f>
        <v>0</v>
      </c>
      <c r="M1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Jornada])+O15</f>
        <v>0</v>
      </c>
      <c r="P16" s="14">
        <f t="shared" si="0"/>
        <v>0</v>
      </c>
      <c r="Q16" s="14" t="str">
        <f>IF(tblHorasJul[Horas Trabalhadas Além Jornada]&lt;0,IF(OR(tblHorasJul[Evento 
(1º Período)]="",tblHorasJul[Evento 
(2º Período)]=""),tblHorasJul[Horas Trabalhadas Além Jornada],""),"")</f>
        <v/>
      </c>
      <c r="R16" s="14" t="str">
        <f>IF(tblHorasJul[Jornada Diária]&lt;&gt;"",IF((N(tblHorasJul[Jornada Diária])-ABS(N(tblHorasJul[Horas Trabalhadas Além Jornada])))=0,1,""),"")</f>
        <v/>
      </c>
      <c r="S1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TEXT(tblHorasJul[Data],"ddd")</f>
        <v/>
      </c>
      <c r="D17" s="25"/>
      <c r="E17" s="1"/>
      <c r="F17" s="1"/>
      <c r="G17" s="1"/>
      <c r="H17" s="1"/>
      <c r="I17" s="53"/>
      <c r="J1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7" s="4">
        <f>tblHorasJul[Horas Trabalhadas (1º Período)]+tblHorasJul[Horas Trabalhadas (2º Período)]</f>
        <v>0</v>
      </c>
      <c r="M1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Jornada])+O16</f>
        <v>0</v>
      </c>
      <c r="P17" s="14">
        <f t="shared" si="0"/>
        <v>0</v>
      </c>
      <c r="Q17" s="14" t="str">
        <f>IF(tblHorasJul[Horas Trabalhadas Além Jornada]&lt;0,IF(OR(tblHorasJul[Evento 
(1º Período)]="",tblHorasJul[Evento 
(2º Período)]=""),tblHorasJul[Horas Trabalhadas Além Jornada],""),"")</f>
        <v/>
      </c>
      <c r="R17" s="14" t="str">
        <f>IF(tblHorasJul[Jornada Diária]&lt;&gt;"",IF((N(tblHorasJul[Jornada Diária])-ABS(N(tblHorasJul[Horas Trabalhadas Além Jornada])))=0,1,""),"")</f>
        <v/>
      </c>
      <c r="S1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TEXT(tblHorasJul[Data],"ddd")</f>
        <v/>
      </c>
      <c r="D18" s="25"/>
      <c r="E18" s="1"/>
      <c r="F18" s="1"/>
      <c r="G18" s="1"/>
      <c r="H18" s="1"/>
      <c r="I18" s="53"/>
      <c r="J1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8" s="4">
        <f>tblHorasJul[Horas Trabalhadas (1º Período)]+tblHorasJul[Horas Trabalhadas (2º Período)]</f>
        <v>0</v>
      </c>
      <c r="M1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Jornada])+O17</f>
        <v>0</v>
      </c>
      <c r="P18" s="14">
        <f t="shared" si="0"/>
        <v>0</v>
      </c>
      <c r="Q18" s="14" t="str">
        <f>IF(tblHorasJul[Horas Trabalhadas Além Jornada]&lt;0,IF(OR(tblHorasJul[Evento 
(1º Período)]="",tblHorasJul[Evento 
(2º Período)]=""),tblHorasJul[Horas Trabalhadas Além Jornada],""),"")</f>
        <v/>
      </c>
      <c r="R18" s="14" t="str">
        <f>IF(tblHorasJul[Jornada Diária]&lt;&gt;"",IF((N(tblHorasJul[Jornada Diária])-ABS(N(tblHorasJul[Horas Trabalhadas Além Jornada])))=0,1,""),"")</f>
        <v/>
      </c>
      <c r="S1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TEXT(tblHorasJul[Data],"ddd")</f>
        <v/>
      </c>
      <c r="D19" s="25"/>
      <c r="E19" s="1"/>
      <c r="F19" s="1"/>
      <c r="G19" s="1"/>
      <c r="H19" s="1"/>
      <c r="I19" s="53"/>
      <c r="J1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9" s="4">
        <f>tblHorasJul[Horas Trabalhadas (1º Período)]+tblHorasJul[Horas Trabalhadas (2º Período)]</f>
        <v>0</v>
      </c>
      <c r="M1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Jornada])+O18</f>
        <v>0</v>
      </c>
      <c r="P19" s="14">
        <f t="shared" si="0"/>
        <v>0</v>
      </c>
      <c r="Q19" s="14" t="str">
        <f>IF(tblHorasJul[Horas Trabalhadas Além Jornada]&lt;0,IF(OR(tblHorasJul[Evento 
(1º Período)]="",tblHorasJul[Evento 
(2º Período)]=""),tblHorasJul[Horas Trabalhadas Além Jornada],""),"")</f>
        <v/>
      </c>
      <c r="R19" s="14" t="str">
        <f>IF(tblHorasJul[Jornada Diária]&lt;&gt;"",IF((N(tblHorasJul[Jornada Diária])-ABS(N(tblHorasJul[Horas Trabalhadas Além Jornada])))=0,1,""),"")</f>
        <v/>
      </c>
      <c r="S1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TEXT(tblHorasJul[Data],"ddd")</f>
        <v/>
      </c>
      <c r="D20" s="25"/>
      <c r="E20" s="1"/>
      <c r="F20" s="1"/>
      <c r="G20" s="1"/>
      <c r="H20" s="1"/>
      <c r="I20" s="53"/>
      <c r="J2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0" s="4">
        <f>tblHorasJul[Horas Trabalhadas (1º Período)]+tblHorasJul[Horas Trabalhadas (2º Período)]</f>
        <v>0</v>
      </c>
      <c r="M2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Jornada])+O19</f>
        <v>0</v>
      </c>
      <c r="P20" s="14">
        <f t="shared" si="0"/>
        <v>0</v>
      </c>
      <c r="Q20" s="14" t="str">
        <f>IF(tblHorasJul[Horas Trabalhadas Além Jornada]&lt;0,IF(OR(tblHorasJul[Evento 
(1º Período)]="",tblHorasJul[Evento 
(2º Período)]=""),tblHorasJul[Horas Trabalhadas Além Jornada],""),"")</f>
        <v/>
      </c>
      <c r="R20" s="14" t="str">
        <f>IF(tblHorasJul[Jornada Diária]&lt;&gt;"",IF((N(tblHorasJul[Jornada Diária])-ABS(N(tblHorasJul[Horas Trabalhadas Além Jornada])))=0,1,""),"")</f>
        <v/>
      </c>
      <c r="S2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TEXT(tblHorasJul[Data],"ddd")</f>
        <v/>
      </c>
      <c r="D21" s="25"/>
      <c r="E21" s="1"/>
      <c r="F21" s="1"/>
      <c r="G21" s="1"/>
      <c r="H21" s="1"/>
      <c r="I21" s="53"/>
      <c r="J2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1" s="4">
        <f>tblHorasJul[Horas Trabalhadas (1º Período)]+tblHorasJul[Horas Trabalhadas (2º Período)]</f>
        <v>0</v>
      </c>
      <c r="M2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Jornada])+O20</f>
        <v>0</v>
      </c>
      <c r="P21" s="14">
        <f t="shared" si="0"/>
        <v>0</v>
      </c>
      <c r="Q21" s="14" t="str">
        <f>IF(tblHorasJul[Horas Trabalhadas Além Jornada]&lt;0,IF(OR(tblHorasJul[Evento 
(1º Período)]="",tblHorasJul[Evento 
(2º Período)]=""),tblHorasJul[Horas Trabalhadas Além Jornada],""),"")</f>
        <v/>
      </c>
      <c r="R21" s="14" t="str">
        <f>IF(tblHorasJul[Jornada Diária]&lt;&gt;"",IF((N(tblHorasJul[Jornada Diária])-ABS(N(tblHorasJul[Horas Trabalhadas Além Jornada])))=0,1,""),"")</f>
        <v/>
      </c>
      <c r="S2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TEXT(tblHorasJul[Data],"ddd")</f>
        <v/>
      </c>
      <c r="D22" s="25"/>
      <c r="E22" s="1"/>
      <c r="F22" s="1"/>
      <c r="G22" s="1"/>
      <c r="H22" s="1"/>
      <c r="I22" s="53"/>
      <c r="J2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2" s="4">
        <f>tblHorasJul[Horas Trabalhadas (1º Período)]+tblHorasJul[Horas Trabalhadas (2º Período)]</f>
        <v>0</v>
      </c>
      <c r="M2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Jornada])+O21</f>
        <v>0</v>
      </c>
      <c r="P22" s="14">
        <f t="shared" si="0"/>
        <v>0</v>
      </c>
      <c r="Q22" s="14" t="str">
        <f>IF(tblHorasJul[Horas Trabalhadas Além Jornada]&lt;0,IF(OR(tblHorasJul[Evento 
(1º Período)]="",tblHorasJul[Evento 
(2º Período)]=""),tblHorasJul[Horas Trabalhadas Além Jornada],""),"")</f>
        <v/>
      </c>
      <c r="R22" s="14" t="str">
        <f>IF(tblHorasJul[Jornada Diária]&lt;&gt;"",IF((N(tblHorasJul[Jornada Diária])-ABS(N(tblHorasJul[Horas Trabalhadas Além Jornada])))=0,1,""),"")</f>
        <v/>
      </c>
      <c r="S2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TEXT(tblHorasJul[Data],"ddd")</f>
        <v/>
      </c>
      <c r="D23" s="25"/>
      <c r="E23" s="1"/>
      <c r="F23" s="1"/>
      <c r="G23" s="1"/>
      <c r="H23" s="1"/>
      <c r="I23" s="53"/>
      <c r="J2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3" s="4">
        <f>tblHorasJul[Horas Trabalhadas (1º Período)]+tblHorasJul[Horas Trabalhadas (2º Período)]</f>
        <v>0</v>
      </c>
      <c r="M2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Jornada])+O22</f>
        <v>0</v>
      </c>
      <c r="P23" s="14">
        <f t="shared" si="0"/>
        <v>0</v>
      </c>
      <c r="Q23" s="14" t="str">
        <f>IF(tblHorasJul[Horas Trabalhadas Além Jornada]&lt;0,IF(OR(tblHorasJul[Evento 
(1º Período)]="",tblHorasJul[Evento 
(2º Período)]=""),tblHorasJul[Horas Trabalhadas Além Jornada],""),"")</f>
        <v/>
      </c>
      <c r="R23" s="14" t="str">
        <f>IF(tblHorasJul[Jornada Diária]&lt;&gt;"",IF((N(tblHorasJul[Jornada Diária])-ABS(N(tblHorasJul[Horas Trabalhadas Além Jornada])))=0,1,""),"")</f>
        <v/>
      </c>
      <c r="S2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TEXT(tblHorasJul[Data],"ddd")</f>
        <v/>
      </c>
      <c r="D24" s="25"/>
      <c r="E24" s="1"/>
      <c r="F24" s="1"/>
      <c r="G24" s="1"/>
      <c r="H24" s="1"/>
      <c r="I24" s="53"/>
      <c r="J2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4" s="4">
        <f>tblHorasJul[Horas Trabalhadas (1º Período)]+tblHorasJul[Horas Trabalhadas (2º Período)]</f>
        <v>0</v>
      </c>
      <c r="M2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Jornada])+O23</f>
        <v>0</v>
      </c>
      <c r="P24" s="14">
        <f t="shared" si="0"/>
        <v>0</v>
      </c>
      <c r="Q24" s="14" t="str">
        <f>IF(tblHorasJul[Horas Trabalhadas Além Jornada]&lt;0,IF(OR(tblHorasJul[Evento 
(1º Período)]="",tblHorasJul[Evento 
(2º Período)]=""),tblHorasJul[Horas Trabalhadas Além Jornada],""),"")</f>
        <v/>
      </c>
      <c r="R24" s="14" t="str">
        <f>IF(tblHorasJul[Jornada Diária]&lt;&gt;"",IF((N(tblHorasJul[Jornada Diária])-ABS(N(tblHorasJul[Horas Trabalhadas Além Jornada])))=0,1,""),"")</f>
        <v/>
      </c>
      <c r="S2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TEXT(tblHorasJul[Data],"ddd")</f>
        <v/>
      </c>
      <c r="D25" s="25"/>
      <c r="E25" s="1"/>
      <c r="F25" s="1"/>
      <c r="G25" s="1"/>
      <c r="H25" s="1"/>
      <c r="I25" s="53"/>
      <c r="J2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5" s="4">
        <f>tblHorasJul[Horas Trabalhadas (1º Período)]+tblHorasJul[Horas Trabalhadas (2º Período)]</f>
        <v>0</v>
      </c>
      <c r="M2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Jornada])+O24</f>
        <v>0</v>
      </c>
      <c r="P25" s="14">
        <f t="shared" si="0"/>
        <v>0</v>
      </c>
      <c r="Q25" s="14" t="str">
        <f>IF(tblHorasJul[Horas Trabalhadas Além Jornada]&lt;0,IF(OR(tblHorasJul[Evento 
(1º Período)]="",tblHorasJul[Evento 
(2º Período)]=""),tblHorasJul[Horas Trabalhadas Além Jornada],""),"")</f>
        <v/>
      </c>
      <c r="R25" s="14" t="str">
        <f>IF(tblHorasJul[Jornada Diária]&lt;&gt;"",IF((N(tblHorasJul[Jornada Diária])-ABS(N(tblHorasJul[Horas Trabalhadas Além Jornada])))=0,1,""),"")</f>
        <v/>
      </c>
      <c r="S2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TEXT(tblHorasJul[Data],"ddd")</f>
        <v/>
      </c>
      <c r="D26" s="25"/>
      <c r="E26" s="1"/>
      <c r="F26" s="1"/>
      <c r="G26" s="1"/>
      <c r="H26" s="1"/>
      <c r="I26" s="53"/>
      <c r="J2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6" s="4">
        <f>tblHorasJul[Horas Trabalhadas (1º Período)]+tblHorasJul[Horas Trabalhadas (2º Período)]</f>
        <v>0</v>
      </c>
      <c r="M2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Jornada])+O25</f>
        <v>0</v>
      </c>
      <c r="P26" s="14">
        <f t="shared" si="0"/>
        <v>0</v>
      </c>
      <c r="Q26" s="14" t="str">
        <f>IF(tblHorasJul[Horas Trabalhadas Além Jornada]&lt;0,IF(OR(tblHorasJul[Evento 
(1º Período)]="",tblHorasJul[Evento 
(2º Período)]=""),tblHorasJul[Horas Trabalhadas Além Jornada],""),"")</f>
        <v/>
      </c>
      <c r="R26" s="14" t="str">
        <f>IF(tblHorasJul[Jornada Diária]&lt;&gt;"",IF((N(tblHorasJul[Jornada Diária])-ABS(N(tblHorasJul[Horas Trabalhadas Além Jornada])))=0,1,""),"")</f>
        <v/>
      </c>
      <c r="S2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TEXT(tblHorasJul[Data],"ddd")</f>
        <v/>
      </c>
      <c r="D27" s="25"/>
      <c r="E27" s="1"/>
      <c r="F27" s="1"/>
      <c r="G27" s="1"/>
      <c r="H27" s="1"/>
      <c r="I27" s="53"/>
      <c r="J2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7" s="4">
        <f>tblHorasJul[Horas Trabalhadas (1º Período)]+tblHorasJul[Horas Trabalhadas (2º Período)]</f>
        <v>0</v>
      </c>
      <c r="M2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Jornada])+O26</f>
        <v>0</v>
      </c>
      <c r="P27" s="14">
        <f t="shared" si="0"/>
        <v>0</v>
      </c>
      <c r="Q27" s="14" t="str">
        <f>IF(tblHorasJul[Horas Trabalhadas Além Jornada]&lt;0,IF(OR(tblHorasJul[Evento 
(1º Período)]="",tblHorasJul[Evento 
(2º Período)]=""),tblHorasJul[Horas Trabalhadas Além Jornada],""),"")</f>
        <v/>
      </c>
      <c r="R27" s="14" t="str">
        <f>IF(tblHorasJul[Jornada Diária]&lt;&gt;"",IF((N(tblHorasJul[Jornada Diária])-ABS(N(tblHorasJul[Horas Trabalhadas Além Jornada])))=0,1,""),"")</f>
        <v/>
      </c>
      <c r="S2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TEXT(tblHorasJul[Data],"ddd")</f>
        <v/>
      </c>
      <c r="D28" s="25"/>
      <c r="E28" s="1"/>
      <c r="F28" s="1"/>
      <c r="G28" s="1"/>
      <c r="H28" s="1"/>
      <c r="I28" s="53"/>
      <c r="J2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8" s="4">
        <f>tblHorasJul[Horas Trabalhadas (1º Período)]+tblHorasJul[Horas Trabalhadas (2º Período)]</f>
        <v>0</v>
      </c>
      <c r="M2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Jornada])+O27</f>
        <v>0</v>
      </c>
      <c r="P28" s="14">
        <f t="shared" si="0"/>
        <v>0</v>
      </c>
      <c r="Q28" s="14" t="str">
        <f>IF(tblHorasJul[Horas Trabalhadas Além Jornada]&lt;0,IF(OR(tblHorasJul[Evento 
(1º Período)]="",tblHorasJul[Evento 
(2º Período)]=""),tblHorasJul[Horas Trabalhadas Além Jornada],""),"")</f>
        <v/>
      </c>
      <c r="R28" s="14" t="str">
        <f>IF(tblHorasJul[Jornada Diária]&lt;&gt;"",IF((N(tblHorasJul[Jornada Diária])-ABS(N(tblHorasJul[Horas Trabalhadas Além Jornada])))=0,1,""),"")</f>
        <v/>
      </c>
      <c r="S2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TEXT(tblHorasJul[Data],"ddd")</f>
        <v/>
      </c>
      <c r="D29" s="25"/>
      <c r="E29" s="1"/>
      <c r="F29" s="1"/>
      <c r="G29" s="1"/>
      <c r="H29" s="1"/>
      <c r="I29" s="53"/>
      <c r="J2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9" s="4">
        <f>tblHorasJul[Horas Trabalhadas (1º Período)]+tblHorasJul[Horas Trabalhadas (2º Período)]</f>
        <v>0</v>
      </c>
      <c r="M2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Jornada])+O28</f>
        <v>0</v>
      </c>
      <c r="P29" s="14">
        <f t="shared" si="0"/>
        <v>0</v>
      </c>
      <c r="Q29" s="14" t="str">
        <f>IF(tblHorasJul[Horas Trabalhadas Além Jornada]&lt;0,IF(OR(tblHorasJul[Evento 
(1º Período)]="",tblHorasJul[Evento 
(2º Período)]=""),tblHorasJul[Horas Trabalhadas Além Jornada],""),"")</f>
        <v/>
      </c>
      <c r="R29" s="14" t="str">
        <f>IF(tblHorasJul[Jornada Diária]&lt;&gt;"",IF((N(tblHorasJul[Jornada Diária])-ABS(N(tblHorasJul[Horas Trabalhadas Além Jornada])))=0,1,""),"")</f>
        <v/>
      </c>
      <c r="S2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TEXT(tblHorasJul[Data],"ddd")</f>
        <v/>
      </c>
      <c r="D30" s="25"/>
      <c r="E30" s="1"/>
      <c r="F30" s="1"/>
      <c r="G30" s="1"/>
      <c r="H30" s="1"/>
      <c r="I30" s="53"/>
      <c r="J3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0" s="4">
        <f>tblHorasJul[Horas Trabalhadas (1º Período)]+tblHorasJul[Horas Trabalhadas (2º Período)]</f>
        <v>0</v>
      </c>
      <c r="M3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Jornada])+O29</f>
        <v>0</v>
      </c>
      <c r="P30" s="14">
        <f t="shared" si="0"/>
        <v>0</v>
      </c>
      <c r="Q30" s="14" t="str">
        <f>IF(tblHorasJul[Horas Trabalhadas Além Jornada]&lt;0,IF(OR(tblHorasJul[Evento 
(1º Período)]="",tblHorasJul[Evento 
(2º Período)]=""),tblHorasJul[Horas Trabalhadas Além Jornada],""),"")</f>
        <v/>
      </c>
      <c r="R30" s="14" t="str">
        <f>IF(tblHorasJul[Jornada Diária]&lt;&gt;"",IF((N(tblHorasJul[Jornada Diária])-ABS(N(tblHorasJul[Horas Trabalhadas Além Jornada])))=0,1,""),"")</f>
        <v/>
      </c>
      <c r="S3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TEXT(tblHorasJul[Data],"ddd")</f>
        <v/>
      </c>
      <c r="D31" s="25"/>
      <c r="E31" s="1"/>
      <c r="F31" s="1"/>
      <c r="G31" s="1"/>
      <c r="H31" s="1"/>
      <c r="I31" s="53"/>
      <c r="J3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1" s="4">
        <f>tblHorasJul[Horas Trabalhadas (1º Período)]+tblHorasJul[Horas Trabalhadas (2º Período)]</f>
        <v>0</v>
      </c>
      <c r="M3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Jornada])+O30</f>
        <v>0</v>
      </c>
      <c r="P31" s="14">
        <f t="shared" si="0"/>
        <v>0</v>
      </c>
      <c r="Q31" s="14" t="str">
        <f>IF(tblHorasJul[Horas Trabalhadas Além Jornada]&lt;0,IF(OR(tblHorasJul[Evento 
(1º Período)]="",tblHorasJul[Evento 
(2º Período)]=""),tblHorasJul[Horas Trabalhadas Além Jornada],""),"")</f>
        <v/>
      </c>
      <c r="R31" s="14" t="str">
        <f>IF(tblHorasJul[Jornada Diária]&lt;&gt;"",IF((N(tblHorasJul[Jornada Diária])-ABS(N(tblHorasJul[Horas Trabalhadas Além Jornada])))=0,1,""),"")</f>
        <v/>
      </c>
      <c r="S3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TEXT(tblHorasJul[Data],"ddd")</f>
        <v/>
      </c>
      <c r="D32" s="25"/>
      <c r="E32" s="1"/>
      <c r="F32" s="1"/>
      <c r="G32" s="1"/>
      <c r="H32" s="1"/>
      <c r="I32" s="53"/>
      <c r="J3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2" s="4">
        <f>tblHorasJul[Horas Trabalhadas (1º Período)]+tblHorasJul[Horas Trabalhadas (2º Período)]</f>
        <v>0</v>
      </c>
      <c r="M3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Jornada])+O31</f>
        <v>0</v>
      </c>
      <c r="P32" s="14">
        <f t="shared" si="0"/>
        <v>0</v>
      </c>
      <c r="Q32" s="14" t="str">
        <f>IF(tblHorasJul[Horas Trabalhadas Além Jornada]&lt;0,IF(OR(tblHorasJul[Evento 
(1º Período)]="",tblHorasJul[Evento 
(2º Período)]=""),tblHorasJul[Horas Trabalhadas Além Jornada],""),"")</f>
        <v/>
      </c>
      <c r="R32" s="14" t="str">
        <f>IF(tblHorasJul[Jornada Diária]&lt;&gt;"",IF((N(tblHorasJul[Jornada Diária])-ABS(N(tblHorasJul[Horas Trabalhadas Além Jornada])))=0,1,""),"")</f>
        <v/>
      </c>
      <c r="S3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TEXT(tblHorasJul[Data],"ddd")</f>
        <v/>
      </c>
      <c r="D33" s="25"/>
      <c r="E33" s="1"/>
      <c r="F33" s="1"/>
      <c r="G33" s="1"/>
      <c r="H33" s="1"/>
      <c r="I33" s="53"/>
      <c r="J3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3" s="4">
        <f>tblHorasJul[Horas Trabalhadas (1º Período)]+tblHorasJul[Horas Trabalhadas (2º Período)]</f>
        <v>0</v>
      </c>
      <c r="M3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Jornada])+O32</f>
        <v>0</v>
      </c>
      <c r="P33" s="14">
        <f t="shared" si="0"/>
        <v>0</v>
      </c>
      <c r="Q33" s="14" t="str">
        <f>IF(tblHorasJul[Horas Trabalhadas Além Jornada]&lt;0,IF(OR(tblHorasJul[Evento 
(1º Período)]="",tblHorasJul[Evento 
(2º Período)]=""),tblHorasJul[Horas Trabalhadas Além Jornada],""),"")</f>
        <v/>
      </c>
      <c r="R33" s="14" t="str">
        <f>IF(tblHorasJul[Jornada Diária]&lt;&gt;"",IF((N(tblHorasJul[Jornada Diária])-ABS(N(tblHorasJul[Horas Trabalhadas Além Jornada])))=0,1,""),"")</f>
        <v/>
      </c>
      <c r="S3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TEXT(tblHorasJul[Data],"ddd")</f>
        <v/>
      </c>
      <c r="D34" s="25"/>
      <c r="E34" s="1"/>
      <c r="F34" s="1"/>
      <c r="G34" s="1"/>
      <c r="H34" s="1"/>
      <c r="I34" s="53"/>
      <c r="J3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4" s="4">
        <f>tblHorasJul[Horas Trabalhadas (1º Período)]+tblHorasJul[Horas Trabalhadas (2º Período)]</f>
        <v>0</v>
      </c>
      <c r="M3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Jornada])+O33</f>
        <v>0</v>
      </c>
      <c r="P34" s="14">
        <f t="shared" si="0"/>
        <v>0</v>
      </c>
      <c r="Q34" s="14" t="str">
        <f>IF(tblHorasJul[Horas Trabalhadas Além Jornada]&lt;0,IF(OR(tblHorasJul[Evento 
(1º Período)]="",tblHorasJul[Evento 
(2º Período)]=""),tblHorasJul[Horas Trabalhadas Além Jornada],""),"")</f>
        <v/>
      </c>
      <c r="R34" s="14" t="str">
        <f>IF(tblHorasJul[Jornada Diária]&lt;&gt;"",IF((N(tblHorasJul[Jornada Diária])-ABS(N(tblHorasJul[Horas Trabalhadas Além Jornada])))=0,1,""),"")</f>
        <v/>
      </c>
      <c r="S3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TEXT(tblHorasJul[Data],"ddd")</f>
        <v/>
      </c>
      <c r="D35" s="25"/>
      <c r="E35" s="1"/>
      <c r="F35" s="1"/>
      <c r="G35" s="1"/>
      <c r="H35" s="1"/>
      <c r="I35" s="53"/>
      <c r="J3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5" s="4">
        <f>tblHorasJul[Horas Trabalhadas (1º Período)]+tblHorasJul[Horas Trabalhadas (2º Período)]</f>
        <v>0</v>
      </c>
      <c r="M3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Jornada])+O34</f>
        <v>0</v>
      </c>
      <c r="P35" s="14">
        <f t="shared" si="0"/>
        <v>0</v>
      </c>
      <c r="Q35" s="14" t="str">
        <f>IF(tblHorasJul[Horas Trabalhadas Além Jornada]&lt;0,IF(OR(tblHorasJul[Evento 
(1º Período)]="",tblHorasJul[Evento 
(2º Período)]=""),tblHorasJul[Horas Trabalhadas Além Jornada],""),"")</f>
        <v/>
      </c>
      <c r="R35" s="14" t="str">
        <f>IF(tblHorasJul[Jornada Diária]&lt;&gt;"",IF((N(tblHorasJul[Jornada Diária])-ABS(N(tblHorasJul[Horas Trabalhadas Além Jornada])))=0,1,""),"")</f>
        <v/>
      </c>
      <c r="S3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TEXT(tblHorasJul[Data],"ddd")</f>
        <v/>
      </c>
      <c r="D36" s="25"/>
      <c r="E36" s="1"/>
      <c r="F36" s="1"/>
      <c r="G36" s="1"/>
      <c r="H36" s="1"/>
      <c r="I36" s="53"/>
      <c r="J3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6" s="4">
        <f>tblHorasJul[Horas Trabalhadas (1º Período)]+tblHorasJul[Horas Trabalhadas (2º Período)]</f>
        <v>0</v>
      </c>
      <c r="M3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Jornada])+O35</f>
        <v>0</v>
      </c>
      <c r="P36" s="14">
        <f t="shared" si="0"/>
        <v>0</v>
      </c>
      <c r="Q36" s="14" t="str">
        <f>IF(tblHorasJul[Horas Trabalhadas Além Jornada]&lt;0,IF(OR(tblHorasJul[Evento 
(1º Período)]="",tblHorasJul[Evento 
(2º Período)]=""),tblHorasJul[Horas Trabalhadas Além Jornada],""),"")</f>
        <v/>
      </c>
      <c r="R36" s="14" t="str">
        <f>IF(tblHorasJul[Jornada Diária]&lt;&gt;"",IF((N(tblHorasJul[Jornada Diária])-ABS(N(tblHorasJul[Horas Trabalhadas Além Jornada])))=0,1,""),"")</f>
        <v/>
      </c>
      <c r="S3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TEXT(tblHorasJul[Data],"ddd")</f>
        <v/>
      </c>
      <c r="D37" s="25"/>
      <c r="E37" s="1"/>
      <c r="F37" s="1"/>
      <c r="G37" s="1"/>
      <c r="H37" s="1"/>
      <c r="I37" s="53"/>
      <c r="J3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7" s="4">
        <f>tblHorasJul[Horas Trabalhadas (1º Período)]+tblHorasJul[Horas Trabalhadas (2º Período)]</f>
        <v>0</v>
      </c>
      <c r="M3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Jornada])+O36</f>
        <v>0</v>
      </c>
      <c r="P37" s="14">
        <f t="shared" si="0"/>
        <v>0</v>
      </c>
      <c r="Q37" s="14" t="str">
        <f>IF(tblHorasJul[Horas Trabalhadas Além Jornada]&lt;0,IF(OR(tblHorasJul[Evento 
(1º Período)]="",tblHorasJul[Evento 
(2º Período)]=""),tblHorasJul[Horas Trabalhadas Além Jornada],""),"")</f>
        <v/>
      </c>
      <c r="R37" s="14" t="str">
        <f>IF(tblHorasJul[Jornada Diária]&lt;&gt;"",IF((N(tblHorasJul[Jornada Diária])-ABS(N(tblHorasJul[Horas Trabalhadas Além Jornada])))=0,1,""),"")</f>
        <v/>
      </c>
      <c r="S3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TEXT(tblHorasJul[Data],"ddd")</f>
        <v/>
      </c>
      <c r="D38" s="25"/>
      <c r="E38" s="1"/>
      <c r="F38" s="1"/>
      <c r="G38" s="1"/>
      <c r="H38" s="1"/>
      <c r="I38" s="53"/>
      <c r="J3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8" s="4">
        <f>tblHorasJul[Horas Trabalhadas (1º Período)]+tblHorasJul[Horas Trabalhadas (2º Período)]</f>
        <v>0</v>
      </c>
      <c r="M3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Jornada])+O37</f>
        <v>0</v>
      </c>
      <c r="P38" s="14">
        <f t="shared" si="0"/>
        <v>0</v>
      </c>
      <c r="Q38" s="14" t="str">
        <f>IF(tblHorasJul[Horas Trabalhadas Além Jornada]&lt;0,IF(OR(tblHorasJul[Evento 
(1º Período)]="",tblHorasJul[Evento 
(2º Período)]=""),tblHorasJul[Horas Trabalhadas Além Jornada],""),"")</f>
        <v/>
      </c>
      <c r="R38" s="14" t="str">
        <f>IF(tblHorasJul[Jornada Diária]&lt;&gt;"",IF((N(tblHorasJul[Jornada Diária])-ABS(N(tblHorasJul[Horas Trabalhadas Além Jornada])))=0,1,""),"")</f>
        <v/>
      </c>
      <c r="S3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TEXT(tblHorasJul[Data],"ddd")</f>
        <v/>
      </c>
      <c r="D39" s="25"/>
      <c r="E39" s="1"/>
      <c r="F39" s="1"/>
      <c r="G39" s="1"/>
      <c r="H39" s="1"/>
      <c r="I39" s="53"/>
      <c r="J3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9" s="4">
        <f>tblHorasJul[Horas Trabalhadas (1º Período)]+tblHorasJul[Horas Trabalhadas (2º Período)]</f>
        <v>0</v>
      </c>
      <c r="M3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Jornada])+O38</f>
        <v>0</v>
      </c>
      <c r="P39" s="14">
        <f t="shared" si="0"/>
        <v>0</v>
      </c>
      <c r="Q39" s="14" t="str">
        <f>IF(tblHorasJul[Horas Trabalhadas Além Jornada]&lt;0,IF(OR(tblHorasJul[Evento 
(1º Período)]="",tblHorasJul[Evento 
(2º Período)]=""),tblHorasJul[Horas Trabalhadas Além Jornada],""),"")</f>
        <v/>
      </c>
      <c r="R39" s="14" t="str">
        <f>IF(tblHorasJul[Jornada Diária]&lt;&gt;"",IF((N(tblHorasJul[Jornada Diária])-ABS(N(tblHorasJul[Horas Trabalhadas Além Jornada])))=0,1,""),"")</f>
        <v/>
      </c>
      <c r="S3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x5+CP7Ur4E+EGfI+KM5HdV4W5frpDtTodDMAzHPShL0cOEmxqYxlzuEitzMK4tXKpxR8/cWMZAEwEvnZekPW3A==" saltValue="tujiUU8cSBcfKd7uDGfBog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B8715-F719-40A7-8E8C-B48B9C93CED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1D059D01-BBA4-442C-BDA8-0D41D20189B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7B447094-E11A-417E-828D-065DB0D53ED3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ACF6BA49-1AEE-414E-B874-D20DD452F2F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5A184FD1-F5BF-40D8-B153-64F22F7A4CAA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59BDE330-3DF9-4DE5-BB42-D8A78D057E21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gost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70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Julho!O39</f>
        <v>0</v>
      </c>
      <c r="P7" s="45">
        <f>SUM(tblHorasAgo[Atrasos
(horas)])</f>
        <v>0</v>
      </c>
      <c r="Q7" s="45">
        <f>SUM(tblHorasAgo[Atrasos
(horas)])</f>
        <v>0</v>
      </c>
      <c r="R7" s="46">
        <f>SUM(tblHorasAgo[Faltas
(dias)])</f>
        <v>0</v>
      </c>
      <c r="S7" s="45">
        <f>SUM(tblHorasAgo[Hora Extra Normal])</f>
        <v>0</v>
      </c>
      <c r="T7" s="45">
        <f>SUM(tblHorasAgo[Hora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TEXT(tblHorasAgo[Data],"ddd")</f>
        <v/>
      </c>
      <c r="D9" s="25"/>
      <c r="E9" s="1"/>
      <c r="F9" s="1"/>
      <c r="G9" s="1"/>
      <c r="H9" s="1"/>
      <c r="I9" s="53"/>
      <c r="J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9" s="4">
        <f>tblHorasAgo[Horas Trabalhadas (1º Período)]+tblHorasAgo[Horas Trabalhadas (2º Período)]</f>
        <v>0</v>
      </c>
      <c r="M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Jornada])+O7</f>
        <v>0</v>
      </c>
      <c r="P9" s="14">
        <f t="shared" ref="P9:P39" si="0">G9-F9</f>
        <v>0</v>
      </c>
      <c r="Q9" s="14" t="str">
        <f>IF(tblHorasAgo[Horas Trabalhadas Além Jornada]&lt;0,IF(OR(tblHorasAgo[Evento 
(1º Período)]="",tblHorasAgo[Evento 
(2º Período)]=""),tblHorasAgo[Horas Trabalhadas Além Jornada],""),"")</f>
        <v/>
      </c>
      <c r="R9" s="14" t="str">
        <f>IF(tblHorasAgo[Jornada Diária]&lt;&gt;"",IF((N(tblHorasAgo[Jornada Diária])-ABS(N(tblHorasAgo[Horas Trabalhadas Além Jornada])))=0,1,""),"")</f>
        <v/>
      </c>
      <c r="S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TEXT(tblHorasAgo[Data],"ddd")</f>
        <v/>
      </c>
      <c r="D10" s="25"/>
      <c r="E10" s="1"/>
      <c r="F10" s="1"/>
      <c r="G10" s="1"/>
      <c r="H10" s="1"/>
      <c r="I10" s="53"/>
      <c r="J1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0" s="4">
        <f>tblHorasAgo[Horas Trabalhadas (1º Período)]+tblHorasAgo[Horas Trabalhadas (2º Período)]</f>
        <v>0</v>
      </c>
      <c r="M1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Jornada])+O9</f>
        <v>0</v>
      </c>
      <c r="P10" s="14">
        <f t="shared" si="0"/>
        <v>0</v>
      </c>
      <c r="Q10" s="14" t="str">
        <f>IF(tblHorasAgo[Horas Trabalhadas Além Jornada]&lt;0,IF(OR(tblHorasAgo[Evento 
(1º Período)]="",tblHorasAgo[Evento 
(2º Período)]=""),tblHorasAgo[Horas Trabalhadas Além Jornada],""),"")</f>
        <v/>
      </c>
      <c r="R10" s="14" t="str">
        <f>IF(tblHorasAgo[Jornada Diária]&lt;&gt;"",IF((N(tblHorasAgo[Jornada Diária])-ABS(N(tblHorasAgo[Horas Trabalhadas Além Jornada])))=0,1,""),"")</f>
        <v/>
      </c>
      <c r="S1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TEXT(tblHorasAgo[Data],"ddd")</f>
        <v/>
      </c>
      <c r="D11" s="25"/>
      <c r="E11" s="1"/>
      <c r="F11" s="1"/>
      <c r="G11" s="1"/>
      <c r="H11" s="1"/>
      <c r="I11" s="53"/>
      <c r="J1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1" s="4">
        <f>tblHorasAgo[Horas Trabalhadas (1º Período)]+tblHorasAgo[Horas Trabalhadas (2º Período)]</f>
        <v>0</v>
      </c>
      <c r="M1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Jornada])+O10</f>
        <v>0</v>
      </c>
      <c r="P11" s="14">
        <f t="shared" si="0"/>
        <v>0</v>
      </c>
      <c r="Q11" s="14" t="str">
        <f>IF(tblHorasAgo[Horas Trabalhadas Além Jornada]&lt;0,IF(OR(tblHorasAgo[Evento 
(1º Período)]="",tblHorasAgo[Evento 
(2º Período)]=""),tblHorasAgo[Horas Trabalhadas Além Jornada],""),"")</f>
        <v/>
      </c>
      <c r="R11" s="14" t="str">
        <f>IF(tblHorasAgo[Jornada Diária]&lt;&gt;"",IF((N(tblHorasAgo[Jornada Diária])-ABS(N(tblHorasAgo[Horas Trabalhadas Além Jornada])))=0,1,""),"")</f>
        <v/>
      </c>
      <c r="S1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TEXT(tblHorasAgo[Data],"ddd")</f>
        <v/>
      </c>
      <c r="D12" s="25"/>
      <c r="E12" s="1"/>
      <c r="F12" s="1"/>
      <c r="G12" s="1"/>
      <c r="H12" s="1"/>
      <c r="I12" s="53"/>
      <c r="J1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2" s="4">
        <f>tblHorasAgo[Horas Trabalhadas (1º Período)]+tblHorasAgo[Horas Trabalhadas (2º Período)]</f>
        <v>0</v>
      </c>
      <c r="M1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Jornada])+O11</f>
        <v>0</v>
      </c>
      <c r="P12" s="14">
        <f t="shared" si="0"/>
        <v>0</v>
      </c>
      <c r="Q12" s="14" t="str">
        <f>IF(tblHorasAgo[Horas Trabalhadas Além Jornada]&lt;0,IF(OR(tblHorasAgo[Evento 
(1º Período)]="",tblHorasAgo[Evento 
(2º Período)]=""),tblHorasAgo[Horas Trabalhadas Além Jornada],""),"")</f>
        <v/>
      </c>
      <c r="R12" s="14" t="str">
        <f>IF(tblHorasAgo[Jornada Diária]&lt;&gt;"",IF((N(tblHorasAgo[Jornada Diária])-ABS(N(tblHorasAgo[Horas Trabalhadas Além Jornada])))=0,1,""),"")</f>
        <v/>
      </c>
      <c r="S1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TEXT(tblHorasAgo[Data],"ddd")</f>
        <v/>
      </c>
      <c r="D13" s="25"/>
      <c r="E13" s="1"/>
      <c r="F13" s="1"/>
      <c r="G13" s="1"/>
      <c r="H13" s="1"/>
      <c r="I13" s="53"/>
      <c r="J1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3" s="4">
        <f>tblHorasAgo[Horas Trabalhadas (1º Período)]+tblHorasAgo[Horas Trabalhadas (2º Período)]</f>
        <v>0</v>
      </c>
      <c r="M1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Jornada])+O12</f>
        <v>0</v>
      </c>
      <c r="P13" s="14">
        <f t="shared" si="0"/>
        <v>0</v>
      </c>
      <c r="Q13" s="14" t="str">
        <f>IF(tblHorasAgo[Horas Trabalhadas Além Jornada]&lt;0,IF(OR(tblHorasAgo[Evento 
(1º Período)]="",tblHorasAgo[Evento 
(2º Período)]=""),tblHorasAgo[Horas Trabalhadas Além Jornada],""),"")</f>
        <v/>
      </c>
      <c r="R13" s="14" t="str">
        <f>IF(tblHorasAgo[Jornada Diária]&lt;&gt;"",IF((N(tblHorasAgo[Jornada Diária])-ABS(N(tblHorasAgo[Horas Trabalhadas Além Jornada])))=0,1,""),"")</f>
        <v/>
      </c>
      <c r="S1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TEXT(tblHorasAgo[Data],"ddd")</f>
        <v/>
      </c>
      <c r="D14" s="25"/>
      <c r="E14" s="1"/>
      <c r="F14" s="1"/>
      <c r="G14" s="1"/>
      <c r="H14" s="1"/>
      <c r="I14" s="53"/>
      <c r="J1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4" s="4">
        <f>tblHorasAgo[Horas Trabalhadas (1º Período)]+tblHorasAgo[Horas Trabalhadas (2º Período)]</f>
        <v>0</v>
      </c>
      <c r="M1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Jornada])+O13</f>
        <v>0</v>
      </c>
      <c r="P14" s="14">
        <f t="shared" si="0"/>
        <v>0</v>
      </c>
      <c r="Q14" s="14" t="str">
        <f>IF(tblHorasAgo[Horas Trabalhadas Além Jornada]&lt;0,IF(OR(tblHorasAgo[Evento 
(1º Período)]="",tblHorasAgo[Evento 
(2º Período)]=""),tblHorasAgo[Horas Trabalhadas Além Jornada],""),"")</f>
        <v/>
      </c>
      <c r="R14" s="14" t="str">
        <f>IF(tblHorasAgo[Jornada Diária]&lt;&gt;"",IF((N(tblHorasAgo[Jornada Diária])-ABS(N(tblHorasAgo[Horas Trabalhadas Além Jornada])))=0,1,""),"")</f>
        <v/>
      </c>
      <c r="S1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TEXT(tblHorasAgo[Data],"ddd")</f>
        <v/>
      </c>
      <c r="D15" s="25"/>
      <c r="E15" s="1"/>
      <c r="F15" s="1"/>
      <c r="G15" s="1"/>
      <c r="H15" s="1"/>
      <c r="I15" s="53"/>
      <c r="J1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5" s="4">
        <f>tblHorasAgo[Horas Trabalhadas (1º Período)]+tblHorasAgo[Horas Trabalhadas (2º Período)]</f>
        <v>0</v>
      </c>
      <c r="M1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Jornada])+O14</f>
        <v>0</v>
      </c>
      <c r="P15" s="14">
        <f t="shared" si="0"/>
        <v>0</v>
      </c>
      <c r="Q15" s="14" t="str">
        <f>IF(tblHorasAgo[Horas Trabalhadas Além Jornada]&lt;0,IF(OR(tblHorasAgo[Evento 
(1º Período)]="",tblHorasAgo[Evento 
(2º Período)]=""),tblHorasAgo[Horas Trabalhadas Além Jornada],""),"")</f>
        <v/>
      </c>
      <c r="R15" s="14" t="str">
        <f>IF(tblHorasAgo[Jornada Diária]&lt;&gt;"",IF((N(tblHorasAgo[Jornada Diária])-ABS(N(tblHorasAgo[Horas Trabalhadas Além Jornada])))=0,1,""),"")</f>
        <v/>
      </c>
      <c r="S1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TEXT(tblHorasAgo[Data],"ddd")</f>
        <v/>
      </c>
      <c r="D16" s="25"/>
      <c r="E16" s="1"/>
      <c r="F16" s="1"/>
      <c r="G16" s="1"/>
      <c r="H16" s="1"/>
      <c r="I16" s="53"/>
      <c r="J1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6" s="4">
        <f>tblHorasAgo[Horas Trabalhadas (1º Período)]+tblHorasAgo[Horas Trabalhadas (2º Período)]</f>
        <v>0</v>
      </c>
      <c r="M1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Jornada])+O15</f>
        <v>0</v>
      </c>
      <c r="P16" s="14">
        <f t="shared" si="0"/>
        <v>0</v>
      </c>
      <c r="Q16" s="14" t="str">
        <f>IF(tblHorasAgo[Horas Trabalhadas Além Jornada]&lt;0,IF(OR(tblHorasAgo[Evento 
(1º Período)]="",tblHorasAgo[Evento 
(2º Período)]=""),tblHorasAgo[Horas Trabalhadas Além Jornada],""),"")</f>
        <v/>
      </c>
      <c r="R16" s="14" t="str">
        <f>IF(tblHorasAgo[Jornada Diária]&lt;&gt;"",IF((N(tblHorasAgo[Jornada Diária])-ABS(N(tblHorasAgo[Horas Trabalhadas Além Jornada])))=0,1,""),"")</f>
        <v/>
      </c>
      <c r="S1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TEXT(tblHorasAgo[Data],"ddd")</f>
        <v/>
      </c>
      <c r="D17" s="25"/>
      <c r="E17" s="1"/>
      <c r="F17" s="1"/>
      <c r="G17" s="1"/>
      <c r="H17" s="1"/>
      <c r="I17" s="53"/>
      <c r="J1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7" s="4">
        <f>tblHorasAgo[Horas Trabalhadas (1º Período)]+tblHorasAgo[Horas Trabalhadas (2º Período)]</f>
        <v>0</v>
      </c>
      <c r="M1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Jornada])+O16</f>
        <v>0</v>
      </c>
      <c r="P17" s="14">
        <f t="shared" si="0"/>
        <v>0</v>
      </c>
      <c r="Q17" s="14" t="str">
        <f>IF(tblHorasAgo[Horas Trabalhadas Além Jornada]&lt;0,IF(OR(tblHorasAgo[Evento 
(1º Período)]="",tblHorasAgo[Evento 
(2º Período)]=""),tblHorasAgo[Horas Trabalhadas Além Jornada],""),"")</f>
        <v/>
      </c>
      <c r="R17" s="14" t="str">
        <f>IF(tblHorasAgo[Jornada Diária]&lt;&gt;"",IF((N(tblHorasAgo[Jornada Diária])-ABS(N(tblHorasAgo[Horas Trabalhadas Além Jornada])))=0,1,""),"")</f>
        <v/>
      </c>
      <c r="S1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TEXT(tblHorasAgo[Data],"ddd")</f>
        <v/>
      </c>
      <c r="D18" s="25"/>
      <c r="E18" s="1"/>
      <c r="F18" s="1"/>
      <c r="G18" s="1"/>
      <c r="H18" s="1"/>
      <c r="I18" s="53"/>
      <c r="J1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8" s="4">
        <f>tblHorasAgo[Horas Trabalhadas (1º Período)]+tblHorasAgo[Horas Trabalhadas (2º Período)]</f>
        <v>0</v>
      </c>
      <c r="M1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Jornada])+O17</f>
        <v>0</v>
      </c>
      <c r="P18" s="14">
        <f t="shared" si="0"/>
        <v>0</v>
      </c>
      <c r="Q18" s="14" t="str">
        <f>IF(tblHorasAgo[Horas Trabalhadas Além Jornada]&lt;0,IF(OR(tblHorasAgo[Evento 
(1º Período)]="",tblHorasAgo[Evento 
(2º Período)]=""),tblHorasAgo[Horas Trabalhadas Além Jornada],""),"")</f>
        <v/>
      </c>
      <c r="R18" s="14" t="str">
        <f>IF(tblHorasAgo[Jornada Diária]&lt;&gt;"",IF((N(tblHorasAgo[Jornada Diária])-ABS(N(tblHorasAgo[Horas Trabalhadas Além Jornada])))=0,1,""),"")</f>
        <v/>
      </c>
      <c r="S1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TEXT(tblHorasAgo[Data],"ddd")</f>
        <v/>
      </c>
      <c r="D19" s="25"/>
      <c r="E19" s="1"/>
      <c r="F19" s="1"/>
      <c r="G19" s="1"/>
      <c r="H19" s="1"/>
      <c r="I19" s="53"/>
      <c r="J1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9" s="4">
        <f>tblHorasAgo[Horas Trabalhadas (1º Período)]+tblHorasAgo[Horas Trabalhadas (2º Período)]</f>
        <v>0</v>
      </c>
      <c r="M1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Jornada])+O18</f>
        <v>0</v>
      </c>
      <c r="P19" s="14">
        <f t="shared" si="0"/>
        <v>0</v>
      </c>
      <c r="Q19" s="14" t="str">
        <f>IF(tblHorasAgo[Horas Trabalhadas Além Jornada]&lt;0,IF(OR(tblHorasAgo[Evento 
(1º Período)]="",tblHorasAgo[Evento 
(2º Período)]=""),tblHorasAgo[Horas Trabalhadas Além Jornada],""),"")</f>
        <v/>
      </c>
      <c r="R19" s="14" t="str">
        <f>IF(tblHorasAgo[Jornada Diária]&lt;&gt;"",IF((N(tblHorasAgo[Jornada Diária])-ABS(N(tblHorasAgo[Horas Trabalhadas Além Jornada])))=0,1,""),"")</f>
        <v/>
      </c>
      <c r="S1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TEXT(tblHorasAgo[Data],"ddd")</f>
        <v/>
      </c>
      <c r="D20" s="25"/>
      <c r="E20" s="1"/>
      <c r="F20" s="1"/>
      <c r="G20" s="1"/>
      <c r="H20" s="1"/>
      <c r="I20" s="53"/>
      <c r="J2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0" s="4">
        <f>tblHorasAgo[Horas Trabalhadas (1º Período)]+tblHorasAgo[Horas Trabalhadas (2º Período)]</f>
        <v>0</v>
      </c>
      <c r="M2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Jornada])+O19</f>
        <v>0</v>
      </c>
      <c r="P20" s="14">
        <f t="shared" si="0"/>
        <v>0</v>
      </c>
      <c r="Q20" s="14" t="str">
        <f>IF(tblHorasAgo[Horas Trabalhadas Além Jornada]&lt;0,IF(OR(tblHorasAgo[Evento 
(1º Período)]="",tblHorasAgo[Evento 
(2º Período)]=""),tblHorasAgo[Horas Trabalhadas Além Jornada],""),"")</f>
        <v/>
      </c>
      <c r="R20" s="14" t="str">
        <f>IF(tblHorasAgo[Jornada Diária]&lt;&gt;"",IF((N(tblHorasAgo[Jornada Diária])-ABS(N(tblHorasAgo[Horas Trabalhadas Além Jornada])))=0,1,""),"")</f>
        <v/>
      </c>
      <c r="S2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TEXT(tblHorasAgo[Data],"ddd")</f>
        <v/>
      </c>
      <c r="D21" s="25"/>
      <c r="E21" s="1"/>
      <c r="F21" s="1"/>
      <c r="G21" s="1"/>
      <c r="H21" s="1"/>
      <c r="I21" s="53"/>
      <c r="J2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1" s="4">
        <f>tblHorasAgo[Horas Trabalhadas (1º Período)]+tblHorasAgo[Horas Trabalhadas (2º Período)]</f>
        <v>0</v>
      </c>
      <c r="M2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Jornada])+O20</f>
        <v>0</v>
      </c>
      <c r="P21" s="14">
        <f t="shared" si="0"/>
        <v>0</v>
      </c>
      <c r="Q21" s="14" t="str">
        <f>IF(tblHorasAgo[Horas Trabalhadas Além Jornada]&lt;0,IF(OR(tblHorasAgo[Evento 
(1º Período)]="",tblHorasAgo[Evento 
(2º Período)]=""),tblHorasAgo[Horas Trabalhadas Além Jornada],""),"")</f>
        <v/>
      </c>
      <c r="R21" s="14" t="str">
        <f>IF(tblHorasAgo[Jornada Diária]&lt;&gt;"",IF((N(tblHorasAgo[Jornada Diária])-ABS(N(tblHorasAgo[Horas Trabalhadas Além Jornada])))=0,1,""),"")</f>
        <v/>
      </c>
      <c r="S2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TEXT(tblHorasAgo[Data],"ddd")</f>
        <v/>
      </c>
      <c r="D22" s="25"/>
      <c r="E22" s="1"/>
      <c r="F22" s="1"/>
      <c r="G22" s="1"/>
      <c r="H22" s="1"/>
      <c r="I22" s="53"/>
      <c r="J2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2" s="4">
        <f>tblHorasAgo[Horas Trabalhadas (1º Período)]+tblHorasAgo[Horas Trabalhadas (2º Período)]</f>
        <v>0</v>
      </c>
      <c r="M2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Jornada])+O21</f>
        <v>0</v>
      </c>
      <c r="P22" s="14">
        <f t="shared" si="0"/>
        <v>0</v>
      </c>
      <c r="Q22" s="14" t="str">
        <f>IF(tblHorasAgo[Horas Trabalhadas Além Jornada]&lt;0,IF(OR(tblHorasAgo[Evento 
(1º Período)]="",tblHorasAgo[Evento 
(2º Período)]=""),tblHorasAgo[Horas Trabalhadas Além Jornada],""),"")</f>
        <v/>
      </c>
      <c r="R22" s="14" t="str">
        <f>IF(tblHorasAgo[Jornada Diária]&lt;&gt;"",IF((N(tblHorasAgo[Jornada Diária])-ABS(N(tblHorasAgo[Horas Trabalhadas Além Jornada])))=0,1,""),"")</f>
        <v/>
      </c>
      <c r="S2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TEXT(tblHorasAgo[Data],"ddd")</f>
        <v/>
      </c>
      <c r="D23" s="25"/>
      <c r="E23" s="1"/>
      <c r="F23" s="1"/>
      <c r="G23" s="1"/>
      <c r="H23" s="1"/>
      <c r="I23" s="53"/>
      <c r="J2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3" s="4">
        <f>tblHorasAgo[Horas Trabalhadas (1º Período)]+tblHorasAgo[Horas Trabalhadas (2º Período)]</f>
        <v>0</v>
      </c>
      <c r="M2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Jornada])+O22</f>
        <v>0</v>
      </c>
      <c r="P23" s="14">
        <f t="shared" si="0"/>
        <v>0</v>
      </c>
      <c r="Q23" s="14" t="str">
        <f>IF(tblHorasAgo[Horas Trabalhadas Além Jornada]&lt;0,IF(OR(tblHorasAgo[Evento 
(1º Período)]="",tblHorasAgo[Evento 
(2º Período)]=""),tblHorasAgo[Horas Trabalhadas Além Jornada],""),"")</f>
        <v/>
      </c>
      <c r="R23" s="14" t="str">
        <f>IF(tblHorasAgo[Jornada Diária]&lt;&gt;"",IF((N(tblHorasAgo[Jornada Diária])-ABS(N(tblHorasAgo[Horas Trabalhadas Além Jornada])))=0,1,""),"")</f>
        <v/>
      </c>
      <c r="S2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TEXT(tblHorasAgo[Data],"ddd")</f>
        <v/>
      </c>
      <c r="D24" s="25"/>
      <c r="E24" s="1"/>
      <c r="F24" s="1"/>
      <c r="G24" s="1"/>
      <c r="H24" s="1"/>
      <c r="I24" s="53"/>
      <c r="J2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4" s="4">
        <f>tblHorasAgo[Horas Trabalhadas (1º Período)]+tblHorasAgo[Horas Trabalhadas (2º Período)]</f>
        <v>0</v>
      </c>
      <c r="M2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Jornada])+O23</f>
        <v>0</v>
      </c>
      <c r="P24" s="14">
        <f t="shared" si="0"/>
        <v>0</v>
      </c>
      <c r="Q24" s="14" t="str">
        <f>IF(tblHorasAgo[Horas Trabalhadas Além Jornada]&lt;0,IF(OR(tblHorasAgo[Evento 
(1º Período)]="",tblHorasAgo[Evento 
(2º Período)]=""),tblHorasAgo[Horas Trabalhadas Além Jornada],""),"")</f>
        <v/>
      </c>
      <c r="R24" s="14" t="str">
        <f>IF(tblHorasAgo[Jornada Diária]&lt;&gt;"",IF((N(tblHorasAgo[Jornada Diária])-ABS(N(tblHorasAgo[Horas Trabalhadas Além Jornada])))=0,1,""),"")</f>
        <v/>
      </c>
      <c r="S2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TEXT(tblHorasAgo[Data],"ddd")</f>
        <v/>
      </c>
      <c r="D25" s="25"/>
      <c r="E25" s="1"/>
      <c r="F25" s="1"/>
      <c r="G25" s="1"/>
      <c r="H25" s="1"/>
      <c r="I25" s="53"/>
      <c r="J2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5" s="4">
        <f>tblHorasAgo[Horas Trabalhadas (1º Período)]+tblHorasAgo[Horas Trabalhadas (2º Período)]</f>
        <v>0</v>
      </c>
      <c r="M2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Jornada])+O24</f>
        <v>0</v>
      </c>
      <c r="P25" s="14">
        <f t="shared" si="0"/>
        <v>0</v>
      </c>
      <c r="Q25" s="14" t="str">
        <f>IF(tblHorasAgo[Horas Trabalhadas Além Jornada]&lt;0,IF(OR(tblHorasAgo[Evento 
(1º Período)]="",tblHorasAgo[Evento 
(2º Período)]=""),tblHorasAgo[Horas Trabalhadas Além Jornada],""),"")</f>
        <v/>
      </c>
      <c r="R25" s="14" t="str">
        <f>IF(tblHorasAgo[Jornada Diária]&lt;&gt;"",IF((N(tblHorasAgo[Jornada Diária])-ABS(N(tblHorasAgo[Horas Trabalhadas Além Jornada])))=0,1,""),"")</f>
        <v/>
      </c>
      <c r="S2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TEXT(tblHorasAgo[Data],"ddd")</f>
        <v/>
      </c>
      <c r="D26" s="25"/>
      <c r="E26" s="1"/>
      <c r="F26" s="1"/>
      <c r="G26" s="1"/>
      <c r="H26" s="1"/>
      <c r="I26" s="53"/>
      <c r="J2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6" s="4">
        <f>tblHorasAgo[Horas Trabalhadas (1º Período)]+tblHorasAgo[Horas Trabalhadas (2º Período)]</f>
        <v>0</v>
      </c>
      <c r="M2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Jornada])+O25</f>
        <v>0</v>
      </c>
      <c r="P26" s="14">
        <f t="shared" si="0"/>
        <v>0</v>
      </c>
      <c r="Q26" s="14" t="str">
        <f>IF(tblHorasAgo[Horas Trabalhadas Além Jornada]&lt;0,IF(OR(tblHorasAgo[Evento 
(1º Período)]="",tblHorasAgo[Evento 
(2º Período)]=""),tblHorasAgo[Horas Trabalhadas Além Jornada],""),"")</f>
        <v/>
      </c>
      <c r="R26" s="14" t="str">
        <f>IF(tblHorasAgo[Jornada Diária]&lt;&gt;"",IF((N(tblHorasAgo[Jornada Diária])-ABS(N(tblHorasAgo[Horas Trabalhadas Além Jornada])))=0,1,""),"")</f>
        <v/>
      </c>
      <c r="S2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TEXT(tblHorasAgo[Data],"ddd")</f>
        <v/>
      </c>
      <c r="D27" s="25"/>
      <c r="E27" s="1"/>
      <c r="F27" s="1"/>
      <c r="G27" s="1"/>
      <c r="H27" s="1"/>
      <c r="I27" s="53"/>
      <c r="J2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7" s="4">
        <f>tblHorasAgo[Horas Trabalhadas (1º Período)]+tblHorasAgo[Horas Trabalhadas (2º Período)]</f>
        <v>0</v>
      </c>
      <c r="M2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Jornada])+O26</f>
        <v>0</v>
      </c>
      <c r="P27" s="14">
        <f t="shared" si="0"/>
        <v>0</v>
      </c>
      <c r="Q27" s="14" t="str">
        <f>IF(tblHorasAgo[Horas Trabalhadas Além Jornada]&lt;0,IF(OR(tblHorasAgo[Evento 
(1º Período)]="",tblHorasAgo[Evento 
(2º Período)]=""),tblHorasAgo[Horas Trabalhadas Além Jornada],""),"")</f>
        <v/>
      </c>
      <c r="R27" s="14" t="str">
        <f>IF(tblHorasAgo[Jornada Diária]&lt;&gt;"",IF((N(tblHorasAgo[Jornada Diária])-ABS(N(tblHorasAgo[Horas Trabalhadas Além Jornada])))=0,1,""),"")</f>
        <v/>
      </c>
      <c r="S2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TEXT(tblHorasAgo[Data],"ddd")</f>
        <v/>
      </c>
      <c r="D28" s="25"/>
      <c r="E28" s="1"/>
      <c r="F28" s="1"/>
      <c r="G28" s="1"/>
      <c r="H28" s="1"/>
      <c r="I28" s="53"/>
      <c r="J2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8" s="4">
        <f>tblHorasAgo[Horas Trabalhadas (1º Período)]+tblHorasAgo[Horas Trabalhadas (2º Período)]</f>
        <v>0</v>
      </c>
      <c r="M2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Jornada])+O27</f>
        <v>0</v>
      </c>
      <c r="P28" s="14">
        <f t="shared" si="0"/>
        <v>0</v>
      </c>
      <c r="Q28" s="14" t="str">
        <f>IF(tblHorasAgo[Horas Trabalhadas Além Jornada]&lt;0,IF(OR(tblHorasAgo[Evento 
(1º Período)]="",tblHorasAgo[Evento 
(2º Período)]=""),tblHorasAgo[Horas Trabalhadas Além Jornada],""),"")</f>
        <v/>
      </c>
      <c r="R28" s="14" t="str">
        <f>IF(tblHorasAgo[Jornada Diária]&lt;&gt;"",IF((N(tblHorasAgo[Jornada Diária])-ABS(N(tblHorasAgo[Horas Trabalhadas Além Jornada])))=0,1,""),"")</f>
        <v/>
      </c>
      <c r="S2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TEXT(tblHorasAgo[Data],"ddd")</f>
        <v/>
      </c>
      <c r="D29" s="25"/>
      <c r="E29" s="1"/>
      <c r="F29" s="1"/>
      <c r="G29" s="1"/>
      <c r="H29" s="1"/>
      <c r="I29" s="53"/>
      <c r="J2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9" s="4">
        <f>tblHorasAgo[Horas Trabalhadas (1º Período)]+tblHorasAgo[Horas Trabalhadas (2º Período)]</f>
        <v>0</v>
      </c>
      <c r="M2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Jornada])+O28</f>
        <v>0</v>
      </c>
      <c r="P29" s="14">
        <f t="shared" si="0"/>
        <v>0</v>
      </c>
      <c r="Q29" s="14" t="str">
        <f>IF(tblHorasAgo[Horas Trabalhadas Além Jornada]&lt;0,IF(OR(tblHorasAgo[Evento 
(1º Período)]="",tblHorasAgo[Evento 
(2º Período)]=""),tblHorasAgo[Horas Trabalhadas Além Jornada],""),"")</f>
        <v/>
      </c>
      <c r="R29" s="14" t="str">
        <f>IF(tblHorasAgo[Jornada Diária]&lt;&gt;"",IF((N(tblHorasAgo[Jornada Diária])-ABS(N(tblHorasAgo[Horas Trabalhadas Além Jornada])))=0,1,""),"")</f>
        <v/>
      </c>
      <c r="S2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TEXT(tblHorasAgo[Data],"ddd")</f>
        <v/>
      </c>
      <c r="D30" s="25"/>
      <c r="E30" s="1"/>
      <c r="F30" s="1"/>
      <c r="G30" s="1"/>
      <c r="H30" s="1"/>
      <c r="I30" s="53"/>
      <c r="J3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0" s="4">
        <f>tblHorasAgo[Horas Trabalhadas (1º Período)]+tblHorasAgo[Horas Trabalhadas (2º Período)]</f>
        <v>0</v>
      </c>
      <c r="M3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Jornada])+O29</f>
        <v>0</v>
      </c>
      <c r="P30" s="14">
        <f t="shared" si="0"/>
        <v>0</v>
      </c>
      <c r="Q30" s="14" t="str">
        <f>IF(tblHorasAgo[Horas Trabalhadas Além Jornada]&lt;0,IF(OR(tblHorasAgo[Evento 
(1º Período)]="",tblHorasAgo[Evento 
(2º Período)]=""),tblHorasAgo[Horas Trabalhadas Além Jornada],""),"")</f>
        <v/>
      </c>
      <c r="R30" s="14" t="str">
        <f>IF(tblHorasAgo[Jornada Diária]&lt;&gt;"",IF((N(tblHorasAgo[Jornada Diária])-ABS(N(tblHorasAgo[Horas Trabalhadas Além Jornada])))=0,1,""),"")</f>
        <v/>
      </c>
      <c r="S3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TEXT(tblHorasAgo[Data],"ddd")</f>
        <v/>
      </c>
      <c r="D31" s="25"/>
      <c r="E31" s="1"/>
      <c r="F31" s="1"/>
      <c r="G31" s="1"/>
      <c r="H31" s="1"/>
      <c r="I31" s="53"/>
      <c r="J3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1" s="4">
        <f>tblHorasAgo[Horas Trabalhadas (1º Período)]+tblHorasAgo[Horas Trabalhadas (2º Período)]</f>
        <v>0</v>
      </c>
      <c r="M3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Jornada])+O30</f>
        <v>0</v>
      </c>
      <c r="P31" s="14">
        <f t="shared" si="0"/>
        <v>0</v>
      </c>
      <c r="Q31" s="14" t="str">
        <f>IF(tblHorasAgo[Horas Trabalhadas Além Jornada]&lt;0,IF(OR(tblHorasAgo[Evento 
(1º Período)]="",tblHorasAgo[Evento 
(2º Período)]=""),tblHorasAgo[Horas Trabalhadas Além Jornada],""),"")</f>
        <v/>
      </c>
      <c r="R31" s="14" t="str">
        <f>IF(tblHorasAgo[Jornada Diária]&lt;&gt;"",IF((N(tblHorasAgo[Jornada Diária])-ABS(N(tblHorasAgo[Horas Trabalhadas Além Jornada])))=0,1,""),"")</f>
        <v/>
      </c>
      <c r="S3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TEXT(tblHorasAgo[Data],"ddd")</f>
        <v/>
      </c>
      <c r="D32" s="25"/>
      <c r="E32" s="1"/>
      <c r="F32" s="1"/>
      <c r="G32" s="1"/>
      <c r="H32" s="1"/>
      <c r="I32" s="53"/>
      <c r="J3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2" s="4">
        <f>tblHorasAgo[Horas Trabalhadas (1º Período)]+tblHorasAgo[Horas Trabalhadas (2º Período)]</f>
        <v>0</v>
      </c>
      <c r="M3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Jornada])+O31</f>
        <v>0</v>
      </c>
      <c r="P32" s="14">
        <f t="shared" si="0"/>
        <v>0</v>
      </c>
      <c r="Q32" s="14" t="str">
        <f>IF(tblHorasAgo[Horas Trabalhadas Além Jornada]&lt;0,IF(OR(tblHorasAgo[Evento 
(1º Período)]="",tblHorasAgo[Evento 
(2º Período)]=""),tblHorasAgo[Horas Trabalhadas Além Jornada],""),"")</f>
        <v/>
      </c>
      <c r="R32" s="14" t="str">
        <f>IF(tblHorasAgo[Jornada Diária]&lt;&gt;"",IF((N(tblHorasAgo[Jornada Diária])-ABS(N(tblHorasAgo[Horas Trabalhadas Além Jornada])))=0,1,""),"")</f>
        <v/>
      </c>
      <c r="S3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TEXT(tblHorasAgo[Data],"ddd")</f>
        <v/>
      </c>
      <c r="D33" s="25"/>
      <c r="E33" s="1"/>
      <c r="F33" s="1"/>
      <c r="G33" s="1"/>
      <c r="H33" s="1"/>
      <c r="I33" s="53"/>
      <c r="J3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3" s="4">
        <f>tblHorasAgo[Horas Trabalhadas (1º Período)]+tblHorasAgo[Horas Trabalhadas (2º Período)]</f>
        <v>0</v>
      </c>
      <c r="M3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Jornada])+O32</f>
        <v>0</v>
      </c>
      <c r="P33" s="14">
        <f t="shared" si="0"/>
        <v>0</v>
      </c>
      <c r="Q33" s="14" t="str">
        <f>IF(tblHorasAgo[Horas Trabalhadas Além Jornada]&lt;0,IF(OR(tblHorasAgo[Evento 
(1º Período)]="",tblHorasAgo[Evento 
(2º Período)]=""),tblHorasAgo[Horas Trabalhadas Além Jornada],""),"")</f>
        <v/>
      </c>
      <c r="R33" s="14" t="str">
        <f>IF(tblHorasAgo[Jornada Diária]&lt;&gt;"",IF((N(tblHorasAgo[Jornada Diária])-ABS(N(tblHorasAgo[Horas Trabalhadas Além Jornada])))=0,1,""),"")</f>
        <v/>
      </c>
      <c r="S3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TEXT(tblHorasAgo[Data],"ddd")</f>
        <v/>
      </c>
      <c r="D34" s="25"/>
      <c r="E34" s="1"/>
      <c r="F34" s="1"/>
      <c r="G34" s="1"/>
      <c r="H34" s="1"/>
      <c r="I34" s="53"/>
      <c r="J3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4" s="4">
        <f>tblHorasAgo[Horas Trabalhadas (1º Período)]+tblHorasAgo[Horas Trabalhadas (2º Período)]</f>
        <v>0</v>
      </c>
      <c r="M3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Jornada])+O33</f>
        <v>0</v>
      </c>
      <c r="P34" s="14">
        <f t="shared" si="0"/>
        <v>0</v>
      </c>
      <c r="Q34" s="14" t="str">
        <f>IF(tblHorasAgo[Horas Trabalhadas Além Jornada]&lt;0,IF(OR(tblHorasAgo[Evento 
(1º Período)]="",tblHorasAgo[Evento 
(2º Período)]=""),tblHorasAgo[Horas Trabalhadas Além Jornada],""),"")</f>
        <v/>
      </c>
      <c r="R34" s="14" t="str">
        <f>IF(tblHorasAgo[Jornada Diária]&lt;&gt;"",IF((N(tblHorasAgo[Jornada Diária])-ABS(N(tblHorasAgo[Horas Trabalhadas Além Jornada])))=0,1,""),"")</f>
        <v/>
      </c>
      <c r="S3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TEXT(tblHorasAgo[Data],"ddd")</f>
        <v/>
      </c>
      <c r="D35" s="25"/>
      <c r="E35" s="1"/>
      <c r="F35" s="1"/>
      <c r="G35" s="1"/>
      <c r="H35" s="1"/>
      <c r="I35" s="53"/>
      <c r="J3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5" s="4">
        <f>tblHorasAgo[Horas Trabalhadas (1º Período)]+tblHorasAgo[Horas Trabalhadas (2º Período)]</f>
        <v>0</v>
      </c>
      <c r="M3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Jornada])+O34</f>
        <v>0</v>
      </c>
      <c r="P35" s="14">
        <f t="shared" si="0"/>
        <v>0</v>
      </c>
      <c r="Q35" s="14" t="str">
        <f>IF(tblHorasAgo[Horas Trabalhadas Além Jornada]&lt;0,IF(OR(tblHorasAgo[Evento 
(1º Período)]="",tblHorasAgo[Evento 
(2º Período)]=""),tblHorasAgo[Horas Trabalhadas Além Jornada],""),"")</f>
        <v/>
      </c>
      <c r="R35" s="14" t="str">
        <f>IF(tblHorasAgo[Jornada Diária]&lt;&gt;"",IF((N(tblHorasAgo[Jornada Diária])-ABS(N(tblHorasAgo[Horas Trabalhadas Além Jornada])))=0,1,""),"")</f>
        <v/>
      </c>
      <c r="S3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TEXT(tblHorasAgo[Data],"ddd")</f>
        <v/>
      </c>
      <c r="D36" s="25"/>
      <c r="E36" s="1"/>
      <c r="F36" s="1"/>
      <c r="G36" s="1"/>
      <c r="H36" s="1"/>
      <c r="I36" s="53"/>
      <c r="J3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6" s="4">
        <f>tblHorasAgo[Horas Trabalhadas (1º Período)]+tblHorasAgo[Horas Trabalhadas (2º Período)]</f>
        <v>0</v>
      </c>
      <c r="M3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Jornada])+O35</f>
        <v>0</v>
      </c>
      <c r="P36" s="14">
        <f t="shared" si="0"/>
        <v>0</v>
      </c>
      <c r="Q36" s="14" t="str">
        <f>IF(tblHorasAgo[Horas Trabalhadas Além Jornada]&lt;0,IF(OR(tblHorasAgo[Evento 
(1º Período)]="",tblHorasAgo[Evento 
(2º Período)]=""),tblHorasAgo[Horas Trabalhadas Além Jornada],""),"")</f>
        <v/>
      </c>
      <c r="R36" s="14" t="str">
        <f>IF(tblHorasAgo[Jornada Diária]&lt;&gt;"",IF((N(tblHorasAgo[Jornada Diária])-ABS(N(tblHorasAgo[Horas Trabalhadas Além Jornada])))=0,1,""),"")</f>
        <v/>
      </c>
      <c r="S3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TEXT(tblHorasAgo[Data],"ddd")</f>
        <v/>
      </c>
      <c r="D37" s="25"/>
      <c r="E37" s="1"/>
      <c r="F37" s="1"/>
      <c r="G37" s="1"/>
      <c r="H37" s="1"/>
      <c r="I37" s="53"/>
      <c r="J3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7" s="4">
        <f>tblHorasAgo[Horas Trabalhadas (1º Período)]+tblHorasAgo[Horas Trabalhadas (2º Período)]</f>
        <v>0</v>
      </c>
      <c r="M3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Jornada])+O36</f>
        <v>0</v>
      </c>
      <c r="P37" s="14">
        <f t="shared" si="0"/>
        <v>0</v>
      </c>
      <c r="Q37" s="14" t="str">
        <f>IF(tblHorasAgo[Horas Trabalhadas Além Jornada]&lt;0,IF(OR(tblHorasAgo[Evento 
(1º Período)]="",tblHorasAgo[Evento 
(2º Período)]=""),tblHorasAgo[Horas Trabalhadas Além Jornada],""),"")</f>
        <v/>
      </c>
      <c r="R37" s="14" t="str">
        <f>IF(tblHorasAgo[Jornada Diária]&lt;&gt;"",IF((N(tblHorasAgo[Jornada Diária])-ABS(N(tblHorasAgo[Horas Trabalhadas Além Jornada])))=0,1,""),"")</f>
        <v/>
      </c>
      <c r="S3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TEXT(tblHorasAgo[Data],"ddd")</f>
        <v/>
      </c>
      <c r="D38" s="25"/>
      <c r="E38" s="1"/>
      <c r="F38" s="1"/>
      <c r="G38" s="1"/>
      <c r="H38" s="1"/>
      <c r="I38" s="53"/>
      <c r="J3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8" s="4">
        <f>tblHorasAgo[Horas Trabalhadas (1º Período)]+tblHorasAgo[Horas Trabalhadas (2º Período)]</f>
        <v>0</v>
      </c>
      <c r="M3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Jornada])+O37</f>
        <v>0</v>
      </c>
      <c r="P38" s="14">
        <f t="shared" si="0"/>
        <v>0</v>
      </c>
      <c r="Q38" s="14" t="str">
        <f>IF(tblHorasAgo[Horas Trabalhadas Além Jornada]&lt;0,IF(OR(tblHorasAgo[Evento 
(1º Período)]="",tblHorasAgo[Evento 
(2º Período)]=""),tblHorasAgo[Horas Trabalhadas Além Jornada],""),"")</f>
        <v/>
      </c>
      <c r="R38" s="14" t="str">
        <f>IF(tblHorasAgo[Jornada Diária]&lt;&gt;"",IF((N(tblHorasAgo[Jornada Diária])-ABS(N(tblHorasAgo[Horas Trabalhadas Além Jornada])))=0,1,""),"")</f>
        <v/>
      </c>
      <c r="S3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TEXT(tblHorasAgo[Data],"ddd")</f>
        <v/>
      </c>
      <c r="D39" s="25"/>
      <c r="E39" s="1"/>
      <c r="F39" s="1"/>
      <c r="G39" s="1"/>
      <c r="H39" s="1"/>
      <c r="I39" s="53"/>
      <c r="J3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9" s="4">
        <f>tblHorasAgo[Horas Trabalhadas (1º Período)]+tblHorasAgo[Horas Trabalhadas (2º Período)]</f>
        <v>0</v>
      </c>
      <c r="M3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Jornada])+O38</f>
        <v>0</v>
      </c>
      <c r="P39" s="14">
        <f t="shared" si="0"/>
        <v>0</v>
      </c>
      <c r="Q39" s="14" t="str">
        <f>IF(tblHorasAgo[Horas Trabalhadas Além Jornada]&lt;0,IF(OR(tblHorasAgo[Evento 
(1º Período)]="",tblHorasAgo[Evento 
(2º Período)]=""),tblHorasAgo[Horas Trabalhadas Além Jornada],""),"")</f>
        <v/>
      </c>
      <c r="R39" s="14" t="str">
        <f>IF(tblHorasAgo[Jornada Diária]&lt;&gt;"",IF((N(tblHorasAgo[Jornada Diária])-ABS(N(tblHorasAgo[Horas Trabalhadas Além Jornada])))=0,1,""),"")</f>
        <v/>
      </c>
      <c r="S3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O/Y/qcSCIGHk9bzkjxnLTtdakjUdhtEVlcdbKncF5FwbbKr3m1vbZWSuas1ENR3l/xVJ0Hyt5nMOUKA7GEhaaQ==" saltValue="vDjx0aBtPhc76o0QTQRx1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4C249F7-4C6E-4601-ABCD-241A2F748D1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33317DD-F646-46CB-8F36-0950AE1B8C3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71F274E7-1378-401E-A0F1-8433686A92F0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82BF0C4B-13CD-49AD-88F1-1E1888C14978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9247B424-79A1-47C6-9011-0B43A506593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60DA6B96-6847-4BB4-9D2D-6112DEF404D3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et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71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Agosto!O39</f>
        <v>0</v>
      </c>
      <c r="P7" s="45">
        <f>SUM(tblHorasSet[Atrasos
(horas)])</f>
        <v>0</v>
      </c>
      <c r="Q7" s="45">
        <f>SUM(tblHorasSet[Atrasos
(horas)])</f>
        <v>0</v>
      </c>
      <c r="R7" s="46">
        <f>SUM(tblHorasSet[Faltas
(dias)])</f>
        <v>0</v>
      </c>
      <c r="S7" s="45">
        <f>SUM(tblHorasSet[Hora Extra Normal])</f>
        <v>0</v>
      </c>
      <c r="T7" s="45">
        <f>SUM(tblHorasSet[Hora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TEXT(tblHorasSet[Data],"ddd")</f>
        <v/>
      </c>
      <c r="D9" s="25"/>
      <c r="E9" s="1"/>
      <c r="F9" s="1"/>
      <c r="G9" s="1"/>
      <c r="H9" s="1"/>
      <c r="I9" s="53"/>
      <c r="J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9" s="4">
        <f>tblHorasSet[Horas Trabalhadas (1º Período)]+tblHorasSet[Horas Trabalhadas (2º Período)]</f>
        <v>0</v>
      </c>
      <c r="M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Jornada])+O7</f>
        <v>0</v>
      </c>
      <c r="P9" s="14">
        <f t="shared" ref="P9:P39" si="0">G9-F9</f>
        <v>0</v>
      </c>
      <c r="Q9" s="14" t="str">
        <f>IF(tblHorasSet[Horas Trabalhadas Além Jornada]&lt;0,IF(OR(tblHorasSet[Evento 
(1º Período)]="",tblHorasSet[Evento 
(2º Período)]=""),tblHorasSet[Horas Trabalhadas Além Jornada],""),"")</f>
        <v/>
      </c>
      <c r="R9" s="14" t="str">
        <f>IF(tblHorasSet[Jornada Diária]&lt;&gt;"",IF((N(tblHorasSet[Jornada Diária])-ABS(N(tblHorasSet[Horas Trabalhadas Além Jornada])))=0,1,""),"")</f>
        <v/>
      </c>
      <c r="S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TEXT(tblHorasSet[Data],"ddd")</f>
        <v/>
      </c>
      <c r="D10" s="25"/>
      <c r="E10" s="1"/>
      <c r="F10" s="1"/>
      <c r="G10" s="1"/>
      <c r="H10" s="1"/>
      <c r="I10" s="53"/>
      <c r="J1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0" s="4">
        <f>tblHorasSet[Horas Trabalhadas (1º Período)]+tblHorasSet[Horas Trabalhadas (2º Período)]</f>
        <v>0</v>
      </c>
      <c r="M1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Jornada])+O9</f>
        <v>0</v>
      </c>
      <c r="P10" s="14">
        <f t="shared" si="0"/>
        <v>0</v>
      </c>
      <c r="Q10" s="14" t="str">
        <f>IF(tblHorasSet[Horas Trabalhadas Além Jornada]&lt;0,IF(OR(tblHorasSet[Evento 
(1º Período)]="",tblHorasSet[Evento 
(2º Período)]=""),tblHorasSet[Horas Trabalhadas Além Jornada],""),"")</f>
        <v/>
      </c>
      <c r="R10" s="14" t="str">
        <f>IF(tblHorasSet[Jornada Diária]&lt;&gt;"",IF((N(tblHorasSet[Jornada Diária])-ABS(N(tblHorasSet[Horas Trabalhadas Além Jornada])))=0,1,""),"")</f>
        <v/>
      </c>
      <c r="S1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TEXT(tblHorasSet[Data],"ddd")</f>
        <v/>
      </c>
      <c r="D11" s="25"/>
      <c r="E11" s="1"/>
      <c r="F11" s="1"/>
      <c r="G11" s="1"/>
      <c r="H11" s="1"/>
      <c r="I11" s="53"/>
      <c r="J1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1" s="4">
        <f>tblHorasSet[Horas Trabalhadas (1º Período)]+tblHorasSet[Horas Trabalhadas (2º Período)]</f>
        <v>0</v>
      </c>
      <c r="M1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Jornada])+O10</f>
        <v>0</v>
      </c>
      <c r="P11" s="14">
        <f t="shared" si="0"/>
        <v>0</v>
      </c>
      <c r="Q11" s="14" t="str">
        <f>IF(tblHorasSet[Horas Trabalhadas Além Jornada]&lt;0,IF(OR(tblHorasSet[Evento 
(1º Período)]="",tblHorasSet[Evento 
(2º Período)]=""),tblHorasSet[Horas Trabalhadas Além Jornada],""),"")</f>
        <v/>
      </c>
      <c r="R11" s="14" t="str">
        <f>IF(tblHorasSet[Jornada Diária]&lt;&gt;"",IF((N(tblHorasSet[Jornada Diária])-ABS(N(tblHorasSet[Horas Trabalhadas Além Jornada])))=0,1,""),"")</f>
        <v/>
      </c>
      <c r="S1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TEXT(tblHorasSet[Data],"ddd")</f>
        <v/>
      </c>
      <c r="D12" s="25"/>
      <c r="E12" s="1"/>
      <c r="F12" s="1"/>
      <c r="G12" s="1"/>
      <c r="H12" s="1"/>
      <c r="I12" s="53"/>
      <c r="J1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2" s="4">
        <f>tblHorasSet[Horas Trabalhadas (1º Período)]+tblHorasSet[Horas Trabalhadas (2º Período)]</f>
        <v>0</v>
      </c>
      <c r="M1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Jornada])+O11</f>
        <v>0</v>
      </c>
      <c r="P12" s="14">
        <f t="shared" si="0"/>
        <v>0</v>
      </c>
      <c r="Q12" s="14" t="str">
        <f>IF(tblHorasSet[Horas Trabalhadas Além Jornada]&lt;0,IF(OR(tblHorasSet[Evento 
(1º Período)]="",tblHorasSet[Evento 
(2º Período)]=""),tblHorasSet[Horas Trabalhadas Além Jornada],""),"")</f>
        <v/>
      </c>
      <c r="R12" s="14" t="str">
        <f>IF(tblHorasSet[Jornada Diária]&lt;&gt;"",IF((N(tblHorasSet[Jornada Diária])-ABS(N(tblHorasSet[Horas Trabalhadas Além Jornada])))=0,1,""),"")</f>
        <v/>
      </c>
      <c r="S1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TEXT(tblHorasSet[Data],"ddd")</f>
        <v/>
      </c>
      <c r="D13" s="25"/>
      <c r="E13" s="1"/>
      <c r="F13" s="1"/>
      <c r="G13" s="1"/>
      <c r="H13" s="1"/>
      <c r="I13" s="53"/>
      <c r="J1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3" s="4">
        <f>tblHorasSet[Horas Trabalhadas (1º Período)]+tblHorasSet[Horas Trabalhadas (2º Período)]</f>
        <v>0</v>
      </c>
      <c r="M1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Jornada])+O12</f>
        <v>0</v>
      </c>
      <c r="P13" s="14">
        <f t="shared" si="0"/>
        <v>0</v>
      </c>
      <c r="Q13" s="14" t="str">
        <f>IF(tblHorasSet[Horas Trabalhadas Além Jornada]&lt;0,IF(OR(tblHorasSet[Evento 
(1º Período)]="",tblHorasSet[Evento 
(2º Período)]=""),tblHorasSet[Horas Trabalhadas Além Jornada],""),"")</f>
        <v/>
      </c>
      <c r="R13" s="14" t="str">
        <f>IF(tblHorasSet[Jornada Diária]&lt;&gt;"",IF((N(tblHorasSet[Jornada Diária])-ABS(N(tblHorasSet[Horas Trabalhadas Além Jornada])))=0,1,""),"")</f>
        <v/>
      </c>
      <c r="S1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TEXT(tblHorasSet[Data],"ddd")</f>
        <v/>
      </c>
      <c r="D14" s="25"/>
      <c r="E14" s="1"/>
      <c r="F14" s="1"/>
      <c r="G14" s="1"/>
      <c r="H14" s="1"/>
      <c r="I14" s="53"/>
      <c r="J1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4" s="4">
        <f>tblHorasSet[Horas Trabalhadas (1º Período)]+tblHorasSet[Horas Trabalhadas (2º Período)]</f>
        <v>0</v>
      </c>
      <c r="M1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Jornada])+O13</f>
        <v>0</v>
      </c>
      <c r="P14" s="14">
        <f t="shared" si="0"/>
        <v>0</v>
      </c>
      <c r="Q14" s="14" t="str">
        <f>IF(tblHorasSet[Horas Trabalhadas Além Jornada]&lt;0,IF(OR(tblHorasSet[Evento 
(1º Período)]="",tblHorasSet[Evento 
(2º Período)]=""),tblHorasSet[Horas Trabalhadas Além Jornada],""),"")</f>
        <v/>
      </c>
      <c r="R14" s="14" t="str">
        <f>IF(tblHorasSet[Jornada Diária]&lt;&gt;"",IF((N(tblHorasSet[Jornada Diária])-ABS(N(tblHorasSet[Horas Trabalhadas Além Jornada])))=0,1,""),"")</f>
        <v/>
      </c>
      <c r="S1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TEXT(tblHorasSet[Data],"ddd")</f>
        <v/>
      </c>
      <c r="D15" s="25"/>
      <c r="E15" s="1"/>
      <c r="F15" s="1"/>
      <c r="G15" s="1"/>
      <c r="H15" s="1"/>
      <c r="I15" s="53"/>
      <c r="J1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5" s="4">
        <f>tblHorasSet[Horas Trabalhadas (1º Período)]+tblHorasSet[Horas Trabalhadas (2º Período)]</f>
        <v>0</v>
      </c>
      <c r="M1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Jornada])+O14</f>
        <v>0</v>
      </c>
      <c r="P15" s="14">
        <f t="shared" si="0"/>
        <v>0</v>
      </c>
      <c r="Q15" s="14" t="str">
        <f>IF(tblHorasSet[Horas Trabalhadas Além Jornada]&lt;0,IF(OR(tblHorasSet[Evento 
(1º Período)]="",tblHorasSet[Evento 
(2º Período)]=""),tblHorasSet[Horas Trabalhadas Além Jornada],""),"")</f>
        <v/>
      </c>
      <c r="R15" s="14" t="str">
        <f>IF(tblHorasSet[Jornada Diária]&lt;&gt;"",IF((N(tblHorasSet[Jornada Diária])-ABS(N(tblHorasSet[Horas Trabalhadas Além Jornada])))=0,1,""),"")</f>
        <v/>
      </c>
      <c r="S1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TEXT(tblHorasSet[Data],"ddd")</f>
        <v/>
      </c>
      <c r="D16" s="25"/>
      <c r="E16" s="1"/>
      <c r="F16" s="1"/>
      <c r="G16" s="1"/>
      <c r="H16" s="1"/>
      <c r="I16" s="53"/>
      <c r="J1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6" s="4">
        <f>tblHorasSet[Horas Trabalhadas (1º Período)]+tblHorasSet[Horas Trabalhadas (2º Período)]</f>
        <v>0</v>
      </c>
      <c r="M1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Jornada])+O15</f>
        <v>0</v>
      </c>
      <c r="P16" s="14">
        <f t="shared" si="0"/>
        <v>0</v>
      </c>
      <c r="Q16" s="14" t="str">
        <f>IF(tblHorasSet[Horas Trabalhadas Além Jornada]&lt;0,IF(OR(tblHorasSet[Evento 
(1º Período)]="",tblHorasSet[Evento 
(2º Período)]=""),tblHorasSet[Horas Trabalhadas Além Jornada],""),"")</f>
        <v/>
      </c>
      <c r="R16" s="14" t="str">
        <f>IF(tblHorasSet[Jornada Diária]&lt;&gt;"",IF((N(tblHorasSet[Jornada Diária])-ABS(N(tblHorasSet[Horas Trabalhadas Além Jornada])))=0,1,""),"")</f>
        <v/>
      </c>
      <c r="S1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TEXT(tblHorasSet[Data],"ddd")</f>
        <v/>
      </c>
      <c r="D17" s="25"/>
      <c r="E17" s="1"/>
      <c r="F17" s="1"/>
      <c r="G17" s="1"/>
      <c r="H17" s="1"/>
      <c r="I17" s="53"/>
      <c r="J1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7" s="4">
        <f>tblHorasSet[Horas Trabalhadas (1º Período)]+tblHorasSet[Horas Trabalhadas (2º Período)]</f>
        <v>0</v>
      </c>
      <c r="M1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Jornada])+O16</f>
        <v>0</v>
      </c>
      <c r="P17" s="14">
        <f t="shared" si="0"/>
        <v>0</v>
      </c>
      <c r="Q17" s="14" t="str">
        <f>IF(tblHorasSet[Horas Trabalhadas Além Jornada]&lt;0,IF(OR(tblHorasSet[Evento 
(1º Período)]="",tblHorasSet[Evento 
(2º Período)]=""),tblHorasSet[Horas Trabalhadas Além Jornada],""),"")</f>
        <v/>
      </c>
      <c r="R17" s="14" t="str">
        <f>IF(tblHorasSet[Jornada Diária]&lt;&gt;"",IF((N(tblHorasSet[Jornada Diária])-ABS(N(tblHorasSet[Horas Trabalhadas Além Jornada])))=0,1,""),"")</f>
        <v/>
      </c>
      <c r="S1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TEXT(tblHorasSet[Data],"ddd")</f>
        <v/>
      </c>
      <c r="D18" s="25"/>
      <c r="E18" s="1"/>
      <c r="F18" s="1"/>
      <c r="G18" s="1"/>
      <c r="H18" s="1"/>
      <c r="I18" s="53"/>
      <c r="J1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8" s="4">
        <f>tblHorasSet[Horas Trabalhadas (1º Período)]+tblHorasSet[Horas Trabalhadas (2º Período)]</f>
        <v>0</v>
      </c>
      <c r="M1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Jornada])+O17</f>
        <v>0</v>
      </c>
      <c r="P18" s="14">
        <f t="shared" si="0"/>
        <v>0</v>
      </c>
      <c r="Q18" s="14" t="str">
        <f>IF(tblHorasSet[Horas Trabalhadas Além Jornada]&lt;0,IF(OR(tblHorasSet[Evento 
(1º Período)]="",tblHorasSet[Evento 
(2º Período)]=""),tblHorasSet[Horas Trabalhadas Além Jornada],""),"")</f>
        <v/>
      </c>
      <c r="R18" s="14" t="str">
        <f>IF(tblHorasSet[Jornada Diária]&lt;&gt;"",IF((N(tblHorasSet[Jornada Diária])-ABS(N(tblHorasSet[Horas Trabalhadas Além Jornada])))=0,1,""),"")</f>
        <v/>
      </c>
      <c r="S1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TEXT(tblHorasSet[Data],"ddd")</f>
        <v/>
      </c>
      <c r="D19" s="25"/>
      <c r="E19" s="1"/>
      <c r="F19" s="1"/>
      <c r="G19" s="1"/>
      <c r="H19" s="1"/>
      <c r="I19" s="53"/>
      <c r="J1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9" s="4">
        <f>tblHorasSet[Horas Trabalhadas (1º Período)]+tblHorasSet[Horas Trabalhadas (2º Período)]</f>
        <v>0</v>
      </c>
      <c r="M1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Jornada])+O18</f>
        <v>0</v>
      </c>
      <c r="P19" s="14">
        <f t="shared" si="0"/>
        <v>0</v>
      </c>
      <c r="Q19" s="14" t="str">
        <f>IF(tblHorasSet[Horas Trabalhadas Além Jornada]&lt;0,IF(OR(tblHorasSet[Evento 
(1º Período)]="",tblHorasSet[Evento 
(2º Período)]=""),tblHorasSet[Horas Trabalhadas Além Jornada],""),"")</f>
        <v/>
      </c>
      <c r="R19" s="14" t="str">
        <f>IF(tblHorasSet[Jornada Diária]&lt;&gt;"",IF((N(tblHorasSet[Jornada Diária])-ABS(N(tblHorasSet[Horas Trabalhadas Além Jornada])))=0,1,""),"")</f>
        <v/>
      </c>
      <c r="S1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TEXT(tblHorasSet[Data],"ddd")</f>
        <v/>
      </c>
      <c r="D20" s="25"/>
      <c r="E20" s="1"/>
      <c r="F20" s="1"/>
      <c r="G20" s="1"/>
      <c r="H20" s="1"/>
      <c r="I20" s="53"/>
      <c r="J2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0" s="4">
        <f>tblHorasSet[Horas Trabalhadas (1º Período)]+tblHorasSet[Horas Trabalhadas (2º Período)]</f>
        <v>0</v>
      </c>
      <c r="M2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Jornada])+O19</f>
        <v>0</v>
      </c>
      <c r="P20" s="14">
        <f t="shared" si="0"/>
        <v>0</v>
      </c>
      <c r="Q20" s="14" t="str">
        <f>IF(tblHorasSet[Horas Trabalhadas Além Jornada]&lt;0,IF(OR(tblHorasSet[Evento 
(1º Período)]="",tblHorasSet[Evento 
(2º Período)]=""),tblHorasSet[Horas Trabalhadas Além Jornada],""),"")</f>
        <v/>
      </c>
      <c r="R20" s="14" t="str">
        <f>IF(tblHorasSet[Jornada Diária]&lt;&gt;"",IF((N(tblHorasSet[Jornada Diária])-ABS(N(tblHorasSet[Horas Trabalhadas Além Jornada])))=0,1,""),"")</f>
        <v/>
      </c>
      <c r="S2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TEXT(tblHorasSet[Data],"ddd")</f>
        <v/>
      </c>
      <c r="D21" s="25"/>
      <c r="E21" s="1"/>
      <c r="F21" s="1"/>
      <c r="G21" s="1"/>
      <c r="H21" s="1"/>
      <c r="I21" s="53"/>
      <c r="J2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1" s="4">
        <f>tblHorasSet[Horas Trabalhadas (1º Período)]+tblHorasSet[Horas Trabalhadas (2º Período)]</f>
        <v>0</v>
      </c>
      <c r="M2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Jornada])+O20</f>
        <v>0</v>
      </c>
      <c r="P21" s="14">
        <f t="shared" si="0"/>
        <v>0</v>
      </c>
      <c r="Q21" s="14" t="str">
        <f>IF(tblHorasSet[Horas Trabalhadas Além Jornada]&lt;0,IF(OR(tblHorasSet[Evento 
(1º Período)]="",tblHorasSet[Evento 
(2º Período)]=""),tblHorasSet[Horas Trabalhadas Além Jornada],""),"")</f>
        <v/>
      </c>
      <c r="R21" s="14" t="str">
        <f>IF(tblHorasSet[Jornada Diária]&lt;&gt;"",IF((N(tblHorasSet[Jornada Diária])-ABS(N(tblHorasSet[Horas Trabalhadas Além Jornada])))=0,1,""),"")</f>
        <v/>
      </c>
      <c r="S2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TEXT(tblHorasSet[Data],"ddd")</f>
        <v/>
      </c>
      <c r="D22" s="25"/>
      <c r="E22" s="1"/>
      <c r="F22" s="1"/>
      <c r="G22" s="1"/>
      <c r="H22" s="1"/>
      <c r="I22" s="53"/>
      <c r="J2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2" s="4">
        <f>tblHorasSet[Horas Trabalhadas (1º Período)]+tblHorasSet[Horas Trabalhadas (2º Período)]</f>
        <v>0</v>
      </c>
      <c r="M2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Jornada])+O21</f>
        <v>0</v>
      </c>
      <c r="P22" s="14">
        <f t="shared" si="0"/>
        <v>0</v>
      </c>
      <c r="Q22" s="14" t="str">
        <f>IF(tblHorasSet[Horas Trabalhadas Além Jornada]&lt;0,IF(OR(tblHorasSet[Evento 
(1º Período)]="",tblHorasSet[Evento 
(2º Período)]=""),tblHorasSet[Horas Trabalhadas Além Jornada],""),"")</f>
        <v/>
      </c>
      <c r="R22" s="14" t="str">
        <f>IF(tblHorasSet[Jornada Diária]&lt;&gt;"",IF((N(tblHorasSet[Jornada Diária])-ABS(N(tblHorasSet[Horas Trabalhadas Além Jornada])))=0,1,""),"")</f>
        <v/>
      </c>
      <c r="S2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TEXT(tblHorasSet[Data],"ddd")</f>
        <v/>
      </c>
      <c r="D23" s="25"/>
      <c r="E23" s="1"/>
      <c r="F23" s="1"/>
      <c r="G23" s="1"/>
      <c r="H23" s="1"/>
      <c r="I23" s="53"/>
      <c r="J2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3" s="4">
        <f>tblHorasSet[Horas Trabalhadas (1º Período)]+tblHorasSet[Horas Trabalhadas (2º Período)]</f>
        <v>0</v>
      </c>
      <c r="M2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Jornada])+O22</f>
        <v>0</v>
      </c>
      <c r="P23" s="14">
        <f t="shared" si="0"/>
        <v>0</v>
      </c>
      <c r="Q23" s="14" t="str">
        <f>IF(tblHorasSet[Horas Trabalhadas Além Jornada]&lt;0,IF(OR(tblHorasSet[Evento 
(1º Período)]="",tblHorasSet[Evento 
(2º Período)]=""),tblHorasSet[Horas Trabalhadas Além Jornada],""),"")</f>
        <v/>
      </c>
      <c r="R23" s="14" t="str">
        <f>IF(tblHorasSet[Jornada Diária]&lt;&gt;"",IF((N(tblHorasSet[Jornada Diária])-ABS(N(tblHorasSet[Horas Trabalhadas Além Jornada])))=0,1,""),"")</f>
        <v/>
      </c>
      <c r="S2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TEXT(tblHorasSet[Data],"ddd")</f>
        <v/>
      </c>
      <c r="D24" s="25"/>
      <c r="E24" s="1"/>
      <c r="F24" s="1"/>
      <c r="G24" s="1"/>
      <c r="H24" s="1"/>
      <c r="I24" s="53"/>
      <c r="J2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4" s="4">
        <f>tblHorasSet[Horas Trabalhadas (1º Período)]+tblHorasSet[Horas Trabalhadas (2º Período)]</f>
        <v>0</v>
      </c>
      <c r="M2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Jornada])+O23</f>
        <v>0</v>
      </c>
      <c r="P24" s="14">
        <f t="shared" si="0"/>
        <v>0</v>
      </c>
      <c r="Q24" s="14" t="str">
        <f>IF(tblHorasSet[Horas Trabalhadas Além Jornada]&lt;0,IF(OR(tblHorasSet[Evento 
(1º Período)]="",tblHorasSet[Evento 
(2º Período)]=""),tblHorasSet[Horas Trabalhadas Além Jornada],""),"")</f>
        <v/>
      </c>
      <c r="R24" s="14" t="str">
        <f>IF(tblHorasSet[Jornada Diária]&lt;&gt;"",IF((N(tblHorasSet[Jornada Diária])-ABS(N(tblHorasSet[Horas Trabalhadas Além Jornada])))=0,1,""),"")</f>
        <v/>
      </c>
      <c r="S2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TEXT(tblHorasSet[Data],"ddd")</f>
        <v/>
      </c>
      <c r="D25" s="25"/>
      <c r="E25" s="1"/>
      <c r="F25" s="1"/>
      <c r="G25" s="1"/>
      <c r="H25" s="1"/>
      <c r="I25" s="53"/>
      <c r="J2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5" s="4">
        <f>tblHorasSet[Horas Trabalhadas (1º Período)]+tblHorasSet[Horas Trabalhadas (2º Período)]</f>
        <v>0</v>
      </c>
      <c r="M2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Jornada])+O24</f>
        <v>0</v>
      </c>
      <c r="P25" s="14">
        <f t="shared" si="0"/>
        <v>0</v>
      </c>
      <c r="Q25" s="14" t="str">
        <f>IF(tblHorasSet[Horas Trabalhadas Além Jornada]&lt;0,IF(OR(tblHorasSet[Evento 
(1º Período)]="",tblHorasSet[Evento 
(2º Período)]=""),tblHorasSet[Horas Trabalhadas Além Jornada],""),"")</f>
        <v/>
      </c>
      <c r="R25" s="14" t="str">
        <f>IF(tblHorasSet[Jornada Diária]&lt;&gt;"",IF((N(tblHorasSet[Jornada Diária])-ABS(N(tblHorasSet[Horas Trabalhadas Além Jornada])))=0,1,""),"")</f>
        <v/>
      </c>
      <c r="S2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TEXT(tblHorasSet[Data],"ddd")</f>
        <v/>
      </c>
      <c r="D26" s="25"/>
      <c r="E26" s="1"/>
      <c r="F26" s="1"/>
      <c r="G26" s="1"/>
      <c r="H26" s="1"/>
      <c r="I26" s="53"/>
      <c r="J2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6" s="4">
        <f>tblHorasSet[Horas Trabalhadas (1º Período)]+tblHorasSet[Horas Trabalhadas (2º Período)]</f>
        <v>0</v>
      </c>
      <c r="M2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Jornada])+O25</f>
        <v>0</v>
      </c>
      <c r="P26" s="14">
        <f t="shared" si="0"/>
        <v>0</v>
      </c>
      <c r="Q26" s="14" t="str">
        <f>IF(tblHorasSet[Horas Trabalhadas Além Jornada]&lt;0,IF(OR(tblHorasSet[Evento 
(1º Período)]="",tblHorasSet[Evento 
(2º Período)]=""),tblHorasSet[Horas Trabalhadas Além Jornada],""),"")</f>
        <v/>
      </c>
      <c r="R26" s="14" t="str">
        <f>IF(tblHorasSet[Jornada Diária]&lt;&gt;"",IF((N(tblHorasSet[Jornada Diária])-ABS(N(tblHorasSet[Horas Trabalhadas Além Jornada])))=0,1,""),"")</f>
        <v/>
      </c>
      <c r="S2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TEXT(tblHorasSet[Data],"ddd")</f>
        <v/>
      </c>
      <c r="D27" s="25"/>
      <c r="E27" s="1"/>
      <c r="F27" s="1"/>
      <c r="G27" s="1"/>
      <c r="H27" s="1"/>
      <c r="I27" s="53"/>
      <c r="J2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7" s="4">
        <f>tblHorasSet[Horas Trabalhadas (1º Período)]+tblHorasSet[Horas Trabalhadas (2º Período)]</f>
        <v>0</v>
      </c>
      <c r="M2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Jornada])+O26</f>
        <v>0</v>
      </c>
      <c r="P27" s="14">
        <f t="shared" si="0"/>
        <v>0</v>
      </c>
      <c r="Q27" s="14" t="str">
        <f>IF(tblHorasSet[Horas Trabalhadas Além Jornada]&lt;0,IF(OR(tblHorasSet[Evento 
(1º Período)]="",tblHorasSet[Evento 
(2º Período)]=""),tblHorasSet[Horas Trabalhadas Além Jornada],""),"")</f>
        <v/>
      </c>
      <c r="R27" s="14" t="str">
        <f>IF(tblHorasSet[Jornada Diária]&lt;&gt;"",IF((N(tblHorasSet[Jornada Diária])-ABS(N(tblHorasSet[Horas Trabalhadas Além Jornada])))=0,1,""),"")</f>
        <v/>
      </c>
      <c r="S2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TEXT(tblHorasSet[Data],"ddd")</f>
        <v/>
      </c>
      <c r="D28" s="25"/>
      <c r="E28" s="1"/>
      <c r="F28" s="1"/>
      <c r="G28" s="1"/>
      <c r="H28" s="1"/>
      <c r="I28" s="53"/>
      <c r="J2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8" s="4">
        <f>tblHorasSet[Horas Trabalhadas (1º Período)]+tblHorasSet[Horas Trabalhadas (2º Período)]</f>
        <v>0</v>
      </c>
      <c r="M2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Jornada])+O27</f>
        <v>0</v>
      </c>
      <c r="P28" s="14">
        <f t="shared" si="0"/>
        <v>0</v>
      </c>
      <c r="Q28" s="14" t="str">
        <f>IF(tblHorasSet[Horas Trabalhadas Além Jornada]&lt;0,IF(OR(tblHorasSet[Evento 
(1º Período)]="",tblHorasSet[Evento 
(2º Período)]=""),tblHorasSet[Horas Trabalhadas Além Jornada],""),"")</f>
        <v/>
      </c>
      <c r="R28" s="14" t="str">
        <f>IF(tblHorasSet[Jornada Diária]&lt;&gt;"",IF((N(tblHorasSet[Jornada Diária])-ABS(N(tblHorasSet[Horas Trabalhadas Além Jornada])))=0,1,""),"")</f>
        <v/>
      </c>
      <c r="S2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TEXT(tblHorasSet[Data],"ddd")</f>
        <v/>
      </c>
      <c r="D29" s="25"/>
      <c r="E29" s="1"/>
      <c r="F29" s="1"/>
      <c r="G29" s="1"/>
      <c r="H29" s="1"/>
      <c r="I29" s="53"/>
      <c r="J2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9" s="4">
        <f>tblHorasSet[Horas Trabalhadas (1º Período)]+tblHorasSet[Horas Trabalhadas (2º Período)]</f>
        <v>0</v>
      </c>
      <c r="M2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Jornada])+O28</f>
        <v>0</v>
      </c>
      <c r="P29" s="14">
        <f t="shared" si="0"/>
        <v>0</v>
      </c>
      <c r="Q29" s="14" t="str">
        <f>IF(tblHorasSet[Horas Trabalhadas Além Jornada]&lt;0,IF(OR(tblHorasSet[Evento 
(1º Período)]="",tblHorasSet[Evento 
(2º Período)]=""),tblHorasSet[Horas Trabalhadas Além Jornada],""),"")</f>
        <v/>
      </c>
      <c r="R29" s="14" t="str">
        <f>IF(tblHorasSet[Jornada Diária]&lt;&gt;"",IF((N(tblHorasSet[Jornada Diária])-ABS(N(tblHorasSet[Horas Trabalhadas Além Jornada])))=0,1,""),"")</f>
        <v/>
      </c>
      <c r="S2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TEXT(tblHorasSet[Data],"ddd")</f>
        <v/>
      </c>
      <c r="D30" s="25"/>
      <c r="E30" s="1"/>
      <c r="F30" s="1"/>
      <c r="G30" s="1"/>
      <c r="H30" s="1"/>
      <c r="I30" s="53"/>
      <c r="J3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0" s="4">
        <f>tblHorasSet[Horas Trabalhadas (1º Período)]+tblHorasSet[Horas Trabalhadas (2º Período)]</f>
        <v>0</v>
      </c>
      <c r="M3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Jornada])+O29</f>
        <v>0</v>
      </c>
      <c r="P30" s="14">
        <f t="shared" si="0"/>
        <v>0</v>
      </c>
      <c r="Q30" s="14" t="str">
        <f>IF(tblHorasSet[Horas Trabalhadas Além Jornada]&lt;0,IF(OR(tblHorasSet[Evento 
(1º Período)]="",tblHorasSet[Evento 
(2º Período)]=""),tblHorasSet[Horas Trabalhadas Além Jornada],""),"")</f>
        <v/>
      </c>
      <c r="R30" s="14" t="str">
        <f>IF(tblHorasSet[Jornada Diária]&lt;&gt;"",IF((N(tblHorasSet[Jornada Diária])-ABS(N(tblHorasSet[Horas Trabalhadas Além Jornada])))=0,1,""),"")</f>
        <v/>
      </c>
      <c r="S3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TEXT(tblHorasSet[Data],"ddd")</f>
        <v/>
      </c>
      <c r="D31" s="25"/>
      <c r="E31" s="1"/>
      <c r="F31" s="1"/>
      <c r="G31" s="1"/>
      <c r="H31" s="1"/>
      <c r="I31" s="53"/>
      <c r="J3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1" s="4">
        <f>tblHorasSet[Horas Trabalhadas (1º Período)]+tblHorasSet[Horas Trabalhadas (2º Período)]</f>
        <v>0</v>
      </c>
      <c r="M3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Jornada])+O30</f>
        <v>0</v>
      </c>
      <c r="P31" s="14">
        <f t="shared" si="0"/>
        <v>0</v>
      </c>
      <c r="Q31" s="14" t="str">
        <f>IF(tblHorasSet[Horas Trabalhadas Além Jornada]&lt;0,IF(OR(tblHorasSet[Evento 
(1º Período)]="",tblHorasSet[Evento 
(2º Período)]=""),tblHorasSet[Horas Trabalhadas Além Jornada],""),"")</f>
        <v/>
      </c>
      <c r="R31" s="14" t="str">
        <f>IF(tblHorasSet[Jornada Diária]&lt;&gt;"",IF((N(tblHorasSet[Jornada Diária])-ABS(N(tblHorasSet[Horas Trabalhadas Além Jornada])))=0,1,""),"")</f>
        <v/>
      </c>
      <c r="S3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TEXT(tblHorasSet[Data],"ddd")</f>
        <v/>
      </c>
      <c r="D32" s="25"/>
      <c r="E32" s="1"/>
      <c r="F32" s="1"/>
      <c r="G32" s="1"/>
      <c r="H32" s="1"/>
      <c r="I32" s="53"/>
      <c r="J3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2" s="4">
        <f>tblHorasSet[Horas Trabalhadas (1º Período)]+tblHorasSet[Horas Trabalhadas (2º Período)]</f>
        <v>0</v>
      </c>
      <c r="M3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Jornada])+O31</f>
        <v>0</v>
      </c>
      <c r="P32" s="14">
        <f t="shared" si="0"/>
        <v>0</v>
      </c>
      <c r="Q32" s="14" t="str">
        <f>IF(tblHorasSet[Horas Trabalhadas Além Jornada]&lt;0,IF(OR(tblHorasSet[Evento 
(1º Período)]="",tblHorasSet[Evento 
(2º Período)]=""),tblHorasSet[Horas Trabalhadas Além Jornada],""),"")</f>
        <v/>
      </c>
      <c r="R32" s="14" t="str">
        <f>IF(tblHorasSet[Jornada Diária]&lt;&gt;"",IF((N(tblHorasSet[Jornada Diária])-ABS(N(tblHorasSet[Horas Trabalhadas Além Jornada])))=0,1,""),"")</f>
        <v/>
      </c>
      <c r="S3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TEXT(tblHorasSet[Data],"ddd")</f>
        <v/>
      </c>
      <c r="D33" s="25"/>
      <c r="E33" s="1"/>
      <c r="F33" s="1"/>
      <c r="G33" s="1"/>
      <c r="H33" s="1"/>
      <c r="I33" s="53"/>
      <c r="J3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3" s="4">
        <f>tblHorasSet[Horas Trabalhadas (1º Período)]+tblHorasSet[Horas Trabalhadas (2º Período)]</f>
        <v>0</v>
      </c>
      <c r="M3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Jornada])+O32</f>
        <v>0</v>
      </c>
      <c r="P33" s="14">
        <f t="shared" si="0"/>
        <v>0</v>
      </c>
      <c r="Q33" s="14" t="str">
        <f>IF(tblHorasSet[Horas Trabalhadas Além Jornada]&lt;0,IF(OR(tblHorasSet[Evento 
(1º Período)]="",tblHorasSet[Evento 
(2º Período)]=""),tblHorasSet[Horas Trabalhadas Além Jornada],""),"")</f>
        <v/>
      </c>
      <c r="R33" s="14" t="str">
        <f>IF(tblHorasSet[Jornada Diária]&lt;&gt;"",IF((N(tblHorasSet[Jornada Diária])-ABS(N(tblHorasSet[Horas Trabalhadas Além Jornada])))=0,1,""),"")</f>
        <v/>
      </c>
      <c r="S3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TEXT(tblHorasSet[Data],"ddd")</f>
        <v/>
      </c>
      <c r="D34" s="25"/>
      <c r="E34" s="1"/>
      <c r="F34" s="1"/>
      <c r="G34" s="1"/>
      <c r="H34" s="1"/>
      <c r="I34" s="53"/>
      <c r="J3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4" s="4">
        <f>tblHorasSet[Horas Trabalhadas (1º Período)]+tblHorasSet[Horas Trabalhadas (2º Período)]</f>
        <v>0</v>
      </c>
      <c r="M3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Jornada])+O33</f>
        <v>0</v>
      </c>
      <c r="P34" s="14">
        <f t="shared" si="0"/>
        <v>0</v>
      </c>
      <c r="Q34" s="14" t="str">
        <f>IF(tblHorasSet[Horas Trabalhadas Além Jornada]&lt;0,IF(OR(tblHorasSet[Evento 
(1º Período)]="",tblHorasSet[Evento 
(2º Período)]=""),tblHorasSet[Horas Trabalhadas Além Jornada],""),"")</f>
        <v/>
      </c>
      <c r="R34" s="14" t="str">
        <f>IF(tblHorasSet[Jornada Diária]&lt;&gt;"",IF((N(tblHorasSet[Jornada Diária])-ABS(N(tblHorasSet[Horas Trabalhadas Além Jornada])))=0,1,""),"")</f>
        <v/>
      </c>
      <c r="S3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TEXT(tblHorasSet[Data],"ddd")</f>
        <v/>
      </c>
      <c r="D35" s="25"/>
      <c r="E35" s="1"/>
      <c r="F35" s="1"/>
      <c r="G35" s="1"/>
      <c r="H35" s="1"/>
      <c r="I35" s="53"/>
      <c r="J3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5" s="4">
        <f>tblHorasSet[Horas Trabalhadas (1º Período)]+tblHorasSet[Horas Trabalhadas (2º Período)]</f>
        <v>0</v>
      </c>
      <c r="M3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Jornada])+O34</f>
        <v>0</v>
      </c>
      <c r="P35" s="14">
        <f t="shared" si="0"/>
        <v>0</v>
      </c>
      <c r="Q35" s="14" t="str">
        <f>IF(tblHorasSet[Horas Trabalhadas Além Jornada]&lt;0,IF(OR(tblHorasSet[Evento 
(1º Período)]="",tblHorasSet[Evento 
(2º Período)]=""),tblHorasSet[Horas Trabalhadas Além Jornada],""),"")</f>
        <v/>
      </c>
      <c r="R35" s="14" t="str">
        <f>IF(tblHorasSet[Jornada Diária]&lt;&gt;"",IF((N(tblHorasSet[Jornada Diária])-ABS(N(tblHorasSet[Horas Trabalhadas Além Jornada])))=0,1,""),"")</f>
        <v/>
      </c>
      <c r="S3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TEXT(tblHorasSet[Data],"ddd")</f>
        <v/>
      </c>
      <c r="D36" s="25"/>
      <c r="E36" s="1"/>
      <c r="F36" s="1"/>
      <c r="G36" s="1"/>
      <c r="H36" s="1"/>
      <c r="I36" s="53"/>
      <c r="J3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6" s="4">
        <f>tblHorasSet[Horas Trabalhadas (1º Período)]+tblHorasSet[Horas Trabalhadas (2º Período)]</f>
        <v>0</v>
      </c>
      <c r="M3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Jornada])+O35</f>
        <v>0</v>
      </c>
      <c r="P36" s="14">
        <f t="shared" si="0"/>
        <v>0</v>
      </c>
      <c r="Q36" s="14" t="str">
        <f>IF(tblHorasSet[Horas Trabalhadas Além Jornada]&lt;0,IF(OR(tblHorasSet[Evento 
(1º Período)]="",tblHorasSet[Evento 
(2º Período)]=""),tblHorasSet[Horas Trabalhadas Além Jornada],""),"")</f>
        <v/>
      </c>
      <c r="R36" s="14" t="str">
        <f>IF(tblHorasSet[Jornada Diária]&lt;&gt;"",IF((N(tblHorasSet[Jornada Diária])-ABS(N(tblHorasSet[Horas Trabalhadas Além Jornada])))=0,1,""),"")</f>
        <v/>
      </c>
      <c r="S3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TEXT(tblHorasSet[Data],"ddd")</f>
        <v/>
      </c>
      <c r="D37" s="25"/>
      <c r="E37" s="1"/>
      <c r="F37" s="1"/>
      <c r="G37" s="1"/>
      <c r="H37" s="1"/>
      <c r="I37" s="53"/>
      <c r="J3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7" s="4">
        <f>tblHorasSet[Horas Trabalhadas (1º Período)]+tblHorasSet[Horas Trabalhadas (2º Período)]</f>
        <v>0</v>
      </c>
      <c r="M3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Jornada])+O36</f>
        <v>0</v>
      </c>
      <c r="P37" s="14">
        <f t="shared" si="0"/>
        <v>0</v>
      </c>
      <c r="Q37" s="14" t="str">
        <f>IF(tblHorasSet[Horas Trabalhadas Além Jornada]&lt;0,IF(OR(tblHorasSet[Evento 
(1º Período)]="",tblHorasSet[Evento 
(2º Período)]=""),tblHorasSet[Horas Trabalhadas Além Jornada],""),"")</f>
        <v/>
      </c>
      <c r="R37" s="14" t="str">
        <f>IF(tblHorasSet[Jornada Diária]&lt;&gt;"",IF((N(tblHorasSet[Jornada Diária])-ABS(N(tblHorasSet[Horas Trabalhadas Além Jornada])))=0,1,""),"")</f>
        <v/>
      </c>
      <c r="S3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TEXT(tblHorasSet[Data],"ddd")</f>
        <v/>
      </c>
      <c r="D38" s="25"/>
      <c r="E38" s="1"/>
      <c r="F38" s="1"/>
      <c r="G38" s="1"/>
      <c r="H38" s="1"/>
      <c r="I38" s="53"/>
      <c r="J3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8" s="4">
        <f>tblHorasSet[Horas Trabalhadas (1º Período)]+tblHorasSet[Horas Trabalhadas (2º Período)]</f>
        <v>0</v>
      </c>
      <c r="M3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Jornada])+O37</f>
        <v>0</v>
      </c>
      <c r="P38" s="14">
        <f t="shared" si="0"/>
        <v>0</v>
      </c>
      <c r="Q38" s="14" t="str">
        <f>IF(tblHorasSet[Horas Trabalhadas Além Jornada]&lt;0,IF(OR(tblHorasSet[Evento 
(1º Período)]="",tblHorasSet[Evento 
(2º Período)]=""),tblHorasSet[Horas Trabalhadas Além Jornada],""),"")</f>
        <v/>
      </c>
      <c r="R38" s="14" t="str">
        <f>IF(tblHorasSet[Jornada Diária]&lt;&gt;"",IF((N(tblHorasSet[Jornada Diária])-ABS(N(tblHorasSet[Horas Trabalhadas Além Jornada])))=0,1,""),"")</f>
        <v/>
      </c>
      <c r="S3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TEXT(tblHorasSet[Data],"ddd")</f>
        <v/>
      </c>
      <c r="D39" s="25"/>
      <c r="E39" s="1"/>
      <c r="F39" s="1"/>
      <c r="G39" s="1"/>
      <c r="H39" s="1"/>
      <c r="I39" s="53"/>
      <c r="J3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9" s="4">
        <f>tblHorasSet[Horas Trabalhadas (1º Período)]+tblHorasSet[Horas Trabalhadas (2º Período)]</f>
        <v>0</v>
      </c>
      <c r="M3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Jornada])+O38</f>
        <v>0</v>
      </c>
      <c r="P39" s="14">
        <f t="shared" si="0"/>
        <v>0</v>
      </c>
      <c r="Q39" s="14" t="str">
        <f>IF(tblHorasSet[Horas Trabalhadas Além Jornada]&lt;0,IF(OR(tblHorasSet[Evento 
(1º Período)]="",tblHorasSet[Evento 
(2º Período)]=""),tblHorasSet[Horas Trabalhadas Além Jornada],""),"")</f>
        <v/>
      </c>
      <c r="R39" s="14" t="str">
        <f>IF(tblHorasSet[Jornada Diária]&lt;&gt;"",IF((N(tblHorasSet[Jornada Diária])-ABS(N(tblHorasSet[Horas Trabalhadas Além Jornada])))=0,1,""),"")</f>
        <v/>
      </c>
      <c r="S3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kC/jlk2HK90TPiN63g4sH2CokDFp+rwoWwXzkePcisO5IzFWuv1o+wYKJ0ssJj3NQD+88wXARToMiEN8N6VjiQ==" saltValue="xMGSDx6Bg/rv3ZBQNABD0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A596DB89-57CD-4C1E-A732-2AAD34B5DB8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9BB52A16-E3B0-46F1-9D76-A79666615E6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154D9305-35D2-4216-93C4-5A22F95391C2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91962BE0-0ED8-406C-B2B1-9BEB145AE98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0349486E-17F4-470C-BCAD-44CAC49FAB4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8C3DA4F2-1685-4251-913C-1C6407EEE5F6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Outu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72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Setembro!O39</f>
        <v>0</v>
      </c>
      <c r="P7" s="45">
        <f>SUM(tblHorasOut[Atrasos
(horas)])</f>
        <v>0</v>
      </c>
      <c r="Q7" s="45">
        <f>SUM(tblHorasOut[Atrasos
(horas)])</f>
        <v>0</v>
      </c>
      <c r="R7" s="46">
        <f>SUM(tblHorasOut[Faltas
(dias)])</f>
        <v>0</v>
      </c>
      <c r="S7" s="45">
        <f>SUM(tblHorasOut[Hora Extra Normal])</f>
        <v>0</v>
      </c>
      <c r="T7" s="45">
        <f>SUM(tblHorasOut[Hora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TEXT(tblHorasOut[Data],"ddd")</f>
        <v/>
      </c>
      <c r="D9" s="25"/>
      <c r="E9" s="1"/>
      <c r="F9" s="1"/>
      <c r="G9" s="1"/>
      <c r="H9" s="1"/>
      <c r="I9" s="53"/>
      <c r="J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9" s="4">
        <f>tblHorasOut[Horas Trabalhadas (1º Período)]+tblHorasOut[Horas Trabalhadas (2º Período)]</f>
        <v>0</v>
      </c>
      <c r="M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Jornada])+O7</f>
        <v>0</v>
      </c>
      <c r="P9" s="14">
        <f t="shared" ref="P9:P39" si="0">G9-F9</f>
        <v>0</v>
      </c>
      <c r="Q9" s="14" t="str">
        <f>IF(tblHorasOut[Horas Trabalhadas Além Jornada]&lt;0,IF(OR(tblHorasOut[Evento 
(1º Período)]="",tblHorasOut[Evento 
(2º Período)]=""),tblHorasOut[Horas Trabalhadas Além Jornada],""),"")</f>
        <v/>
      </c>
      <c r="R9" s="14" t="str">
        <f>IF(tblHorasOut[Jornada Diária]&lt;&gt;"",IF((N(tblHorasOut[Jornada Diária])-ABS(N(tblHorasOut[Horas Trabalhadas Além Jornada])))=0,1,""),"")</f>
        <v/>
      </c>
      <c r="S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TEXT(tblHorasOut[Data],"ddd")</f>
        <v/>
      </c>
      <c r="D10" s="25"/>
      <c r="E10" s="1"/>
      <c r="F10" s="1"/>
      <c r="G10" s="1"/>
      <c r="H10" s="1"/>
      <c r="I10" s="53"/>
      <c r="J1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0" s="4">
        <f>tblHorasOut[Horas Trabalhadas (1º Período)]+tblHorasOut[Horas Trabalhadas (2º Período)]</f>
        <v>0</v>
      </c>
      <c r="M1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Jornada])+O9</f>
        <v>0</v>
      </c>
      <c r="P10" s="14">
        <f t="shared" si="0"/>
        <v>0</v>
      </c>
      <c r="Q10" s="14" t="str">
        <f>IF(tblHorasOut[Horas Trabalhadas Além Jornada]&lt;0,IF(OR(tblHorasOut[Evento 
(1º Período)]="",tblHorasOut[Evento 
(2º Período)]=""),tblHorasOut[Horas Trabalhadas Além Jornada],""),"")</f>
        <v/>
      </c>
      <c r="R10" s="14" t="str">
        <f>IF(tblHorasOut[Jornada Diária]&lt;&gt;"",IF((N(tblHorasOut[Jornada Diária])-ABS(N(tblHorasOut[Horas Trabalhadas Além Jornada])))=0,1,""),"")</f>
        <v/>
      </c>
      <c r="S1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TEXT(tblHorasOut[Data],"ddd")</f>
        <v/>
      </c>
      <c r="D11" s="25"/>
      <c r="E11" s="1"/>
      <c r="F11" s="1"/>
      <c r="G11" s="1"/>
      <c r="H11" s="1"/>
      <c r="I11" s="53"/>
      <c r="J1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1" s="4">
        <f>tblHorasOut[Horas Trabalhadas (1º Período)]+tblHorasOut[Horas Trabalhadas (2º Período)]</f>
        <v>0</v>
      </c>
      <c r="M1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Jornada])+O10</f>
        <v>0</v>
      </c>
      <c r="P11" s="14">
        <f t="shared" si="0"/>
        <v>0</v>
      </c>
      <c r="Q11" s="14" t="str">
        <f>IF(tblHorasOut[Horas Trabalhadas Além Jornada]&lt;0,IF(OR(tblHorasOut[Evento 
(1º Período)]="",tblHorasOut[Evento 
(2º Período)]=""),tblHorasOut[Horas Trabalhadas Além Jornada],""),"")</f>
        <v/>
      </c>
      <c r="R11" s="14" t="str">
        <f>IF(tblHorasOut[Jornada Diária]&lt;&gt;"",IF((N(tblHorasOut[Jornada Diária])-ABS(N(tblHorasOut[Horas Trabalhadas Além Jornada])))=0,1,""),"")</f>
        <v/>
      </c>
      <c r="S1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TEXT(tblHorasOut[Data],"ddd")</f>
        <v/>
      </c>
      <c r="D12" s="25"/>
      <c r="E12" s="1"/>
      <c r="F12" s="1"/>
      <c r="G12" s="1"/>
      <c r="H12" s="1"/>
      <c r="I12" s="53"/>
      <c r="J1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2" s="4">
        <f>tblHorasOut[Horas Trabalhadas (1º Período)]+tblHorasOut[Horas Trabalhadas (2º Período)]</f>
        <v>0</v>
      </c>
      <c r="M1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Jornada])+O11</f>
        <v>0</v>
      </c>
      <c r="P12" s="14">
        <f t="shared" si="0"/>
        <v>0</v>
      </c>
      <c r="Q12" s="14" t="str">
        <f>IF(tblHorasOut[Horas Trabalhadas Além Jornada]&lt;0,IF(OR(tblHorasOut[Evento 
(1º Período)]="",tblHorasOut[Evento 
(2º Período)]=""),tblHorasOut[Horas Trabalhadas Além Jornada],""),"")</f>
        <v/>
      </c>
      <c r="R12" s="14" t="str">
        <f>IF(tblHorasOut[Jornada Diária]&lt;&gt;"",IF((N(tblHorasOut[Jornada Diária])-ABS(N(tblHorasOut[Horas Trabalhadas Além Jornada])))=0,1,""),"")</f>
        <v/>
      </c>
      <c r="S1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TEXT(tblHorasOut[Data],"ddd")</f>
        <v/>
      </c>
      <c r="D13" s="25"/>
      <c r="E13" s="1"/>
      <c r="F13" s="1"/>
      <c r="G13" s="1"/>
      <c r="H13" s="1"/>
      <c r="I13" s="53"/>
      <c r="J1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3" s="4">
        <f>tblHorasOut[Horas Trabalhadas (1º Período)]+tblHorasOut[Horas Trabalhadas (2º Período)]</f>
        <v>0</v>
      </c>
      <c r="M1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Jornada])+O12</f>
        <v>0</v>
      </c>
      <c r="P13" s="14">
        <f t="shared" si="0"/>
        <v>0</v>
      </c>
      <c r="Q13" s="14" t="str">
        <f>IF(tblHorasOut[Horas Trabalhadas Além Jornada]&lt;0,IF(OR(tblHorasOut[Evento 
(1º Período)]="",tblHorasOut[Evento 
(2º Período)]=""),tblHorasOut[Horas Trabalhadas Além Jornada],""),"")</f>
        <v/>
      </c>
      <c r="R13" s="14" t="str">
        <f>IF(tblHorasOut[Jornada Diária]&lt;&gt;"",IF((N(tblHorasOut[Jornada Diária])-ABS(N(tblHorasOut[Horas Trabalhadas Além Jornada])))=0,1,""),"")</f>
        <v/>
      </c>
      <c r="S1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TEXT(tblHorasOut[Data],"ddd")</f>
        <v/>
      </c>
      <c r="D14" s="25"/>
      <c r="E14" s="1"/>
      <c r="F14" s="1"/>
      <c r="G14" s="1"/>
      <c r="H14" s="1"/>
      <c r="I14" s="53"/>
      <c r="J1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4" s="4">
        <f>tblHorasOut[Horas Trabalhadas (1º Período)]+tblHorasOut[Horas Trabalhadas (2º Período)]</f>
        <v>0</v>
      </c>
      <c r="M1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Jornada])+O13</f>
        <v>0</v>
      </c>
      <c r="P14" s="14">
        <f t="shared" si="0"/>
        <v>0</v>
      </c>
      <c r="Q14" s="14" t="str">
        <f>IF(tblHorasOut[Horas Trabalhadas Além Jornada]&lt;0,IF(OR(tblHorasOut[Evento 
(1º Período)]="",tblHorasOut[Evento 
(2º Período)]=""),tblHorasOut[Horas Trabalhadas Além Jornada],""),"")</f>
        <v/>
      </c>
      <c r="R14" s="14" t="str">
        <f>IF(tblHorasOut[Jornada Diária]&lt;&gt;"",IF((N(tblHorasOut[Jornada Diária])-ABS(N(tblHorasOut[Horas Trabalhadas Além Jornada])))=0,1,""),"")</f>
        <v/>
      </c>
      <c r="S1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TEXT(tblHorasOut[Data],"ddd")</f>
        <v/>
      </c>
      <c r="D15" s="25"/>
      <c r="E15" s="1"/>
      <c r="F15" s="1"/>
      <c r="G15" s="1"/>
      <c r="H15" s="1"/>
      <c r="I15" s="53"/>
      <c r="J1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5" s="4">
        <f>tblHorasOut[Horas Trabalhadas (1º Período)]+tblHorasOut[Horas Trabalhadas (2º Período)]</f>
        <v>0</v>
      </c>
      <c r="M1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Jornada])+O14</f>
        <v>0</v>
      </c>
      <c r="P15" s="14">
        <f t="shared" si="0"/>
        <v>0</v>
      </c>
      <c r="Q15" s="14" t="str">
        <f>IF(tblHorasOut[Horas Trabalhadas Além Jornada]&lt;0,IF(OR(tblHorasOut[Evento 
(1º Período)]="",tblHorasOut[Evento 
(2º Período)]=""),tblHorasOut[Horas Trabalhadas Além Jornada],""),"")</f>
        <v/>
      </c>
      <c r="R15" s="14" t="str">
        <f>IF(tblHorasOut[Jornada Diária]&lt;&gt;"",IF((N(tblHorasOut[Jornada Diária])-ABS(N(tblHorasOut[Horas Trabalhadas Além Jornada])))=0,1,""),"")</f>
        <v/>
      </c>
      <c r="S1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TEXT(tblHorasOut[Data],"ddd")</f>
        <v/>
      </c>
      <c r="D16" s="25"/>
      <c r="E16" s="1"/>
      <c r="F16" s="1"/>
      <c r="G16" s="1"/>
      <c r="H16" s="1"/>
      <c r="I16" s="53"/>
      <c r="J1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6" s="4">
        <f>tblHorasOut[Horas Trabalhadas (1º Período)]+tblHorasOut[Horas Trabalhadas (2º Período)]</f>
        <v>0</v>
      </c>
      <c r="M1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Jornada])+O15</f>
        <v>0</v>
      </c>
      <c r="P16" s="14">
        <f t="shared" si="0"/>
        <v>0</v>
      </c>
      <c r="Q16" s="14" t="str">
        <f>IF(tblHorasOut[Horas Trabalhadas Além Jornada]&lt;0,IF(OR(tblHorasOut[Evento 
(1º Período)]="",tblHorasOut[Evento 
(2º Período)]=""),tblHorasOut[Horas Trabalhadas Além Jornada],""),"")</f>
        <v/>
      </c>
      <c r="R16" s="14" t="str">
        <f>IF(tblHorasOut[Jornada Diária]&lt;&gt;"",IF((N(tblHorasOut[Jornada Diária])-ABS(N(tblHorasOut[Horas Trabalhadas Além Jornada])))=0,1,""),"")</f>
        <v/>
      </c>
      <c r="S1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TEXT(tblHorasOut[Data],"ddd")</f>
        <v/>
      </c>
      <c r="D17" s="25"/>
      <c r="E17" s="1"/>
      <c r="F17" s="1"/>
      <c r="G17" s="1"/>
      <c r="H17" s="1"/>
      <c r="I17" s="53"/>
      <c r="J1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7" s="4">
        <f>tblHorasOut[Horas Trabalhadas (1º Período)]+tblHorasOut[Horas Trabalhadas (2º Período)]</f>
        <v>0</v>
      </c>
      <c r="M1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Jornada])+O16</f>
        <v>0</v>
      </c>
      <c r="P17" s="14">
        <f t="shared" si="0"/>
        <v>0</v>
      </c>
      <c r="Q17" s="14" t="str">
        <f>IF(tblHorasOut[Horas Trabalhadas Além Jornada]&lt;0,IF(OR(tblHorasOut[Evento 
(1º Período)]="",tblHorasOut[Evento 
(2º Período)]=""),tblHorasOut[Horas Trabalhadas Além Jornada],""),"")</f>
        <v/>
      </c>
      <c r="R17" s="14" t="str">
        <f>IF(tblHorasOut[Jornada Diária]&lt;&gt;"",IF((N(tblHorasOut[Jornada Diária])-ABS(N(tblHorasOut[Horas Trabalhadas Além Jornada])))=0,1,""),"")</f>
        <v/>
      </c>
      <c r="S1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TEXT(tblHorasOut[Data],"ddd")</f>
        <v/>
      </c>
      <c r="D18" s="25"/>
      <c r="E18" s="1"/>
      <c r="F18" s="1"/>
      <c r="G18" s="1"/>
      <c r="H18" s="1"/>
      <c r="I18" s="53"/>
      <c r="J1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8" s="4">
        <f>tblHorasOut[Horas Trabalhadas (1º Período)]+tblHorasOut[Horas Trabalhadas (2º Período)]</f>
        <v>0</v>
      </c>
      <c r="M1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Jornada])+O17</f>
        <v>0</v>
      </c>
      <c r="P18" s="14">
        <f t="shared" si="0"/>
        <v>0</v>
      </c>
      <c r="Q18" s="14" t="str">
        <f>IF(tblHorasOut[Horas Trabalhadas Além Jornada]&lt;0,IF(OR(tblHorasOut[Evento 
(1º Período)]="",tblHorasOut[Evento 
(2º Período)]=""),tblHorasOut[Horas Trabalhadas Além Jornada],""),"")</f>
        <v/>
      </c>
      <c r="R18" s="14" t="str">
        <f>IF(tblHorasOut[Jornada Diária]&lt;&gt;"",IF((N(tblHorasOut[Jornada Diária])-ABS(N(tblHorasOut[Horas Trabalhadas Além Jornada])))=0,1,""),"")</f>
        <v/>
      </c>
      <c r="S1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TEXT(tblHorasOut[Data],"ddd")</f>
        <v/>
      </c>
      <c r="D19" s="25"/>
      <c r="E19" s="1"/>
      <c r="F19" s="1"/>
      <c r="G19" s="1"/>
      <c r="H19" s="1"/>
      <c r="I19" s="53"/>
      <c r="J1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9" s="4">
        <f>tblHorasOut[Horas Trabalhadas (1º Período)]+tblHorasOut[Horas Trabalhadas (2º Período)]</f>
        <v>0</v>
      </c>
      <c r="M1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Jornada])+O18</f>
        <v>0</v>
      </c>
      <c r="P19" s="14">
        <f t="shared" si="0"/>
        <v>0</v>
      </c>
      <c r="Q19" s="14" t="str">
        <f>IF(tblHorasOut[Horas Trabalhadas Além Jornada]&lt;0,IF(OR(tblHorasOut[Evento 
(1º Período)]="",tblHorasOut[Evento 
(2º Período)]=""),tblHorasOut[Horas Trabalhadas Além Jornada],""),"")</f>
        <v/>
      </c>
      <c r="R19" s="14" t="str">
        <f>IF(tblHorasOut[Jornada Diária]&lt;&gt;"",IF((N(tblHorasOut[Jornada Diária])-ABS(N(tblHorasOut[Horas Trabalhadas Além Jornada])))=0,1,""),"")</f>
        <v/>
      </c>
      <c r="S1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TEXT(tblHorasOut[Data],"ddd")</f>
        <v/>
      </c>
      <c r="D20" s="25"/>
      <c r="E20" s="1"/>
      <c r="F20" s="1"/>
      <c r="G20" s="1"/>
      <c r="H20" s="1"/>
      <c r="I20" s="53"/>
      <c r="J2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0" s="4">
        <f>tblHorasOut[Horas Trabalhadas (1º Período)]+tblHorasOut[Horas Trabalhadas (2º Período)]</f>
        <v>0</v>
      </c>
      <c r="M2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Jornada])+O19</f>
        <v>0</v>
      </c>
      <c r="P20" s="14">
        <f t="shared" si="0"/>
        <v>0</v>
      </c>
      <c r="Q20" s="14" t="str">
        <f>IF(tblHorasOut[Horas Trabalhadas Além Jornada]&lt;0,IF(OR(tblHorasOut[Evento 
(1º Período)]="",tblHorasOut[Evento 
(2º Período)]=""),tblHorasOut[Horas Trabalhadas Além Jornada],""),"")</f>
        <v/>
      </c>
      <c r="R20" s="14" t="str">
        <f>IF(tblHorasOut[Jornada Diária]&lt;&gt;"",IF((N(tblHorasOut[Jornada Diária])-ABS(N(tblHorasOut[Horas Trabalhadas Além Jornada])))=0,1,""),"")</f>
        <v/>
      </c>
      <c r="S2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TEXT(tblHorasOut[Data],"ddd")</f>
        <v/>
      </c>
      <c r="D21" s="25"/>
      <c r="E21" s="1"/>
      <c r="F21" s="1"/>
      <c r="G21" s="1"/>
      <c r="H21" s="1"/>
      <c r="I21" s="53"/>
      <c r="J2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1" s="4">
        <f>tblHorasOut[Horas Trabalhadas (1º Período)]+tblHorasOut[Horas Trabalhadas (2º Período)]</f>
        <v>0</v>
      </c>
      <c r="M2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Jornada])+O20</f>
        <v>0</v>
      </c>
      <c r="P21" s="14">
        <f t="shared" si="0"/>
        <v>0</v>
      </c>
      <c r="Q21" s="14" t="str">
        <f>IF(tblHorasOut[Horas Trabalhadas Além Jornada]&lt;0,IF(OR(tblHorasOut[Evento 
(1º Período)]="",tblHorasOut[Evento 
(2º Período)]=""),tblHorasOut[Horas Trabalhadas Além Jornada],""),"")</f>
        <v/>
      </c>
      <c r="R21" s="14" t="str">
        <f>IF(tblHorasOut[Jornada Diária]&lt;&gt;"",IF((N(tblHorasOut[Jornada Diária])-ABS(N(tblHorasOut[Horas Trabalhadas Além Jornada])))=0,1,""),"")</f>
        <v/>
      </c>
      <c r="S2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TEXT(tblHorasOut[Data],"ddd")</f>
        <v/>
      </c>
      <c r="D22" s="25"/>
      <c r="E22" s="1"/>
      <c r="F22" s="1"/>
      <c r="G22" s="1"/>
      <c r="H22" s="1"/>
      <c r="I22" s="53"/>
      <c r="J2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2" s="4">
        <f>tblHorasOut[Horas Trabalhadas (1º Período)]+tblHorasOut[Horas Trabalhadas (2º Período)]</f>
        <v>0</v>
      </c>
      <c r="M2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Jornada])+O21</f>
        <v>0</v>
      </c>
      <c r="P22" s="14">
        <f t="shared" si="0"/>
        <v>0</v>
      </c>
      <c r="Q22" s="14" t="str">
        <f>IF(tblHorasOut[Horas Trabalhadas Além Jornada]&lt;0,IF(OR(tblHorasOut[Evento 
(1º Período)]="",tblHorasOut[Evento 
(2º Período)]=""),tblHorasOut[Horas Trabalhadas Além Jornada],""),"")</f>
        <v/>
      </c>
      <c r="R22" s="14" t="str">
        <f>IF(tblHorasOut[Jornada Diária]&lt;&gt;"",IF((N(tblHorasOut[Jornada Diária])-ABS(N(tblHorasOut[Horas Trabalhadas Além Jornada])))=0,1,""),"")</f>
        <v/>
      </c>
      <c r="S2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TEXT(tblHorasOut[Data],"ddd")</f>
        <v/>
      </c>
      <c r="D23" s="25"/>
      <c r="E23" s="1"/>
      <c r="F23" s="1"/>
      <c r="G23" s="1"/>
      <c r="H23" s="1"/>
      <c r="I23" s="53"/>
      <c r="J2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3" s="4">
        <f>tblHorasOut[Horas Trabalhadas (1º Período)]+tblHorasOut[Horas Trabalhadas (2º Período)]</f>
        <v>0</v>
      </c>
      <c r="M2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Jornada])+O22</f>
        <v>0</v>
      </c>
      <c r="P23" s="14">
        <f t="shared" si="0"/>
        <v>0</v>
      </c>
      <c r="Q23" s="14" t="str">
        <f>IF(tblHorasOut[Horas Trabalhadas Além Jornada]&lt;0,IF(OR(tblHorasOut[Evento 
(1º Período)]="",tblHorasOut[Evento 
(2º Período)]=""),tblHorasOut[Horas Trabalhadas Além Jornada],""),"")</f>
        <v/>
      </c>
      <c r="R23" s="14" t="str">
        <f>IF(tblHorasOut[Jornada Diária]&lt;&gt;"",IF((N(tblHorasOut[Jornada Diária])-ABS(N(tblHorasOut[Horas Trabalhadas Além Jornada])))=0,1,""),"")</f>
        <v/>
      </c>
      <c r="S2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TEXT(tblHorasOut[Data],"ddd")</f>
        <v/>
      </c>
      <c r="D24" s="25"/>
      <c r="E24" s="1"/>
      <c r="F24" s="1"/>
      <c r="G24" s="1"/>
      <c r="H24" s="1"/>
      <c r="I24" s="53"/>
      <c r="J2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4" s="4">
        <f>tblHorasOut[Horas Trabalhadas (1º Período)]+tblHorasOut[Horas Trabalhadas (2º Período)]</f>
        <v>0</v>
      </c>
      <c r="M2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Jornada])+O23</f>
        <v>0</v>
      </c>
      <c r="P24" s="14">
        <f t="shared" si="0"/>
        <v>0</v>
      </c>
      <c r="Q24" s="14" t="str">
        <f>IF(tblHorasOut[Horas Trabalhadas Além Jornada]&lt;0,IF(OR(tblHorasOut[Evento 
(1º Período)]="",tblHorasOut[Evento 
(2º Período)]=""),tblHorasOut[Horas Trabalhadas Além Jornada],""),"")</f>
        <v/>
      </c>
      <c r="R24" s="14" t="str">
        <f>IF(tblHorasOut[Jornada Diária]&lt;&gt;"",IF((N(tblHorasOut[Jornada Diária])-ABS(N(tblHorasOut[Horas Trabalhadas Além Jornada])))=0,1,""),"")</f>
        <v/>
      </c>
      <c r="S2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TEXT(tblHorasOut[Data],"ddd")</f>
        <v/>
      </c>
      <c r="D25" s="25"/>
      <c r="E25" s="1"/>
      <c r="F25" s="1"/>
      <c r="G25" s="1"/>
      <c r="H25" s="1"/>
      <c r="I25" s="53"/>
      <c r="J2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5" s="4">
        <f>tblHorasOut[Horas Trabalhadas (1º Período)]+tblHorasOut[Horas Trabalhadas (2º Período)]</f>
        <v>0</v>
      </c>
      <c r="M2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Jornada])+O24</f>
        <v>0</v>
      </c>
      <c r="P25" s="14">
        <f t="shared" si="0"/>
        <v>0</v>
      </c>
      <c r="Q25" s="14" t="str">
        <f>IF(tblHorasOut[Horas Trabalhadas Além Jornada]&lt;0,IF(OR(tblHorasOut[Evento 
(1º Período)]="",tblHorasOut[Evento 
(2º Período)]=""),tblHorasOut[Horas Trabalhadas Além Jornada],""),"")</f>
        <v/>
      </c>
      <c r="R25" s="14" t="str">
        <f>IF(tblHorasOut[Jornada Diária]&lt;&gt;"",IF((N(tblHorasOut[Jornada Diária])-ABS(N(tblHorasOut[Horas Trabalhadas Além Jornada])))=0,1,""),"")</f>
        <v/>
      </c>
      <c r="S2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TEXT(tblHorasOut[Data],"ddd")</f>
        <v/>
      </c>
      <c r="D26" s="25"/>
      <c r="E26" s="1"/>
      <c r="F26" s="1"/>
      <c r="G26" s="1"/>
      <c r="H26" s="1"/>
      <c r="I26" s="53"/>
      <c r="J2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6" s="4">
        <f>tblHorasOut[Horas Trabalhadas (1º Período)]+tblHorasOut[Horas Trabalhadas (2º Período)]</f>
        <v>0</v>
      </c>
      <c r="M2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Jornada])+O25</f>
        <v>0</v>
      </c>
      <c r="P26" s="14">
        <f t="shared" si="0"/>
        <v>0</v>
      </c>
      <c r="Q26" s="14" t="str">
        <f>IF(tblHorasOut[Horas Trabalhadas Além Jornada]&lt;0,IF(OR(tblHorasOut[Evento 
(1º Período)]="",tblHorasOut[Evento 
(2º Período)]=""),tblHorasOut[Horas Trabalhadas Além Jornada],""),"")</f>
        <v/>
      </c>
      <c r="R26" s="14" t="str">
        <f>IF(tblHorasOut[Jornada Diária]&lt;&gt;"",IF((N(tblHorasOut[Jornada Diária])-ABS(N(tblHorasOut[Horas Trabalhadas Além Jornada])))=0,1,""),"")</f>
        <v/>
      </c>
      <c r="S2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TEXT(tblHorasOut[Data],"ddd")</f>
        <v/>
      </c>
      <c r="D27" s="25"/>
      <c r="E27" s="1"/>
      <c r="F27" s="1"/>
      <c r="G27" s="1"/>
      <c r="H27" s="1"/>
      <c r="I27" s="53"/>
      <c r="J2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7" s="4">
        <f>tblHorasOut[Horas Trabalhadas (1º Período)]+tblHorasOut[Horas Trabalhadas (2º Período)]</f>
        <v>0</v>
      </c>
      <c r="M2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Jornada])+O26</f>
        <v>0</v>
      </c>
      <c r="P27" s="14">
        <f t="shared" si="0"/>
        <v>0</v>
      </c>
      <c r="Q27" s="14" t="str">
        <f>IF(tblHorasOut[Horas Trabalhadas Além Jornada]&lt;0,IF(OR(tblHorasOut[Evento 
(1º Período)]="",tblHorasOut[Evento 
(2º Período)]=""),tblHorasOut[Horas Trabalhadas Além Jornada],""),"")</f>
        <v/>
      </c>
      <c r="R27" s="14" t="str">
        <f>IF(tblHorasOut[Jornada Diária]&lt;&gt;"",IF((N(tblHorasOut[Jornada Diária])-ABS(N(tblHorasOut[Horas Trabalhadas Além Jornada])))=0,1,""),"")</f>
        <v/>
      </c>
      <c r="S2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TEXT(tblHorasOut[Data],"ddd")</f>
        <v/>
      </c>
      <c r="D28" s="25"/>
      <c r="E28" s="1"/>
      <c r="F28" s="1"/>
      <c r="G28" s="1"/>
      <c r="H28" s="1"/>
      <c r="I28" s="53"/>
      <c r="J2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8" s="4">
        <f>tblHorasOut[Horas Trabalhadas (1º Período)]+tblHorasOut[Horas Trabalhadas (2º Período)]</f>
        <v>0</v>
      </c>
      <c r="M2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Jornada])+O27</f>
        <v>0</v>
      </c>
      <c r="P28" s="14">
        <f t="shared" si="0"/>
        <v>0</v>
      </c>
      <c r="Q28" s="14" t="str">
        <f>IF(tblHorasOut[Horas Trabalhadas Além Jornada]&lt;0,IF(OR(tblHorasOut[Evento 
(1º Período)]="",tblHorasOut[Evento 
(2º Período)]=""),tblHorasOut[Horas Trabalhadas Além Jornada],""),"")</f>
        <v/>
      </c>
      <c r="R28" s="14" t="str">
        <f>IF(tblHorasOut[Jornada Diária]&lt;&gt;"",IF((N(tblHorasOut[Jornada Diária])-ABS(N(tblHorasOut[Horas Trabalhadas Além Jornada])))=0,1,""),"")</f>
        <v/>
      </c>
      <c r="S2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TEXT(tblHorasOut[Data],"ddd")</f>
        <v/>
      </c>
      <c r="D29" s="25"/>
      <c r="E29" s="1"/>
      <c r="F29" s="1"/>
      <c r="G29" s="1"/>
      <c r="H29" s="1"/>
      <c r="I29" s="53"/>
      <c r="J2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9" s="4">
        <f>tblHorasOut[Horas Trabalhadas (1º Período)]+tblHorasOut[Horas Trabalhadas (2º Período)]</f>
        <v>0</v>
      </c>
      <c r="M2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Jornada])+O28</f>
        <v>0</v>
      </c>
      <c r="P29" s="14">
        <f t="shared" si="0"/>
        <v>0</v>
      </c>
      <c r="Q29" s="14" t="str">
        <f>IF(tblHorasOut[Horas Trabalhadas Além Jornada]&lt;0,IF(OR(tblHorasOut[Evento 
(1º Período)]="",tblHorasOut[Evento 
(2º Período)]=""),tblHorasOut[Horas Trabalhadas Além Jornada],""),"")</f>
        <v/>
      </c>
      <c r="R29" s="14" t="str">
        <f>IF(tblHorasOut[Jornada Diária]&lt;&gt;"",IF((N(tblHorasOut[Jornada Diária])-ABS(N(tblHorasOut[Horas Trabalhadas Além Jornada])))=0,1,""),"")</f>
        <v/>
      </c>
      <c r="S2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TEXT(tblHorasOut[Data],"ddd")</f>
        <v/>
      </c>
      <c r="D30" s="25"/>
      <c r="E30" s="1"/>
      <c r="F30" s="1"/>
      <c r="G30" s="1"/>
      <c r="H30" s="1"/>
      <c r="I30" s="53"/>
      <c r="J3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0" s="4">
        <f>tblHorasOut[Horas Trabalhadas (1º Período)]+tblHorasOut[Horas Trabalhadas (2º Período)]</f>
        <v>0</v>
      </c>
      <c r="M3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Jornada])+O29</f>
        <v>0</v>
      </c>
      <c r="P30" s="14">
        <f t="shared" si="0"/>
        <v>0</v>
      </c>
      <c r="Q30" s="14" t="str">
        <f>IF(tblHorasOut[Horas Trabalhadas Além Jornada]&lt;0,IF(OR(tblHorasOut[Evento 
(1º Período)]="",tblHorasOut[Evento 
(2º Período)]=""),tblHorasOut[Horas Trabalhadas Além Jornada],""),"")</f>
        <v/>
      </c>
      <c r="R30" s="14" t="str">
        <f>IF(tblHorasOut[Jornada Diária]&lt;&gt;"",IF((N(tblHorasOut[Jornada Diária])-ABS(N(tblHorasOut[Horas Trabalhadas Além Jornada])))=0,1,""),"")</f>
        <v/>
      </c>
      <c r="S3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TEXT(tblHorasOut[Data],"ddd")</f>
        <v/>
      </c>
      <c r="D31" s="25"/>
      <c r="E31" s="1"/>
      <c r="F31" s="1"/>
      <c r="G31" s="1"/>
      <c r="H31" s="1"/>
      <c r="I31" s="53"/>
      <c r="J3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1" s="4">
        <f>tblHorasOut[Horas Trabalhadas (1º Período)]+tblHorasOut[Horas Trabalhadas (2º Período)]</f>
        <v>0</v>
      </c>
      <c r="M3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Jornada])+O30</f>
        <v>0</v>
      </c>
      <c r="P31" s="14">
        <f t="shared" si="0"/>
        <v>0</v>
      </c>
      <c r="Q31" s="14" t="str">
        <f>IF(tblHorasOut[Horas Trabalhadas Além Jornada]&lt;0,IF(OR(tblHorasOut[Evento 
(1º Período)]="",tblHorasOut[Evento 
(2º Período)]=""),tblHorasOut[Horas Trabalhadas Além Jornada],""),"")</f>
        <v/>
      </c>
      <c r="R31" s="14" t="str">
        <f>IF(tblHorasOut[Jornada Diária]&lt;&gt;"",IF((N(tblHorasOut[Jornada Diária])-ABS(N(tblHorasOut[Horas Trabalhadas Além Jornada])))=0,1,""),"")</f>
        <v/>
      </c>
      <c r="S3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TEXT(tblHorasOut[Data],"ddd")</f>
        <v/>
      </c>
      <c r="D32" s="25"/>
      <c r="E32" s="1"/>
      <c r="F32" s="1"/>
      <c r="G32" s="1"/>
      <c r="H32" s="1"/>
      <c r="I32" s="53"/>
      <c r="J3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2" s="4">
        <f>tblHorasOut[Horas Trabalhadas (1º Período)]+tblHorasOut[Horas Trabalhadas (2º Período)]</f>
        <v>0</v>
      </c>
      <c r="M3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Jornada])+O31</f>
        <v>0</v>
      </c>
      <c r="P32" s="14">
        <f t="shared" si="0"/>
        <v>0</v>
      </c>
      <c r="Q32" s="14" t="str">
        <f>IF(tblHorasOut[Horas Trabalhadas Além Jornada]&lt;0,IF(OR(tblHorasOut[Evento 
(1º Período)]="",tblHorasOut[Evento 
(2º Período)]=""),tblHorasOut[Horas Trabalhadas Além Jornada],""),"")</f>
        <v/>
      </c>
      <c r="R32" s="14" t="str">
        <f>IF(tblHorasOut[Jornada Diária]&lt;&gt;"",IF((N(tblHorasOut[Jornada Diária])-ABS(N(tblHorasOut[Horas Trabalhadas Além Jornada])))=0,1,""),"")</f>
        <v/>
      </c>
      <c r="S3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TEXT(tblHorasOut[Data],"ddd")</f>
        <v/>
      </c>
      <c r="D33" s="25"/>
      <c r="E33" s="1"/>
      <c r="F33" s="1"/>
      <c r="G33" s="1"/>
      <c r="H33" s="1"/>
      <c r="I33" s="53"/>
      <c r="J3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3" s="4">
        <f>tblHorasOut[Horas Trabalhadas (1º Período)]+tblHorasOut[Horas Trabalhadas (2º Período)]</f>
        <v>0</v>
      </c>
      <c r="M3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Jornada])+O32</f>
        <v>0</v>
      </c>
      <c r="P33" s="14">
        <f t="shared" si="0"/>
        <v>0</v>
      </c>
      <c r="Q33" s="14" t="str">
        <f>IF(tblHorasOut[Horas Trabalhadas Além Jornada]&lt;0,IF(OR(tblHorasOut[Evento 
(1º Período)]="",tblHorasOut[Evento 
(2º Período)]=""),tblHorasOut[Horas Trabalhadas Além Jornada],""),"")</f>
        <v/>
      </c>
      <c r="R33" s="14" t="str">
        <f>IF(tblHorasOut[Jornada Diária]&lt;&gt;"",IF((N(tblHorasOut[Jornada Diária])-ABS(N(tblHorasOut[Horas Trabalhadas Além Jornada])))=0,1,""),"")</f>
        <v/>
      </c>
      <c r="S3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TEXT(tblHorasOut[Data],"ddd")</f>
        <v/>
      </c>
      <c r="D34" s="25"/>
      <c r="E34" s="1"/>
      <c r="F34" s="1"/>
      <c r="G34" s="1"/>
      <c r="H34" s="1"/>
      <c r="I34" s="53"/>
      <c r="J3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4" s="4">
        <f>tblHorasOut[Horas Trabalhadas (1º Período)]+tblHorasOut[Horas Trabalhadas (2º Período)]</f>
        <v>0</v>
      </c>
      <c r="M3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Jornada])+O33</f>
        <v>0</v>
      </c>
      <c r="P34" s="14">
        <f t="shared" si="0"/>
        <v>0</v>
      </c>
      <c r="Q34" s="14" t="str">
        <f>IF(tblHorasOut[Horas Trabalhadas Além Jornada]&lt;0,IF(OR(tblHorasOut[Evento 
(1º Período)]="",tblHorasOut[Evento 
(2º Período)]=""),tblHorasOut[Horas Trabalhadas Além Jornada],""),"")</f>
        <v/>
      </c>
      <c r="R34" s="14" t="str">
        <f>IF(tblHorasOut[Jornada Diária]&lt;&gt;"",IF((N(tblHorasOut[Jornada Diária])-ABS(N(tblHorasOut[Horas Trabalhadas Além Jornada])))=0,1,""),"")</f>
        <v/>
      </c>
      <c r="S3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TEXT(tblHorasOut[Data],"ddd")</f>
        <v/>
      </c>
      <c r="D35" s="25"/>
      <c r="E35" s="1"/>
      <c r="F35" s="1"/>
      <c r="G35" s="1"/>
      <c r="H35" s="1"/>
      <c r="I35" s="53"/>
      <c r="J3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5" s="4">
        <f>tblHorasOut[Horas Trabalhadas (1º Período)]+tblHorasOut[Horas Trabalhadas (2º Período)]</f>
        <v>0</v>
      </c>
      <c r="M3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Jornada])+O34</f>
        <v>0</v>
      </c>
      <c r="P35" s="14">
        <f t="shared" si="0"/>
        <v>0</v>
      </c>
      <c r="Q35" s="14" t="str">
        <f>IF(tblHorasOut[Horas Trabalhadas Além Jornada]&lt;0,IF(OR(tblHorasOut[Evento 
(1º Período)]="",tblHorasOut[Evento 
(2º Período)]=""),tblHorasOut[Horas Trabalhadas Além Jornada],""),"")</f>
        <v/>
      </c>
      <c r="R35" s="14" t="str">
        <f>IF(tblHorasOut[Jornada Diária]&lt;&gt;"",IF((N(tblHorasOut[Jornada Diária])-ABS(N(tblHorasOut[Horas Trabalhadas Além Jornada])))=0,1,""),"")</f>
        <v/>
      </c>
      <c r="S3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TEXT(tblHorasOut[Data],"ddd")</f>
        <v/>
      </c>
      <c r="D36" s="25"/>
      <c r="E36" s="1"/>
      <c r="F36" s="1"/>
      <c r="G36" s="1"/>
      <c r="H36" s="1"/>
      <c r="I36" s="53"/>
      <c r="J3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6" s="4">
        <f>tblHorasOut[Horas Trabalhadas (1º Período)]+tblHorasOut[Horas Trabalhadas (2º Período)]</f>
        <v>0</v>
      </c>
      <c r="M3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Jornada])+O35</f>
        <v>0</v>
      </c>
      <c r="P36" s="14">
        <f t="shared" si="0"/>
        <v>0</v>
      </c>
      <c r="Q36" s="14" t="str">
        <f>IF(tblHorasOut[Horas Trabalhadas Além Jornada]&lt;0,IF(OR(tblHorasOut[Evento 
(1º Período)]="",tblHorasOut[Evento 
(2º Período)]=""),tblHorasOut[Horas Trabalhadas Além Jornada],""),"")</f>
        <v/>
      </c>
      <c r="R36" s="14" t="str">
        <f>IF(tblHorasOut[Jornada Diária]&lt;&gt;"",IF((N(tblHorasOut[Jornada Diária])-ABS(N(tblHorasOut[Horas Trabalhadas Além Jornada])))=0,1,""),"")</f>
        <v/>
      </c>
      <c r="S3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TEXT(tblHorasOut[Data],"ddd")</f>
        <v/>
      </c>
      <c r="D37" s="25"/>
      <c r="E37" s="1"/>
      <c r="F37" s="1"/>
      <c r="G37" s="1"/>
      <c r="H37" s="1"/>
      <c r="I37" s="53"/>
      <c r="J3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7" s="4">
        <f>tblHorasOut[Horas Trabalhadas (1º Período)]+tblHorasOut[Horas Trabalhadas (2º Período)]</f>
        <v>0</v>
      </c>
      <c r="M3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Jornada])+O36</f>
        <v>0</v>
      </c>
      <c r="P37" s="14">
        <f t="shared" si="0"/>
        <v>0</v>
      </c>
      <c r="Q37" s="14" t="str">
        <f>IF(tblHorasOut[Horas Trabalhadas Além Jornada]&lt;0,IF(OR(tblHorasOut[Evento 
(1º Período)]="",tblHorasOut[Evento 
(2º Período)]=""),tblHorasOut[Horas Trabalhadas Além Jornada],""),"")</f>
        <v/>
      </c>
      <c r="R37" s="14" t="str">
        <f>IF(tblHorasOut[Jornada Diária]&lt;&gt;"",IF((N(tblHorasOut[Jornada Diária])-ABS(N(tblHorasOut[Horas Trabalhadas Além Jornada])))=0,1,""),"")</f>
        <v/>
      </c>
      <c r="S3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TEXT(tblHorasOut[Data],"ddd")</f>
        <v/>
      </c>
      <c r="D38" s="25"/>
      <c r="E38" s="1"/>
      <c r="F38" s="1"/>
      <c r="G38" s="1"/>
      <c r="H38" s="1"/>
      <c r="I38" s="53"/>
      <c r="J3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8" s="4">
        <f>tblHorasOut[Horas Trabalhadas (1º Período)]+tblHorasOut[Horas Trabalhadas (2º Período)]</f>
        <v>0</v>
      </c>
      <c r="M3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Jornada])+O37</f>
        <v>0</v>
      </c>
      <c r="P38" s="14">
        <f t="shared" si="0"/>
        <v>0</v>
      </c>
      <c r="Q38" s="14" t="str">
        <f>IF(tblHorasOut[Horas Trabalhadas Além Jornada]&lt;0,IF(OR(tblHorasOut[Evento 
(1º Período)]="",tblHorasOut[Evento 
(2º Período)]=""),tblHorasOut[Horas Trabalhadas Além Jornada],""),"")</f>
        <v/>
      </c>
      <c r="R38" s="14" t="str">
        <f>IF(tblHorasOut[Jornada Diária]&lt;&gt;"",IF((N(tblHorasOut[Jornada Diária])-ABS(N(tblHorasOut[Horas Trabalhadas Além Jornada])))=0,1,""),"")</f>
        <v/>
      </c>
      <c r="S3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TEXT(tblHorasOut[Data],"ddd")</f>
        <v/>
      </c>
      <c r="D39" s="25"/>
      <c r="E39" s="1"/>
      <c r="F39" s="1"/>
      <c r="G39" s="1"/>
      <c r="H39" s="1"/>
      <c r="I39" s="53"/>
      <c r="J3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9" s="4">
        <f>tblHorasOut[Horas Trabalhadas (1º Período)]+tblHorasOut[Horas Trabalhadas (2º Período)]</f>
        <v>0</v>
      </c>
      <c r="M3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Jornada])+O38</f>
        <v>0</v>
      </c>
      <c r="P39" s="14">
        <f t="shared" si="0"/>
        <v>0</v>
      </c>
      <c r="Q39" s="14" t="str">
        <f>IF(tblHorasOut[Horas Trabalhadas Além Jornada]&lt;0,IF(OR(tblHorasOut[Evento 
(1º Período)]="",tblHorasOut[Evento 
(2º Período)]=""),tblHorasOut[Horas Trabalhadas Além Jornada],""),"")</f>
        <v/>
      </c>
      <c r="R39" s="14" t="str">
        <f>IF(tblHorasOut[Jornada Diária]&lt;&gt;"",IF((N(tblHorasOut[Jornada Diária])-ABS(N(tblHorasOut[Horas Trabalhadas Além Jornada])))=0,1,""),"")</f>
        <v/>
      </c>
      <c r="S3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grfmrZBk8oFYa1qE+AyLZ5e73ILkRyva0Sklh24gF/2NZAtTekdS1ewcaiH8JtMm90opF5dhCCKEtO6/22XuIg==" saltValue="3SE2ErILIWJQLdb/9t1tsg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A46215E-DFB6-4B0E-910E-7788D787901C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779B240B-3BFD-4C0B-B3CB-B618865D36C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19DEF129-938D-4536-B7B8-4E0C23F7070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051497C1-3DD8-452D-B29F-AE81861CFE6E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C388BAEE-57CD-4AEF-9421-E60E5F98347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B0CF6406-7FE0-4345-A46A-76939516CA58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Nov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73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Outubro!O39</f>
        <v>0</v>
      </c>
      <c r="P7" s="45">
        <f>SUM(tblHorasNov[Atrasos
(horas)])</f>
        <v>0</v>
      </c>
      <c r="Q7" s="45">
        <f>SUM(tblHorasNov[Atrasos
(horas)])</f>
        <v>0</v>
      </c>
      <c r="R7" s="46">
        <f>SUM(tblHorasNov[Faltas
(dias)])</f>
        <v>0</v>
      </c>
      <c r="S7" s="45">
        <f>SUM(tblHorasNov[Hora Extra Normal])</f>
        <v>0</v>
      </c>
      <c r="T7" s="45">
        <f>SUM(tblHorasNov[Hora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TEXT(tblHorasNov[Data],"ddd")</f>
        <v/>
      </c>
      <c r="D9" s="25"/>
      <c r="E9" s="1"/>
      <c r="F9" s="1"/>
      <c r="G9" s="1"/>
      <c r="H9" s="1"/>
      <c r="I9" s="53"/>
      <c r="J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9" s="4">
        <f>tblHorasNov[Horas Trabalhadas (1º Período)]+tblHorasNov[Horas Trabalhadas (2º Período)]</f>
        <v>0</v>
      </c>
      <c r="M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Jornada])+O7</f>
        <v>0</v>
      </c>
      <c r="P9" s="14">
        <f t="shared" ref="P9:P39" si="0">G9-F9</f>
        <v>0</v>
      </c>
      <c r="Q9" s="14" t="str">
        <f>IF(tblHorasNov[Horas Trabalhadas Além Jornada]&lt;0,IF(OR(tblHorasNov[Evento 
(1º Período)]="",tblHorasNov[Evento 
(2º Período)]=""),tblHorasNov[Horas Trabalhadas Além Jornada],""),"")</f>
        <v/>
      </c>
      <c r="R9" s="14" t="str">
        <f>IF(tblHorasNov[Jornada Diária]&lt;&gt;"",IF((N(tblHorasNov[Jornada Diária])-ABS(N(tblHorasNov[Horas Trabalhadas Além Jornada])))=0,1,""),"")</f>
        <v/>
      </c>
      <c r="S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TEXT(tblHorasNov[Data],"ddd")</f>
        <v/>
      </c>
      <c r="D10" s="25"/>
      <c r="E10" s="1"/>
      <c r="F10" s="1"/>
      <c r="G10" s="1"/>
      <c r="H10" s="1"/>
      <c r="I10" s="53"/>
      <c r="J1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0" s="4">
        <f>tblHorasNov[Horas Trabalhadas (1º Período)]+tblHorasNov[Horas Trabalhadas (2º Período)]</f>
        <v>0</v>
      </c>
      <c r="M1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Jornada])+O9</f>
        <v>0</v>
      </c>
      <c r="P10" s="14">
        <f t="shared" si="0"/>
        <v>0</v>
      </c>
      <c r="Q10" s="14" t="str">
        <f>IF(tblHorasNov[Horas Trabalhadas Além Jornada]&lt;0,IF(OR(tblHorasNov[Evento 
(1º Período)]="",tblHorasNov[Evento 
(2º Período)]=""),tblHorasNov[Horas Trabalhadas Além Jornada],""),"")</f>
        <v/>
      </c>
      <c r="R10" s="14" t="str">
        <f>IF(tblHorasNov[Jornada Diária]&lt;&gt;"",IF((N(tblHorasNov[Jornada Diária])-ABS(N(tblHorasNov[Horas Trabalhadas Além Jornada])))=0,1,""),"")</f>
        <v/>
      </c>
      <c r="S1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TEXT(tblHorasNov[Data],"ddd")</f>
        <v/>
      </c>
      <c r="D11" s="25"/>
      <c r="E11" s="1"/>
      <c r="F11" s="1"/>
      <c r="G11" s="1"/>
      <c r="H11" s="1"/>
      <c r="I11" s="53"/>
      <c r="J1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1" s="4">
        <f>tblHorasNov[Horas Trabalhadas (1º Período)]+tblHorasNov[Horas Trabalhadas (2º Período)]</f>
        <v>0</v>
      </c>
      <c r="M1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Jornada])+O10</f>
        <v>0</v>
      </c>
      <c r="P11" s="14">
        <f t="shared" si="0"/>
        <v>0</v>
      </c>
      <c r="Q11" s="14" t="str">
        <f>IF(tblHorasNov[Horas Trabalhadas Além Jornada]&lt;0,IF(OR(tblHorasNov[Evento 
(1º Período)]="",tblHorasNov[Evento 
(2º Período)]=""),tblHorasNov[Horas Trabalhadas Além Jornada],""),"")</f>
        <v/>
      </c>
      <c r="R11" s="14" t="str">
        <f>IF(tblHorasNov[Jornada Diária]&lt;&gt;"",IF((N(tblHorasNov[Jornada Diária])-ABS(N(tblHorasNov[Horas Trabalhadas Além Jornada])))=0,1,""),"")</f>
        <v/>
      </c>
      <c r="S1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TEXT(tblHorasNov[Data],"ddd")</f>
        <v/>
      </c>
      <c r="D12" s="25"/>
      <c r="E12" s="1"/>
      <c r="F12" s="1"/>
      <c r="G12" s="1"/>
      <c r="H12" s="1"/>
      <c r="I12" s="53"/>
      <c r="J1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2" s="4">
        <f>tblHorasNov[Horas Trabalhadas (1º Período)]+tblHorasNov[Horas Trabalhadas (2º Período)]</f>
        <v>0</v>
      </c>
      <c r="M1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Jornada])+O11</f>
        <v>0</v>
      </c>
      <c r="P12" s="14">
        <f t="shared" si="0"/>
        <v>0</v>
      </c>
      <c r="Q12" s="14" t="str">
        <f>IF(tblHorasNov[Horas Trabalhadas Além Jornada]&lt;0,IF(OR(tblHorasNov[Evento 
(1º Período)]="",tblHorasNov[Evento 
(2º Período)]=""),tblHorasNov[Horas Trabalhadas Além Jornada],""),"")</f>
        <v/>
      </c>
      <c r="R12" s="14" t="str">
        <f>IF(tblHorasNov[Jornada Diária]&lt;&gt;"",IF((N(tblHorasNov[Jornada Diária])-ABS(N(tblHorasNov[Horas Trabalhadas Além Jornada])))=0,1,""),"")</f>
        <v/>
      </c>
      <c r="S1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TEXT(tblHorasNov[Data],"ddd")</f>
        <v/>
      </c>
      <c r="D13" s="25"/>
      <c r="E13" s="1"/>
      <c r="F13" s="1"/>
      <c r="G13" s="1"/>
      <c r="H13" s="1"/>
      <c r="I13" s="53"/>
      <c r="J1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3" s="4">
        <f>tblHorasNov[Horas Trabalhadas (1º Período)]+tblHorasNov[Horas Trabalhadas (2º Período)]</f>
        <v>0</v>
      </c>
      <c r="M1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Jornada])+O12</f>
        <v>0</v>
      </c>
      <c r="P13" s="14">
        <f t="shared" si="0"/>
        <v>0</v>
      </c>
      <c r="Q13" s="14" t="str">
        <f>IF(tblHorasNov[Horas Trabalhadas Além Jornada]&lt;0,IF(OR(tblHorasNov[Evento 
(1º Período)]="",tblHorasNov[Evento 
(2º Período)]=""),tblHorasNov[Horas Trabalhadas Além Jornada],""),"")</f>
        <v/>
      </c>
      <c r="R13" s="14" t="str">
        <f>IF(tblHorasNov[Jornada Diária]&lt;&gt;"",IF((N(tblHorasNov[Jornada Diária])-ABS(N(tblHorasNov[Horas Trabalhadas Além Jornada])))=0,1,""),"")</f>
        <v/>
      </c>
      <c r="S1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TEXT(tblHorasNov[Data],"ddd")</f>
        <v/>
      </c>
      <c r="D14" s="25"/>
      <c r="E14" s="1"/>
      <c r="F14" s="1"/>
      <c r="G14" s="1"/>
      <c r="H14" s="1"/>
      <c r="I14" s="53"/>
      <c r="J1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4" s="4">
        <f>tblHorasNov[Horas Trabalhadas (1º Período)]+tblHorasNov[Horas Trabalhadas (2º Período)]</f>
        <v>0</v>
      </c>
      <c r="M1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Jornada])+O13</f>
        <v>0</v>
      </c>
      <c r="P14" s="14">
        <f t="shared" si="0"/>
        <v>0</v>
      </c>
      <c r="Q14" s="14" t="str">
        <f>IF(tblHorasNov[Horas Trabalhadas Além Jornada]&lt;0,IF(OR(tblHorasNov[Evento 
(1º Período)]="",tblHorasNov[Evento 
(2º Período)]=""),tblHorasNov[Horas Trabalhadas Além Jornada],""),"")</f>
        <v/>
      </c>
      <c r="R14" s="14" t="str">
        <f>IF(tblHorasNov[Jornada Diária]&lt;&gt;"",IF((N(tblHorasNov[Jornada Diária])-ABS(N(tblHorasNov[Horas Trabalhadas Além Jornada])))=0,1,""),"")</f>
        <v/>
      </c>
      <c r="S1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TEXT(tblHorasNov[Data],"ddd")</f>
        <v/>
      </c>
      <c r="D15" s="25"/>
      <c r="E15" s="1"/>
      <c r="F15" s="1"/>
      <c r="G15" s="1"/>
      <c r="H15" s="1"/>
      <c r="I15" s="53"/>
      <c r="J1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5" s="4">
        <f>tblHorasNov[Horas Trabalhadas (1º Período)]+tblHorasNov[Horas Trabalhadas (2º Período)]</f>
        <v>0</v>
      </c>
      <c r="M1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Jornada])+O14</f>
        <v>0</v>
      </c>
      <c r="P15" s="14">
        <f t="shared" si="0"/>
        <v>0</v>
      </c>
      <c r="Q15" s="14" t="str">
        <f>IF(tblHorasNov[Horas Trabalhadas Além Jornada]&lt;0,IF(OR(tblHorasNov[Evento 
(1º Período)]="",tblHorasNov[Evento 
(2º Período)]=""),tblHorasNov[Horas Trabalhadas Além Jornada],""),"")</f>
        <v/>
      </c>
      <c r="R15" s="14" t="str">
        <f>IF(tblHorasNov[Jornada Diária]&lt;&gt;"",IF((N(tblHorasNov[Jornada Diária])-ABS(N(tblHorasNov[Horas Trabalhadas Além Jornada])))=0,1,""),"")</f>
        <v/>
      </c>
      <c r="S1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TEXT(tblHorasNov[Data],"ddd")</f>
        <v/>
      </c>
      <c r="D16" s="25"/>
      <c r="E16" s="1"/>
      <c r="F16" s="1"/>
      <c r="G16" s="1"/>
      <c r="H16" s="1"/>
      <c r="I16" s="53"/>
      <c r="J1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6" s="4">
        <f>tblHorasNov[Horas Trabalhadas (1º Período)]+tblHorasNov[Horas Trabalhadas (2º Período)]</f>
        <v>0</v>
      </c>
      <c r="M1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Jornada])+O15</f>
        <v>0</v>
      </c>
      <c r="P16" s="14">
        <f t="shared" si="0"/>
        <v>0</v>
      </c>
      <c r="Q16" s="14" t="str">
        <f>IF(tblHorasNov[Horas Trabalhadas Além Jornada]&lt;0,IF(OR(tblHorasNov[Evento 
(1º Período)]="",tblHorasNov[Evento 
(2º Período)]=""),tblHorasNov[Horas Trabalhadas Além Jornada],""),"")</f>
        <v/>
      </c>
      <c r="R16" s="14" t="str">
        <f>IF(tblHorasNov[Jornada Diária]&lt;&gt;"",IF((N(tblHorasNov[Jornada Diária])-ABS(N(tblHorasNov[Horas Trabalhadas Além Jornada])))=0,1,""),"")</f>
        <v/>
      </c>
      <c r="S1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TEXT(tblHorasNov[Data],"ddd")</f>
        <v/>
      </c>
      <c r="D17" s="25"/>
      <c r="E17" s="1"/>
      <c r="F17" s="1"/>
      <c r="G17" s="1"/>
      <c r="H17" s="1"/>
      <c r="I17" s="53"/>
      <c r="J1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7" s="4">
        <f>tblHorasNov[Horas Trabalhadas (1º Período)]+tblHorasNov[Horas Trabalhadas (2º Período)]</f>
        <v>0</v>
      </c>
      <c r="M1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Jornada])+O16</f>
        <v>0</v>
      </c>
      <c r="P17" s="14">
        <f t="shared" si="0"/>
        <v>0</v>
      </c>
      <c r="Q17" s="14" t="str">
        <f>IF(tblHorasNov[Horas Trabalhadas Além Jornada]&lt;0,IF(OR(tblHorasNov[Evento 
(1º Período)]="",tblHorasNov[Evento 
(2º Período)]=""),tblHorasNov[Horas Trabalhadas Além Jornada],""),"")</f>
        <v/>
      </c>
      <c r="R17" s="14" t="str">
        <f>IF(tblHorasNov[Jornada Diária]&lt;&gt;"",IF((N(tblHorasNov[Jornada Diária])-ABS(N(tblHorasNov[Horas Trabalhadas Além Jornada])))=0,1,""),"")</f>
        <v/>
      </c>
      <c r="S1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TEXT(tblHorasNov[Data],"ddd")</f>
        <v/>
      </c>
      <c r="D18" s="25"/>
      <c r="E18" s="1"/>
      <c r="F18" s="1"/>
      <c r="G18" s="1"/>
      <c r="H18" s="1"/>
      <c r="I18" s="53"/>
      <c r="J1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8" s="4">
        <f>tblHorasNov[Horas Trabalhadas (1º Período)]+tblHorasNov[Horas Trabalhadas (2º Período)]</f>
        <v>0</v>
      </c>
      <c r="M1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Jornada])+O17</f>
        <v>0</v>
      </c>
      <c r="P18" s="14">
        <f t="shared" si="0"/>
        <v>0</v>
      </c>
      <c r="Q18" s="14" t="str">
        <f>IF(tblHorasNov[Horas Trabalhadas Além Jornada]&lt;0,IF(OR(tblHorasNov[Evento 
(1º Período)]="",tblHorasNov[Evento 
(2º Período)]=""),tblHorasNov[Horas Trabalhadas Além Jornada],""),"")</f>
        <v/>
      </c>
      <c r="R18" s="14" t="str">
        <f>IF(tblHorasNov[Jornada Diária]&lt;&gt;"",IF((N(tblHorasNov[Jornada Diária])-ABS(N(tblHorasNov[Horas Trabalhadas Além Jornada])))=0,1,""),"")</f>
        <v/>
      </c>
      <c r="S1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TEXT(tblHorasNov[Data],"ddd")</f>
        <v/>
      </c>
      <c r="D19" s="25"/>
      <c r="E19" s="1"/>
      <c r="F19" s="1"/>
      <c r="G19" s="1"/>
      <c r="H19" s="1"/>
      <c r="I19" s="53"/>
      <c r="J1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9" s="4">
        <f>tblHorasNov[Horas Trabalhadas (1º Período)]+tblHorasNov[Horas Trabalhadas (2º Período)]</f>
        <v>0</v>
      </c>
      <c r="M1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Jornada])+O18</f>
        <v>0</v>
      </c>
      <c r="P19" s="14">
        <f t="shared" si="0"/>
        <v>0</v>
      </c>
      <c r="Q19" s="14" t="str">
        <f>IF(tblHorasNov[Horas Trabalhadas Além Jornada]&lt;0,IF(OR(tblHorasNov[Evento 
(1º Período)]="",tblHorasNov[Evento 
(2º Período)]=""),tblHorasNov[Horas Trabalhadas Além Jornada],""),"")</f>
        <v/>
      </c>
      <c r="R19" s="14" t="str">
        <f>IF(tblHorasNov[Jornada Diária]&lt;&gt;"",IF((N(tblHorasNov[Jornada Diária])-ABS(N(tblHorasNov[Horas Trabalhadas Além Jornada])))=0,1,""),"")</f>
        <v/>
      </c>
      <c r="S1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TEXT(tblHorasNov[Data],"ddd")</f>
        <v/>
      </c>
      <c r="D20" s="25"/>
      <c r="E20" s="1"/>
      <c r="F20" s="1"/>
      <c r="G20" s="1"/>
      <c r="H20" s="1"/>
      <c r="I20" s="53"/>
      <c r="J2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0" s="4">
        <f>tblHorasNov[Horas Trabalhadas (1º Período)]+tblHorasNov[Horas Trabalhadas (2º Período)]</f>
        <v>0</v>
      </c>
      <c r="M2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Jornada])+O19</f>
        <v>0</v>
      </c>
      <c r="P20" s="14">
        <f t="shared" si="0"/>
        <v>0</v>
      </c>
      <c r="Q20" s="14" t="str">
        <f>IF(tblHorasNov[Horas Trabalhadas Além Jornada]&lt;0,IF(OR(tblHorasNov[Evento 
(1º Período)]="",tblHorasNov[Evento 
(2º Período)]=""),tblHorasNov[Horas Trabalhadas Além Jornada],""),"")</f>
        <v/>
      </c>
      <c r="R20" s="14" t="str">
        <f>IF(tblHorasNov[Jornada Diária]&lt;&gt;"",IF((N(tblHorasNov[Jornada Diária])-ABS(N(tblHorasNov[Horas Trabalhadas Além Jornada])))=0,1,""),"")</f>
        <v/>
      </c>
      <c r="S2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TEXT(tblHorasNov[Data],"ddd")</f>
        <v/>
      </c>
      <c r="D21" s="25"/>
      <c r="E21" s="1"/>
      <c r="F21" s="1"/>
      <c r="G21" s="1"/>
      <c r="H21" s="1"/>
      <c r="I21" s="53"/>
      <c r="J2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1" s="4">
        <f>tblHorasNov[Horas Trabalhadas (1º Período)]+tblHorasNov[Horas Trabalhadas (2º Período)]</f>
        <v>0</v>
      </c>
      <c r="M2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Jornada])+O20</f>
        <v>0</v>
      </c>
      <c r="P21" s="14">
        <f t="shared" si="0"/>
        <v>0</v>
      </c>
      <c r="Q21" s="14" t="str">
        <f>IF(tblHorasNov[Horas Trabalhadas Além Jornada]&lt;0,IF(OR(tblHorasNov[Evento 
(1º Período)]="",tblHorasNov[Evento 
(2º Período)]=""),tblHorasNov[Horas Trabalhadas Além Jornada],""),"")</f>
        <v/>
      </c>
      <c r="R21" s="14" t="str">
        <f>IF(tblHorasNov[Jornada Diária]&lt;&gt;"",IF((N(tblHorasNov[Jornada Diária])-ABS(N(tblHorasNov[Horas Trabalhadas Além Jornada])))=0,1,""),"")</f>
        <v/>
      </c>
      <c r="S2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TEXT(tblHorasNov[Data],"ddd")</f>
        <v/>
      </c>
      <c r="D22" s="25"/>
      <c r="E22" s="1"/>
      <c r="F22" s="1"/>
      <c r="G22" s="1"/>
      <c r="H22" s="1"/>
      <c r="I22" s="53"/>
      <c r="J2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2" s="4">
        <f>tblHorasNov[Horas Trabalhadas (1º Período)]+tblHorasNov[Horas Trabalhadas (2º Período)]</f>
        <v>0</v>
      </c>
      <c r="M2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Jornada])+O21</f>
        <v>0</v>
      </c>
      <c r="P22" s="14">
        <f t="shared" si="0"/>
        <v>0</v>
      </c>
      <c r="Q22" s="14" t="str">
        <f>IF(tblHorasNov[Horas Trabalhadas Além Jornada]&lt;0,IF(OR(tblHorasNov[Evento 
(1º Período)]="",tblHorasNov[Evento 
(2º Período)]=""),tblHorasNov[Horas Trabalhadas Além Jornada],""),"")</f>
        <v/>
      </c>
      <c r="R22" s="14" t="str">
        <f>IF(tblHorasNov[Jornada Diária]&lt;&gt;"",IF((N(tblHorasNov[Jornada Diária])-ABS(N(tblHorasNov[Horas Trabalhadas Além Jornada])))=0,1,""),"")</f>
        <v/>
      </c>
      <c r="S2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TEXT(tblHorasNov[Data],"ddd")</f>
        <v/>
      </c>
      <c r="D23" s="25"/>
      <c r="E23" s="1"/>
      <c r="F23" s="1"/>
      <c r="G23" s="1"/>
      <c r="H23" s="1"/>
      <c r="I23" s="53"/>
      <c r="J2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3" s="4">
        <f>tblHorasNov[Horas Trabalhadas (1º Período)]+tblHorasNov[Horas Trabalhadas (2º Período)]</f>
        <v>0</v>
      </c>
      <c r="M2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Jornada])+O22</f>
        <v>0</v>
      </c>
      <c r="P23" s="14">
        <f t="shared" si="0"/>
        <v>0</v>
      </c>
      <c r="Q23" s="14" t="str">
        <f>IF(tblHorasNov[Horas Trabalhadas Além Jornada]&lt;0,IF(OR(tblHorasNov[Evento 
(1º Período)]="",tblHorasNov[Evento 
(2º Período)]=""),tblHorasNov[Horas Trabalhadas Além Jornada],""),"")</f>
        <v/>
      </c>
      <c r="R23" s="14" t="str">
        <f>IF(tblHorasNov[Jornada Diária]&lt;&gt;"",IF((N(tblHorasNov[Jornada Diária])-ABS(N(tblHorasNov[Horas Trabalhadas Além Jornada])))=0,1,""),"")</f>
        <v/>
      </c>
      <c r="S2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TEXT(tblHorasNov[Data],"ddd")</f>
        <v/>
      </c>
      <c r="D24" s="25"/>
      <c r="E24" s="1"/>
      <c r="F24" s="1"/>
      <c r="G24" s="1"/>
      <c r="H24" s="1"/>
      <c r="I24" s="53"/>
      <c r="J2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4" s="4">
        <f>tblHorasNov[Horas Trabalhadas (1º Período)]+tblHorasNov[Horas Trabalhadas (2º Período)]</f>
        <v>0</v>
      </c>
      <c r="M2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Jornada])+O23</f>
        <v>0</v>
      </c>
      <c r="P24" s="14">
        <f t="shared" si="0"/>
        <v>0</v>
      </c>
      <c r="Q24" s="14" t="str">
        <f>IF(tblHorasNov[Horas Trabalhadas Além Jornada]&lt;0,IF(OR(tblHorasNov[Evento 
(1º Período)]="",tblHorasNov[Evento 
(2º Período)]=""),tblHorasNov[Horas Trabalhadas Além Jornada],""),"")</f>
        <v/>
      </c>
      <c r="R24" s="14" t="str">
        <f>IF(tblHorasNov[Jornada Diária]&lt;&gt;"",IF((N(tblHorasNov[Jornada Diária])-ABS(N(tblHorasNov[Horas Trabalhadas Além Jornada])))=0,1,""),"")</f>
        <v/>
      </c>
      <c r="S2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TEXT(tblHorasNov[Data],"ddd")</f>
        <v/>
      </c>
      <c r="D25" s="25"/>
      <c r="E25" s="1"/>
      <c r="F25" s="1"/>
      <c r="G25" s="1"/>
      <c r="H25" s="1"/>
      <c r="I25" s="53"/>
      <c r="J2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5" s="4">
        <f>tblHorasNov[Horas Trabalhadas (1º Período)]+tblHorasNov[Horas Trabalhadas (2º Período)]</f>
        <v>0</v>
      </c>
      <c r="M2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Jornada])+O24</f>
        <v>0</v>
      </c>
      <c r="P25" s="14">
        <f t="shared" si="0"/>
        <v>0</v>
      </c>
      <c r="Q25" s="14" t="str">
        <f>IF(tblHorasNov[Horas Trabalhadas Além Jornada]&lt;0,IF(OR(tblHorasNov[Evento 
(1º Período)]="",tblHorasNov[Evento 
(2º Período)]=""),tblHorasNov[Horas Trabalhadas Além Jornada],""),"")</f>
        <v/>
      </c>
      <c r="R25" s="14" t="str">
        <f>IF(tblHorasNov[Jornada Diária]&lt;&gt;"",IF((N(tblHorasNov[Jornada Diária])-ABS(N(tblHorasNov[Horas Trabalhadas Além Jornada])))=0,1,""),"")</f>
        <v/>
      </c>
      <c r="S2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TEXT(tblHorasNov[Data],"ddd")</f>
        <v/>
      </c>
      <c r="D26" s="25"/>
      <c r="E26" s="1"/>
      <c r="F26" s="1"/>
      <c r="G26" s="1"/>
      <c r="H26" s="1"/>
      <c r="I26" s="53"/>
      <c r="J2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6" s="4">
        <f>tblHorasNov[Horas Trabalhadas (1º Período)]+tblHorasNov[Horas Trabalhadas (2º Período)]</f>
        <v>0</v>
      </c>
      <c r="M2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Jornada])+O25</f>
        <v>0</v>
      </c>
      <c r="P26" s="14">
        <f t="shared" si="0"/>
        <v>0</v>
      </c>
      <c r="Q26" s="14" t="str">
        <f>IF(tblHorasNov[Horas Trabalhadas Além Jornada]&lt;0,IF(OR(tblHorasNov[Evento 
(1º Período)]="",tblHorasNov[Evento 
(2º Período)]=""),tblHorasNov[Horas Trabalhadas Além Jornada],""),"")</f>
        <v/>
      </c>
      <c r="R26" s="14" t="str">
        <f>IF(tblHorasNov[Jornada Diária]&lt;&gt;"",IF((N(tblHorasNov[Jornada Diária])-ABS(N(tblHorasNov[Horas Trabalhadas Além Jornada])))=0,1,""),"")</f>
        <v/>
      </c>
      <c r="S2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TEXT(tblHorasNov[Data],"ddd")</f>
        <v/>
      </c>
      <c r="D27" s="25"/>
      <c r="E27" s="1"/>
      <c r="F27" s="1"/>
      <c r="G27" s="1"/>
      <c r="H27" s="1"/>
      <c r="I27" s="53"/>
      <c r="J2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7" s="4">
        <f>tblHorasNov[Horas Trabalhadas (1º Período)]+tblHorasNov[Horas Trabalhadas (2º Período)]</f>
        <v>0</v>
      </c>
      <c r="M2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Jornada])+O26</f>
        <v>0</v>
      </c>
      <c r="P27" s="14">
        <f t="shared" si="0"/>
        <v>0</v>
      </c>
      <c r="Q27" s="14" t="str">
        <f>IF(tblHorasNov[Horas Trabalhadas Além Jornada]&lt;0,IF(OR(tblHorasNov[Evento 
(1º Período)]="",tblHorasNov[Evento 
(2º Período)]=""),tblHorasNov[Horas Trabalhadas Além Jornada],""),"")</f>
        <v/>
      </c>
      <c r="R27" s="14" t="str">
        <f>IF(tblHorasNov[Jornada Diária]&lt;&gt;"",IF((N(tblHorasNov[Jornada Diária])-ABS(N(tblHorasNov[Horas Trabalhadas Além Jornada])))=0,1,""),"")</f>
        <v/>
      </c>
      <c r="S2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TEXT(tblHorasNov[Data],"ddd")</f>
        <v/>
      </c>
      <c r="D28" s="25"/>
      <c r="E28" s="1"/>
      <c r="F28" s="1"/>
      <c r="G28" s="1"/>
      <c r="H28" s="1"/>
      <c r="I28" s="53"/>
      <c r="J2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8" s="4">
        <f>tblHorasNov[Horas Trabalhadas (1º Período)]+tblHorasNov[Horas Trabalhadas (2º Período)]</f>
        <v>0</v>
      </c>
      <c r="M2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Jornada])+O27</f>
        <v>0</v>
      </c>
      <c r="P28" s="14">
        <f t="shared" si="0"/>
        <v>0</v>
      </c>
      <c r="Q28" s="14" t="str">
        <f>IF(tblHorasNov[Horas Trabalhadas Além Jornada]&lt;0,IF(OR(tblHorasNov[Evento 
(1º Período)]="",tblHorasNov[Evento 
(2º Período)]=""),tblHorasNov[Horas Trabalhadas Além Jornada],""),"")</f>
        <v/>
      </c>
      <c r="R28" s="14" t="str">
        <f>IF(tblHorasNov[Jornada Diária]&lt;&gt;"",IF((N(tblHorasNov[Jornada Diária])-ABS(N(tblHorasNov[Horas Trabalhadas Além Jornada])))=0,1,""),"")</f>
        <v/>
      </c>
      <c r="S2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TEXT(tblHorasNov[Data],"ddd")</f>
        <v/>
      </c>
      <c r="D29" s="25"/>
      <c r="E29" s="1"/>
      <c r="F29" s="1"/>
      <c r="G29" s="1"/>
      <c r="H29" s="1"/>
      <c r="I29" s="53"/>
      <c r="J2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9" s="4">
        <f>tblHorasNov[Horas Trabalhadas (1º Período)]+tblHorasNov[Horas Trabalhadas (2º Período)]</f>
        <v>0</v>
      </c>
      <c r="M2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Jornada])+O28</f>
        <v>0</v>
      </c>
      <c r="P29" s="14">
        <f t="shared" si="0"/>
        <v>0</v>
      </c>
      <c r="Q29" s="14" t="str">
        <f>IF(tblHorasNov[Horas Trabalhadas Além Jornada]&lt;0,IF(OR(tblHorasNov[Evento 
(1º Período)]="",tblHorasNov[Evento 
(2º Período)]=""),tblHorasNov[Horas Trabalhadas Além Jornada],""),"")</f>
        <v/>
      </c>
      <c r="R29" s="14" t="str">
        <f>IF(tblHorasNov[Jornada Diária]&lt;&gt;"",IF((N(tblHorasNov[Jornada Diária])-ABS(N(tblHorasNov[Horas Trabalhadas Além Jornada])))=0,1,""),"")</f>
        <v/>
      </c>
      <c r="S2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TEXT(tblHorasNov[Data],"ddd")</f>
        <v/>
      </c>
      <c r="D30" s="25"/>
      <c r="E30" s="1"/>
      <c r="F30" s="1"/>
      <c r="G30" s="1"/>
      <c r="H30" s="1"/>
      <c r="I30" s="53"/>
      <c r="J3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0" s="4">
        <f>tblHorasNov[Horas Trabalhadas (1º Período)]+tblHorasNov[Horas Trabalhadas (2º Período)]</f>
        <v>0</v>
      </c>
      <c r="M3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Jornada])+O29</f>
        <v>0</v>
      </c>
      <c r="P30" s="14">
        <f t="shared" si="0"/>
        <v>0</v>
      </c>
      <c r="Q30" s="14" t="str">
        <f>IF(tblHorasNov[Horas Trabalhadas Além Jornada]&lt;0,IF(OR(tblHorasNov[Evento 
(1º Período)]="",tblHorasNov[Evento 
(2º Período)]=""),tblHorasNov[Horas Trabalhadas Além Jornada],""),"")</f>
        <v/>
      </c>
      <c r="R30" s="14" t="str">
        <f>IF(tblHorasNov[Jornada Diária]&lt;&gt;"",IF((N(tblHorasNov[Jornada Diária])-ABS(N(tblHorasNov[Horas Trabalhadas Além Jornada])))=0,1,""),"")</f>
        <v/>
      </c>
      <c r="S3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TEXT(tblHorasNov[Data],"ddd")</f>
        <v/>
      </c>
      <c r="D31" s="25"/>
      <c r="E31" s="1"/>
      <c r="F31" s="1"/>
      <c r="G31" s="1"/>
      <c r="H31" s="1"/>
      <c r="I31" s="53"/>
      <c r="J3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1" s="4">
        <f>tblHorasNov[Horas Trabalhadas (1º Período)]+tblHorasNov[Horas Trabalhadas (2º Período)]</f>
        <v>0</v>
      </c>
      <c r="M3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Jornada])+O30</f>
        <v>0</v>
      </c>
      <c r="P31" s="14">
        <f t="shared" si="0"/>
        <v>0</v>
      </c>
      <c r="Q31" s="14" t="str">
        <f>IF(tblHorasNov[Horas Trabalhadas Além Jornada]&lt;0,IF(OR(tblHorasNov[Evento 
(1º Período)]="",tblHorasNov[Evento 
(2º Período)]=""),tblHorasNov[Horas Trabalhadas Além Jornada],""),"")</f>
        <v/>
      </c>
      <c r="R31" s="14" t="str">
        <f>IF(tblHorasNov[Jornada Diária]&lt;&gt;"",IF((N(tblHorasNov[Jornada Diária])-ABS(N(tblHorasNov[Horas Trabalhadas Além Jornada])))=0,1,""),"")</f>
        <v/>
      </c>
      <c r="S3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TEXT(tblHorasNov[Data],"ddd")</f>
        <v/>
      </c>
      <c r="D32" s="25"/>
      <c r="E32" s="1"/>
      <c r="F32" s="1"/>
      <c r="G32" s="1"/>
      <c r="H32" s="1"/>
      <c r="I32" s="53"/>
      <c r="J3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2" s="4">
        <f>tblHorasNov[Horas Trabalhadas (1º Período)]+tblHorasNov[Horas Trabalhadas (2º Período)]</f>
        <v>0</v>
      </c>
      <c r="M3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Jornada])+O31</f>
        <v>0</v>
      </c>
      <c r="P32" s="14">
        <f t="shared" si="0"/>
        <v>0</v>
      </c>
      <c r="Q32" s="14" t="str">
        <f>IF(tblHorasNov[Horas Trabalhadas Além Jornada]&lt;0,IF(OR(tblHorasNov[Evento 
(1º Período)]="",tblHorasNov[Evento 
(2º Período)]=""),tblHorasNov[Horas Trabalhadas Além Jornada],""),"")</f>
        <v/>
      </c>
      <c r="R32" s="14" t="str">
        <f>IF(tblHorasNov[Jornada Diária]&lt;&gt;"",IF((N(tblHorasNov[Jornada Diária])-ABS(N(tblHorasNov[Horas Trabalhadas Além Jornada])))=0,1,""),"")</f>
        <v/>
      </c>
      <c r="S3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TEXT(tblHorasNov[Data],"ddd")</f>
        <v/>
      </c>
      <c r="D33" s="25"/>
      <c r="E33" s="1"/>
      <c r="F33" s="1"/>
      <c r="G33" s="1"/>
      <c r="H33" s="1"/>
      <c r="I33" s="53"/>
      <c r="J3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3" s="4">
        <f>tblHorasNov[Horas Trabalhadas (1º Período)]+tblHorasNov[Horas Trabalhadas (2º Período)]</f>
        <v>0</v>
      </c>
      <c r="M3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Jornada])+O32</f>
        <v>0</v>
      </c>
      <c r="P33" s="14">
        <f t="shared" si="0"/>
        <v>0</v>
      </c>
      <c r="Q33" s="14" t="str">
        <f>IF(tblHorasNov[Horas Trabalhadas Além Jornada]&lt;0,IF(OR(tblHorasNov[Evento 
(1º Período)]="",tblHorasNov[Evento 
(2º Período)]=""),tblHorasNov[Horas Trabalhadas Além Jornada],""),"")</f>
        <v/>
      </c>
      <c r="R33" s="14" t="str">
        <f>IF(tblHorasNov[Jornada Diária]&lt;&gt;"",IF((N(tblHorasNov[Jornada Diária])-ABS(N(tblHorasNov[Horas Trabalhadas Além Jornada])))=0,1,""),"")</f>
        <v/>
      </c>
      <c r="S3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TEXT(tblHorasNov[Data],"ddd")</f>
        <v/>
      </c>
      <c r="D34" s="25"/>
      <c r="E34" s="1"/>
      <c r="F34" s="1"/>
      <c r="G34" s="1"/>
      <c r="H34" s="1"/>
      <c r="I34" s="53"/>
      <c r="J3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4" s="4">
        <f>tblHorasNov[Horas Trabalhadas (1º Período)]+tblHorasNov[Horas Trabalhadas (2º Período)]</f>
        <v>0</v>
      </c>
      <c r="M3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Jornada])+O33</f>
        <v>0</v>
      </c>
      <c r="P34" s="14">
        <f t="shared" si="0"/>
        <v>0</v>
      </c>
      <c r="Q34" s="14" t="str">
        <f>IF(tblHorasNov[Horas Trabalhadas Além Jornada]&lt;0,IF(OR(tblHorasNov[Evento 
(1º Período)]="",tblHorasNov[Evento 
(2º Período)]=""),tblHorasNov[Horas Trabalhadas Além Jornada],""),"")</f>
        <v/>
      </c>
      <c r="R34" s="14" t="str">
        <f>IF(tblHorasNov[Jornada Diária]&lt;&gt;"",IF((N(tblHorasNov[Jornada Diária])-ABS(N(tblHorasNov[Horas Trabalhadas Além Jornada])))=0,1,""),"")</f>
        <v/>
      </c>
      <c r="S3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TEXT(tblHorasNov[Data],"ddd")</f>
        <v/>
      </c>
      <c r="D35" s="25"/>
      <c r="E35" s="1"/>
      <c r="F35" s="1"/>
      <c r="G35" s="1"/>
      <c r="H35" s="1"/>
      <c r="I35" s="53"/>
      <c r="J3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5" s="4">
        <f>tblHorasNov[Horas Trabalhadas (1º Período)]+tblHorasNov[Horas Trabalhadas (2º Período)]</f>
        <v>0</v>
      </c>
      <c r="M3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Jornada])+O34</f>
        <v>0</v>
      </c>
      <c r="P35" s="14">
        <f t="shared" si="0"/>
        <v>0</v>
      </c>
      <c r="Q35" s="14" t="str">
        <f>IF(tblHorasNov[Horas Trabalhadas Além Jornada]&lt;0,IF(OR(tblHorasNov[Evento 
(1º Período)]="",tblHorasNov[Evento 
(2º Período)]=""),tblHorasNov[Horas Trabalhadas Além Jornada],""),"")</f>
        <v/>
      </c>
      <c r="R35" s="14" t="str">
        <f>IF(tblHorasNov[Jornada Diária]&lt;&gt;"",IF((N(tblHorasNov[Jornada Diária])-ABS(N(tblHorasNov[Horas Trabalhadas Além Jornada])))=0,1,""),"")</f>
        <v/>
      </c>
      <c r="S3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TEXT(tblHorasNov[Data],"ddd")</f>
        <v/>
      </c>
      <c r="D36" s="25"/>
      <c r="E36" s="1"/>
      <c r="F36" s="1"/>
      <c r="G36" s="1"/>
      <c r="H36" s="1"/>
      <c r="I36" s="53"/>
      <c r="J3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6" s="4">
        <f>tblHorasNov[Horas Trabalhadas (1º Período)]+tblHorasNov[Horas Trabalhadas (2º Período)]</f>
        <v>0</v>
      </c>
      <c r="M3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Jornada])+O35</f>
        <v>0</v>
      </c>
      <c r="P36" s="14">
        <f t="shared" si="0"/>
        <v>0</v>
      </c>
      <c r="Q36" s="14" t="str">
        <f>IF(tblHorasNov[Horas Trabalhadas Além Jornada]&lt;0,IF(OR(tblHorasNov[Evento 
(1º Período)]="",tblHorasNov[Evento 
(2º Período)]=""),tblHorasNov[Horas Trabalhadas Além Jornada],""),"")</f>
        <v/>
      </c>
      <c r="R36" s="14" t="str">
        <f>IF(tblHorasNov[Jornada Diária]&lt;&gt;"",IF((N(tblHorasNov[Jornada Diária])-ABS(N(tblHorasNov[Horas Trabalhadas Além Jornada])))=0,1,""),"")</f>
        <v/>
      </c>
      <c r="S3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TEXT(tblHorasNov[Data],"ddd")</f>
        <v/>
      </c>
      <c r="D37" s="25"/>
      <c r="E37" s="1"/>
      <c r="F37" s="1"/>
      <c r="G37" s="1"/>
      <c r="H37" s="1"/>
      <c r="I37" s="53"/>
      <c r="J3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7" s="4">
        <f>tblHorasNov[Horas Trabalhadas (1º Período)]+tblHorasNov[Horas Trabalhadas (2º Período)]</f>
        <v>0</v>
      </c>
      <c r="M3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Jornada])+O36</f>
        <v>0</v>
      </c>
      <c r="P37" s="14">
        <f t="shared" si="0"/>
        <v>0</v>
      </c>
      <c r="Q37" s="14" t="str">
        <f>IF(tblHorasNov[Horas Trabalhadas Além Jornada]&lt;0,IF(OR(tblHorasNov[Evento 
(1º Período)]="",tblHorasNov[Evento 
(2º Período)]=""),tblHorasNov[Horas Trabalhadas Além Jornada],""),"")</f>
        <v/>
      </c>
      <c r="R37" s="14" t="str">
        <f>IF(tblHorasNov[Jornada Diária]&lt;&gt;"",IF((N(tblHorasNov[Jornada Diária])-ABS(N(tblHorasNov[Horas Trabalhadas Além Jornada])))=0,1,""),"")</f>
        <v/>
      </c>
      <c r="S3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TEXT(tblHorasNov[Data],"ddd")</f>
        <v/>
      </c>
      <c r="D38" s="25"/>
      <c r="E38" s="1"/>
      <c r="F38" s="1"/>
      <c r="G38" s="1"/>
      <c r="H38" s="1"/>
      <c r="I38" s="53"/>
      <c r="J3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8" s="4">
        <f>tblHorasNov[Horas Trabalhadas (1º Período)]+tblHorasNov[Horas Trabalhadas (2º Período)]</f>
        <v>0</v>
      </c>
      <c r="M3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Jornada])+O37</f>
        <v>0</v>
      </c>
      <c r="P38" s="14">
        <f t="shared" si="0"/>
        <v>0</v>
      </c>
      <c r="Q38" s="14" t="str">
        <f>IF(tblHorasNov[Horas Trabalhadas Além Jornada]&lt;0,IF(OR(tblHorasNov[Evento 
(1º Período)]="",tblHorasNov[Evento 
(2º Período)]=""),tblHorasNov[Horas Trabalhadas Além Jornada],""),"")</f>
        <v/>
      </c>
      <c r="R38" s="14" t="str">
        <f>IF(tblHorasNov[Jornada Diária]&lt;&gt;"",IF((N(tblHorasNov[Jornada Diária])-ABS(N(tblHorasNov[Horas Trabalhadas Além Jornada])))=0,1,""),"")</f>
        <v/>
      </c>
      <c r="S3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TEXT(tblHorasNov[Data],"ddd")</f>
        <v/>
      </c>
      <c r="D39" s="25"/>
      <c r="E39" s="1"/>
      <c r="F39" s="1"/>
      <c r="G39" s="1"/>
      <c r="H39" s="1"/>
      <c r="I39" s="53"/>
      <c r="J3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9" s="4">
        <f>tblHorasNov[Horas Trabalhadas (1º Período)]+tblHorasNov[Horas Trabalhadas (2º Período)]</f>
        <v>0</v>
      </c>
      <c r="M3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Jornada])+O38</f>
        <v>0</v>
      </c>
      <c r="P39" s="14">
        <f t="shared" si="0"/>
        <v>0</v>
      </c>
      <c r="Q39" s="14" t="str">
        <f>IF(tblHorasNov[Horas Trabalhadas Além Jornada]&lt;0,IF(OR(tblHorasNov[Evento 
(1º Período)]="",tblHorasNov[Evento 
(2º Período)]=""),tblHorasNov[Horas Trabalhadas Além Jornada],""),"")</f>
        <v/>
      </c>
      <c r="R39" s="14" t="str">
        <f>IF(tblHorasNov[Jornada Diária]&lt;&gt;"",IF((N(tblHorasNov[Jornada Diária])-ABS(N(tblHorasNov[Horas Trabalhadas Além Jornada])))=0,1,""),"")</f>
        <v/>
      </c>
      <c r="S3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7ZmSvveW5vXp71N5wHrN07l+tjZ/H4dKr1LThr4jsZ20noeVq49uiY2phZhppEmOfnw/qEbqJGP+MZ59AC0nQ==" saltValue="meBdmJkobR+pNaW3IGYqQ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DA7719FC-879A-4A30-BCEA-3DFB477926D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72BC16C-F188-48B6-AAD6-D81BF6A471C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A495C21D-CFD6-415D-B35A-408E40A1A8C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C151BA1E-4B85-4180-8F3B-50291838AE9A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64933462-8A3C-4D57-A33B-B0C7C12A8C9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96FC05F6-6E8E-42A1-81E6-DBFF2107DFFB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Dez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0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1"/>
      <c r="Q1" s="81"/>
      <c r="R1" s="81"/>
      <c r="S1" s="81"/>
      <c r="T1" s="81"/>
      <c r="U1" s="81"/>
    </row>
    <row r="2" spans="2:26" ht="15" customHeight="1" thickBot="1" x14ac:dyDescent="0.3">
      <c r="B2" s="6"/>
      <c r="G2" s="88"/>
      <c r="H2" s="89"/>
      <c r="I2" s="89"/>
      <c r="N2" s="24"/>
      <c r="O2" s="81"/>
      <c r="P2" s="81"/>
      <c r="Q2" s="81"/>
      <c r="R2" s="81"/>
      <c r="S2" s="81"/>
      <c r="T2" s="81"/>
      <c r="U2" s="81"/>
    </row>
    <row r="3" spans="2:26" ht="15" customHeight="1" x14ac:dyDescent="0.25">
      <c r="B3" s="6"/>
      <c r="G3" s="48" t="s">
        <v>96</v>
      </c>
      <c r="H3" s="90" t="s">
        <v>97</v>
      </c>
      <c r="I3" s="91"/>
      <c r="N3" s="24"/>
      <c r="O3" s="81"/>
      <c r="P3" s="81"/>
      <c r="Q3" s="81"/>
      <c r="R3" s="81"/>
      <c r="S3" s="81"/>
      <c r="T3" s="81"/>
      <c r="U3" s="81"/>
    </row>
    <row r="4" spans="2:26" ht="15" customHeight="1" thickBot="1" x14ac:dyDescent="0.3">
      <c r="B4" s="6"/>
      <c r="G4" s="52"/>
      <c r="H4" s="82"/>
      <c r="I4" s="83"/>
      <c r="N4" s="24"/>
      <c r="O4" s="81"/>
      <c r="P4" s="81"/>
      <c r="Q4" s="81"/>
      <c r="R4" s="81"/>
      <c r="S4" s="81"/>
      <c r="T4" s="81"/>
      <c r="U4" s="81"/>
    </row>
    <row r="5" spans="2:26" ht="15" customHeight="1" x14ac:dyDescent="0.25">
      <c r="B5" s="84" t="s">
        <v>59</v>
      </c>
      <c r="C5" s="85"/>
      <c r="D5" s="48" t="s">
        <v>62</v>
      </c>
      <c r="E5" s="48" t="s">
        <v>88</v>
      </c>
      <c r="G5" s="7"/>
      <c r="N5" s="24"/>
      <c r="O5" s="92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6" t="s">
        <v>74</v>
      </c>
      <c r="C6" s="87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3"/>
      <c r="P6" s="94" t="s">
        <v>95</v>
      </c>
      <c r="Q6" s="95"/>
      <c r="R6" s="95"/>
      <c r="S6" s="95"/>
      <c r="T6" s="95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Novembro!O39</f>
        <v>0</v>
      </c>
      <c r="P7" s="45">
        <f>SUM(tblHorasDez[Atrasos
(horas)])</f>
        <v>0</v>
      </c>
      <c r="Q7" s="45">
        <f>SUM(tblHorasDez[Atrasos
(horas)])</f>
        <v>0</v>
      </c>
      <c r="R7" s="46">
        <f>SUM(tblHorasDez[Faltas
(dias)])</f>
        <v>0</v>
      </c>
      <c r="S7" s="45">
        <f>SUM(tblHorasDez[Hora Extra Normal])</f>
        <v>0</v>
      </c>
      <c r="T7" s="45">
        <f>SUM(tblHorasDez[Hora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TEXT(tblHorasDez[Data],"ddd")</f>
        <v/>
      </c>
      <c r="D9" s="25"/>
      <c r="E9" s="1"/>
      <c r="F9" s="1"/>
      <c r="G9" s="1"/>
      <c r="H9" s="1"/>
      <c r="I9" s="53"/>
      <c r="J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9" s="4">
        <f>tblHorasDez[Horas Trabalhadas (1º Período)]+tblHorasDez[Horas Trabalhadas (2º Período)]</f>
        <v>0</v>
      </c>
      <c r="M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Jornada])+O7</f>
        <v>0</v>
      </c>
      <c r="P9" s="14">
        <f t="shared" ref="P9:P39" si="0">G9-F9</f>
        <v>0</v>
      </c>
      <c r="Q9" s="14" t="str">
        <f>IF(tblHorasDez[Horas Trabalhadas Além Jornada]&lt;0,IF(OR(tblHorasDez[Evento 
(1º Período)]="",tblHorasDez[Evento 
(2º Período)]=""),tblHorasDez[Horas Trabalhadas Além Jornada],""),"")</f>
        <v/>
      </c>
      <c r="R9" s="14" t="str">
        <f>IF(tblHorasDez[Jornada Diária]&lt;&gt;"",IF((N(tblHorasDez[Jornada Diária])-ABS(N(tblHorasDez[Horas Trabalhadas Além Jornada])))=0,1,""),"")</f>
        <v/>
      </c>
      <c r="S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TEXT(tblHorasDez[Data],"ddd")</f>
        <v/>
      </c>
      <c r="D10" s="25"/>
      <c r="E10" s="1"/>
      <c r="F10" s="1"/>
      <c r="G10" s="1"/>
      <c r="H10" s="1"/>
      <c r="I10" s="53"/>
      <c r="J1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0" s="4">
        <f>tblHorasDez[Horas Trabalhadas (1º Período)]+tblHorasDez[Horas Trabalhadas (2º Período)]</f>
        <v>0</v>
      </c>
      <c r="M1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Jornada])+O9</f>
        <v>0</v>
      </c>
      <c r="P10" s="14">
        <f t="shared" si="0"/>
        <v>0</v>
      </c>
      <c r="Q10" s="14" t="str">
        <f>IF(tblHorasDez[Horas Trabalhadas Além Jornada]&lt;0,IF(OR(tblHorasDez[Evento 
(1º Período)]="",tblHorasDez[Evento 
(2º Período)]=""),tblHorasDez[Horas Trabalhadas Além Jornada],""),"")</f>
        <v/>
      </c>
      <c r="R10" s="14" t="str">
        <f>IF(tblHorasDez[Jornada Diária]&lt;&gt;"",IF((N(tblHorasDez[Jornada Diária])-ABS(N(tblHorasDez[Horas Trabalhadas Além Jornada])))=0,1,""),"")</f>
        <v/>
      </c>
      <c r="S1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TEXT(tblHorasDez[Data],"ddd")</f>
        <v/>
      </c>
      <c r="D11" s="25"/>
      <c r="E11" s="1"/>
      <c r="F11" s="1"/>
      <c r="G11" s="1"/>
      <c r="H11" s="1"/>
      <c r="I11" s="53"/>
      <c r="J1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1" s="4">
        <f>tblHorasDez[Horas Trabalhadas (1º Período)]+tblHorasDez[Horas Trabalhadas (2º Período)]</f>
        <v>0</v>
      </c>
      <c r="M1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Jornada])+O10</f>
        <v>0</v>
      </c>
      <c r="P11" s="14">
        <f t="shared" si="0"/>
        <v>0</v>
      </c>
      <c r="Q11" s="14" t="str">
        <f>IF(tblHorasDez[Horas Trabalhadas Além Jornada]&lt;0,IF(OR(tblHorasDez[Evento 
(1º Período)]="",tblHorasDez[Evento 
(2º Período)]=""),tblHorasDez[Horas Trabalhadas Além Jornada],""),"")</f>
        <v/>
      </c>
      <c r="R11" s="14" t="str">
        <f>IF(tblHorasDez[Jornada Diária]&lt;&gt;"",IF((N(tblHorasDez[Jornada Diária])-ABS(N(tblHorasDez[Horas Trabalhadas Além Jornada])))=0,1,""),"")</f>
        <v/>
      </c>
      <c r="S1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TEXT(tblHorasDez[Data],"ddd")</f>
        <v/>
      </c>
      <c r="D12" s="25"/>
      <c r="E12" s="1"/>
      <c r="F12" s="1"/>
      <c r="G12" s="1"/>
      <c r="H12" s="1"/>
      <c r="I12" s="53"/>
      <c r="J1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2" s="4">
        <f>tblHorasDez[Horas Trabalhadas (1º Período)]+tblHorasDez[Horas Trabalhadas (2º Período)]</f>
        <v>0</v>
      </c>
      <c r="M1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Jornada])+O11</f>
        <v>0</v>
      </c>
      <c r="P12" s="14">
        <f t="shared" si="0"/>
        <v>0</v>
      </c>
      <c r="Q12" s="14" t="str">
        <f>IF(tblHorasDez[Horas Trabalhadas Além Jornada]&lt;0,IF(OR(tblHorasDez[Evento 
(1º Período)]="",tblHorasDez[Evento 
(2º Período)]=""),tblHorasDez[Horas Trabalhadas Além Jornada],""),"")</f>
        <v/>
      </c>
      <c r="R12" s="14" t="str">
        <f>IF(tblHorasDez[Jornada Diária]&lt;&gt;"",IF((N(tblHorasDez[Jornada Diária])-ABS(N(tblHorasDez[Horas Trabalhadas Além Jornada])))=0,1,""),"")</f>
        <v/>
      </c>
      <c r="S1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TEXT(tblHorasDez[Data],"ddd")</f>
        <v/>
      </c>
      <c r="D13" s="25"/>
      <c r="E13" s="1"/>
      <c r="F13" s="1"/>
      <c r="G13" s="1"/>
      <c r="H13" s="1"/>
      <c r="I13" s="53"/>
      <c r="J1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3" s="4">
        <f>tblHorasDez[Horas Trabalhadas (1º Período)]+tblHorasDez[Horas Trabalhadas (2º Período)]</f>
        <v>0</v>
      </c>
      <c r="M1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Jornada])+O12</f>
        <v>0</v>
      </c>
      <c r="P13" s="14">
        <f t="shared" si="0"/>
        <v>0</v>
      </c>
      <c r="Q13" s="14" t="str">
        <f>IF(tblHorasDez[Horas Trabalhadas Além Jornada]&lt;0,IF(OR(tblHorasDez[Evento 
(1º Período)]="",tblHorasDez[Evento 
(2º Período)]=""),tblHorasDez[Horas Trabalhadas Além Jornada],""),"")</f>
        <v/>
      </c>
      <c r="R13" s="14" t="str">
        <f>IF(tblHorasDez[Jornada Diária]&lt;&gt;"",IF((N(tblHorasDez[Jornada Diária])-ABS(N(tblHorasDez[Horas Trabalhadas Além Jornada])))=0,1,""),"")</f>
        <v/>
      </c>
      <c r="S1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TEXT(tblHorasDez[Data],"ddd")</f>
        <v/>
      </c>
      <c r="D14" s="25"/>
      <c r="E14" s="1"/>
      <c r="F14" s="1"/>
      <c r="G14" s="1"/>
      <c r="H14" s="1"/>
      <c r="I14" s="53"/>
      <c r="J1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4" s="4">
        <f>tblHorasDez[Horas Trabalhadas (1º Período)]+tblHorasDez[Horas Trabalhadas (2º Período)]</f>
        <v>0</v>
      </c>
      <c r="M1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Jornada])+O13</f>
        <v>0</v>
      </c>
      <c r="P14" s="14">
        <f t="shared" si="0"/>
        <v>0</v>
      </c>
      <c r="Q14" s="14" t="str">
        <f>IF(tblHorasDez[Horas Trabalhadas Além Jornada]&lt;0,IF(OR(tblHorasDez[Evento 
(1º Período)]="",tblHorasDez[Evento 
(2º Período)]=""),tblHorasDez[Horas Trabalhadas Além Jornada],""),"")</f>
        <v/>
      </c>
      <c r="R14" s="14" t="str">
        <f>IF(tblHorasDez[Jornada Diária]&lt;&gt;"",IF((N(tblHorasDez[Jornada Diária])-ABS(N(tblHorasDez[Horas Trabalhadas Além Jornada])))=0,1,""),"")</f>
        <v/>
      </c>
      <c r="S1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TEXT(tblHorasDez[Data],"ddd")</f>
        <v/>
      </c>
      <c r="D15" s="25"/>
      <c r="E15" s="1"/>
      <c r="F15" s="1"/>
      <c r="G15" s="1"/>
      <c r="H15" s="1"/>
      <c r="I15" s="53"/>
      <c r="J1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5" s="4">
        <f>tblHorasDez[Horas Trabalhadas (1º Período)]+tblHorasDez[Horas Trabalhadas (2º Período)]</f>
        <v>0</v>
      </c>
      <c r="M1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Jornada])+O14</f>
        <v>0</v>
      </c>
      <c r="P15" s="14">
        <f t="shared" si="0"/>
        <v>0</v>
      </c>
      <c r="Q15" s="14" t="str">
        <f>IF(tblHorasDez[Horas Trabalhadas Além Jornada]&lt;0,IF(OR(tblHorasDez[Evento 
(1º Período)]="",tblHorasDez[Evento 
(2º Período)]=""),tblHorasDez[Horas Trabalhadas Além Jornada],""),"")</f>
        <v/>
      </c>
      <c r="R15" s="14" t="str">
        <f>IF(tblHorasDez[Jornada Diária]&lt;&gt;"",IF((N(tblHorasDez[Jornada Diária])-ABS(N(tblHorasDez[Horas Trabalhadas Além Jornada])))=0,1,""),"")</f>
        <v/>
      </c>
      <c r="S1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TEXT(tblHorasDez[Data],"ddd")</f>
        <v/>
      </c>
      <c r="D16" s="25"/>
      <c r="E16" s="1"/>
      <c r="F16" s="1"/>
      <c r="G16" s="1"/>
      <c r="H16" s="1"/>
      <c r="I16" s="53"/>
      <c r="J1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6" s="4">
        <f>tblHorasDez[Horas Trabalhadas (1º Período)]+tblHorasDez[Horas Trabalhadas (2º Período)]</f>
        <v>0</v>
      </c>
      <c r="M1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Jornada])+O15</f>
        <v>0</v>
      </c>
      <c r="P16" s="14">
        <f t="shared" si="0"/>
        <v>0</v>
      </c>
      <c r="Q16" s="14" t="str">
        <f>IF(tblHorasDez[Horas Trabalhadas Além Jornada]&lt;0,IF(OR(tblHorasDez[Evento 
(1º Período)]="",tblHorasDez[Evento 
(2º Período)]=""),tblHorasDez[Horas Trabalhadas Além Jornada],""),"")</f>
        <v/>
      </c>
      <c r="R16" s="14" t="str">
        <f>IF(tblHorasDez[Jornada Diária]&lt;&gt;"",IF((N(tblHorasDez[Jornada Diária])-ABS(N(tblHorasDez[Horas Trabalhadas Além Jornada])))=0,1,""),"")</f>
        <v/>
      </c>
      <c r="S1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TEXT(tblHorasDez[Data],"ddd")</f>
        <v/>
      </c>
      <c r="D17" s="25"/>
      <c r="E17" s="1"/>
      <c r="F17" s="1"/>
      <c r="G17" s="1"/>
      <c r="H17" s="1"/>
      <c r="I17" s="53"/>
      <c r="J1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7" s="4">
        <f>tblHorasDez[Horas Trabalhadas (1º Período)]+tblHorasDez[Horas Trabalhadas (2º Período)]</f>
        <v>0</v>
      </c>
      <c r="M1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Jornada])+O16</f>
        <v>0</v>
      </c>
      <c r="P17" s="14">
        <f t="shared" si="0"/>
        <v>0</v>
      </c>
      <c r="Q17" s="14" t="str">
        <f>IF(tblHorasDez[Horas Trabalhadas Além Jornada]&lt;0,IF(OR(tblHorasDez[Evento 
(1º Período)]="",tblHorasDez[Evento 
(2º Período)]=""),tblHorasDez[Horas Trabalhadas Além Jornada],""),"")</f>
        <v/>
      </c>
      <c r="R17" s="14" t="str">
        <f>IF(tblHorasDez[Jornada Diária]&lt;&gt;"",IF((N(tblHorasDez[Jornada Diária])-ABS(N(tblHorasDez[Horas Trabalhadas Além Jornada])))=0,1,""),"")</f>
        <v/>
      </c>
      <c r="S1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TEXT(tblHorasDez[Data],"ddd")</f>
        <v/>
      </c>
      <c r="D18" s="25"/>
      <c r="E18" s="1"/>
      <c r="F18" s="1"/>
      <c r="G18" s="1"/>
      <c r="H18" s="1"/>
      <c r="I18" s="53"/>
      <c r="J1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8" s="4">
        <f>tblHorasDez[Horas Trabalhadas (1º Período)]+tblHorasDez[Horas Trabalhadas (2º Período)]</f>
        <v>0</v>
      </c>
      <c r="M1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Jornada])+O17</f>
        <v>0</v>
      </c>
      <c r="P18" s="14">
        <f t="shared" si="0"/>
        <v>0</v>
      </c>
      <c r="Q18" s="14" t="str">
        <f>IF(tblHorasDez[Horas Trabalhadas Além Jornada]&lt;0,IF(OR(tblHorasDez[Evento 
(1º Período)]="",tblHorasDez[Evento 
(2º Período)]=""),tblHorasDez[Horas Trabalhadas Além Jornada],""),"")</f>
        <v/>
      </c>
      <c r="R18" s="14" t="str">
        <f>IF(tblHorasDez[Jornada Diária]&lt;&gt;"",IF((N(tblHorasDez[Jornada Diária])-ABS(N(tblHorasDez[Horas Trabalhadas Além Jornada])))=0,1,""),"")</f>
        <v/>
      </c>
      <c r="S1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TEXT(tblHorasDez[Data],"ddd")</f>
        <v/>
      </c>
      <c r="D19" s="25"/>
      <c r="E19" s="1"/>
      <c r="F19" s="1"/>
      <c r="G19" s="1"/>
      <c r="H19" s="1"/>
      <c r="I19" s="53"/>
      <c r="J1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9" s="4">
        <f>tblHorasDez[Horas Trabalhadas (1º Período)]+tblHorasDez[Horas Trabalhadas (2º Período)]</f>
        <v>0</v>
      </c>
      <c r="M1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Jornada])+O18</f>
        <v>0</v>
      </c>
      <c r="P19" s="14">
        <f t="shared" si="0"/>
        <v>0</v>
      </c>
      <c r="Q19" s="14" t="str">
        <f>IF(tblHorasDez[Horas Trabalhadas Além Jornada]&lt;0,IF(OR(tblHorasDez[Evento 
(1º Período)]="",tblHorasDez[Evento 
(2º Período)]=""),tblHorasDez[Horas Trabalhadas Além Jornada],""),"")</f>
        <v/>
      </c>
      <c r="R19" s="14" t="str">
        <f>IF(tblHorasDez[Jornada Diária]&lt;&gt;"",IF((N(tblHorasDez[Jornada Diária])-ABS(N(tblHorasDez[Horas Trabalhadas Além Jornada])))=0,1,""),"")</f>
        <v/>
      </c>
      <c r="S1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TEXT(tblHorasDez[Data],"ddd")</f>
        <v/>
      </c>
      <c r="D20" s="25"/>
      <c r="E20" s="1"/>
      <c r="F20" s="1"/>
      <c r="G20" s="1"/>
      <c r="H20" s="1"/>
      <c r="I20" s="53"/>
      <c r="J2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0" s="4">
        <f>tblHorasDez[Horas Trabalhadas (1º Período)]+tblHorasDez[Horas Trabalhadas (2º Período)]</f>
        <v>0</v>
      </c>
      <c r="M2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Jornada])+O19</f>
        <v>0</v>
      </c>
      <c r="P20" s="14">
        <f t="shared" si="0"/>
        <v>0</v>
      </c>
      <c r="Q20" s="14" t="str">
        <f>IF(tblHorasDez[Horas Trabalhadas Além Jornada]&lt;0,IF(OR(tblHorasDez[Evento 
(1º Período)]="",tblHorasDez[Evento 
(2º Período)]=""),tblHorasDez[Horas Trabalhadas Além Jornada],""),"")</f>
        <v/>
      </c>
      <c r="R20" s="14" t="str">
        <f>IF(tblHorasDez[Jornada Diária]&lt;&gt;"",IF((N(tblHorasDez[Jornada Diária])-ABS(N(tblHorasDez[Horas Trabalhadas Além Jornada])))=0,1,""),"")</f>
        <v/>
      </c>
      <c r="S2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TEXT(tblHorasDez[Data],"ddd")</f>
        <v/>
      </c>
      <c r="D21" s="25"/>
      <c r="E21" s="1"/>
      <c r="F21" s="1"/>
      <c r="G21" s="1"/>
      <c r="H21" s="1"/>
      <c r="I21" s="53"/>
      <c r="J2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1" s="4">
        <f>tblHorasDez[Horas Trabalhadas (1º Período)]+tblHorasDez[Horas Trabalhadas (2º Período)]</f>
        <v>0</v>
      </c>
      <c r="M2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Jornada])+O20</f>
        <v>0</v>
      </c>
      <c r="P21" s="14">
        <f t="shared" si="0"/>
        <v>0</v>
      </c>
      <c r="Q21" s="14" t="str">
        <f>IF(tblHorasDez[Horas Trabalhadas Além Jornada]&lt;0,IF(OR(tblHorasDez[Evento 
(1º Período)]="",tblHorasDez[Evento 
(2º Período)]=""),tblHorasDez[Horas Trabalhadas Além Jornada],""),"")</f>
        <v/>
      </c>
      <c r="R21" s="14" t="str">
        <f>IF(tblHorasDez[Jornada Diária]&lt;&gt;"",IF((N(tblHorasDez[Jornada Diária])-ABS(N(tblHorasDez[Horas Trabalhadas Além Jornada])))=0,1,""),"")</f>
        <v/>
      </c>
      <c r="S2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TEXT(tblHorasDez[Data],"ddd")</f>
        <v/>
      </c>
      <c r="D22" s="25"/>
      <c r="E22" s="1"/>
      <c r="F22" s="1"/>
      <c r="G22" s="1"/>
      <c r="H22" s="1"/>
      <c r="I22" s="53"/>
      <c r="J2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2" s="4">
        <f>tblHorasDez[Horas Trabalhadas (1º Período)]+tblHorasDez[Horas Trabalhadas (2º Período)]</f>
        <v>0</v>
      </c>
      <c r="M2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Jornada])+O21</f>
        <v>0</v>
      </c>
      <c r="P22" s="14">
        <f t="shared" si="0"/>
        <v>0</v>
      </c>
      <c r="Q22" s="14" t="str">
        <f>IF(tblHorasDez[Horas Trabalhadas Além Jornada]&lt;0,IF(OR(tblHorasDez[Evento 
(1º Período)]="",tblHorasDez[Evento 
(2º Período)]=""),tblHorasDez[Horas Trabalhadas Além Jornada],""),"")</f>
        <v/>
      </c>
      <c r="R22" s="14" t="str">
        <f>IF(tblHorasDez[Jornada Diária]&lt;&gt;"",IF((N(tblHorasDez[Jornada Diária])-ABS(N(tblHorasDez[Horas Trabalhadas Além Jornada])))=0,1,""),"")</f>
        <v/>
      </c>
      <c r="S2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TEXT(tblHorasDez[Data],"ddd")</f>
        <v/>
      </c>
      <c r="D23" s="25"/>
      <c r="E23" s="1"/>
      <c r="F23" s="1"/>
      <c r="G23" s="1"/>
      <c r="H23" s="1"/>
      <c r="I23" s="53"/>
      <c r="J2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3" s="4">
        <f>tblHorasDez[Horas Trabalhadas (1º Período)]+tblHorasDez[Horas Trabalhadas (2º Período)]</f>
        <v>0</v>
      </c>
      <c r="M2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Jornada])+O22</f>
        <v>0</v>
      </c>
      <c r="P23" s="14">
        <f t="shared" si="0"/>
        <v>0</v>
      </c>
      <c r="Q23" s="14" t="str">
        <f>IF(tblHorasDez[Horas Trabalhadas Além Jornada]&lt;0,IF(OR(tblHorasDez[Evento 
(1º Período)]="",tblHorasDez[Evento 
(2º Período)]=""),tblHorasDez[Horas Trabalhadas Além Jornada],""),"")</f>
        <v/>
      </c>
      <c r="R23" s="14" t="str">
        <f>IF(tblHorasDez[Jornada Diária]&lt;&gt;"",IF((N(tblHorasDez[Jornada Diária])-ABS(N(tblHorasDez[Horas Trabalhadas Além Jornada])))=0,1,""),"")</f>
        <v/>
      </c>
      <c r="S2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TEXT(tblHorasDez[Data],"ddd")</f>
        <v/>
      </c>
      <c r="D24" s="25"/>
      <c r="E24" s="1"/>
      <c r="F24" s="1"/>
      <c r="G24" s="1"/>
      <c r="H24" s="1"/>
      <c r="I24" s="53"/>
      <c r="J2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4" s="4">
        <f>tblHorasDez[Horas Trabalhadas (1º Período)]+tblHorasDez[Horas Trabalhadas (2º Período)]</f>
        <v>0</v>
      </c>
      <c r="M2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Jornada])+O23</f>
        <v>0</v>
      </c>
      <c r="P24" s="14">
        <f t="shared" si="0"/>
        <v>0</v>
      </c>
      <c r="Q24" s="14" t="str">
        <f>IF(tblHorasDez[Horas Trabalhadas Além Jornada]&lt;0,IF(OR(tblHorasDez[Evento 
(1º Período)]="",tblHorasDez[Evento 
(2º Período)]=""),tblHorasDez[Horas Trabalhadas Além Jornada],""),"")</f>
        <v/>
      </c>
      <c r="R24" s="14" t="str">
        <f>IF(tblHorasDez[Jornada Diária]&lt;&gt;"",IF((N(tblHorasDez[Jornada Diária])-ABS(N(tblHorasDez[Horas Trabalhadas Além Jornada])))=0,1,""),"")</f>
        <v/>
      </c>
      <c r="S2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TEXT(tblHorasDez[Data],"ddd")</f>
        <v/>
      </c>
      <c r="D25" s="25"/>
      <c r="E25" s="1"/>
      <c r="F25" s="1"/>
      <c r="G25" s="1"/>
      <c r="H25" s="1"/>
      <c r="I25" s="53"/>
      <c r="J2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5" s="4">
        <f>tblHorasDez[Horas Trabalhadas (1º Período)]+tblHorasDez[Horas Trabalhadas (2º Período)]</f>
        <v>0</v>
      </c>
      <c r="M2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Jornada])+O24</f>
        <v>0</v>
      </c>
      <c r="P25" s="14">
        <f t="shared" si="0"/>
        <v>0</v>
      </c>
      <c r="Q25" s="14" t="str">
        <f>IF(tblHorasDez[Horas Trabalhadas Além Jornada]&lt;0,IF(OR(tblHorasDez[Evento 
(1º Período)]="",tblHorasDez[Evento 
(2º Período)]=""),tblHorasDez[Horas Trabalhadas Além Jornada],""),"")</f>
        <v/>
      </c>
      <c r="R25" s="14" t="str">
        <f>IF(tblHorasDez[Jornada Diária]&lt;&gt;"",IF((N(tblHorasDez[Jornada Diária])-ABS(N(tblHorasDez[Horas Trabalhadas Além Jornada])))=0,1,""),"")</f>
        <v/>
      </c>
      <c r="S2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TEXT(tblHorasDez[Data],"ddd")</f>
        <v/>
      </c>
      <c r="D26" s="25"/>
      <c r="E26" s="1"/>
      <c r="F26" s="1"/>
      <c r="G26" s="1"/>
      <c r="H26" s="1"/>
      <c r="I26" s="53"/>
      <c r="J2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6" s="4">
        <f>tblHorasDez[Horas Trabalhadas (1º Período)]+tblHorasDez[Horas Trabalhadas (2º Período)]</f>
        <v>0</v>
      </c>
      <c r="M2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Jornada])+O25</f>
        <v>0</v>
      </c>
      <c r="P26" s="14">
        <f t="shared" si="0"/>
        <v>0</v>
      </c>
      <c r="Q26" s="14" t="str">
        <f>IF(tblHorasDez[Horas Trabalhadas Além Jornada]&lt;0,IF(OR(tblHorasDez[Evento 
(1º Período)]="",tblHorasDez[Evento 
(2º Período)]=""),tblHorasDez[Horas Trabalhadas Além Jornada],""),"")</f>
        <v/>
      </c>
      <c r="R26" s="14" t="str">
        <f>IF(tblHorasDez[Jornada Diária]&lt;&gt;"",IF((N(tblHorasDez[Jornada Diária])-ABS(N(tblHorasDez[Horas Trabalhadas Além Jornada])))=0,1,""),"")</f>
        <v/>
      </c>
      <c r="S2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TEXT(tblHorasDez[Data],"ddd")</f>
        <v/>
      </c>
      <c r="D27" s="25"/>
      <c r="E27" s="1"/>
      <c r="F27" s="1"/>
      <c r="G27" s="1"/>
      <c r="H27" s="1"/>
      <c r="I27" s="53"/>
      <c r="J2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7" s="4">
        <f>tblHorasDez[Horas Trabalhadas (1º Período)]+tblHorasDez[Horas Trabalhadas (2º Período)]</f>
        <v>0</v>
      </c>
      <c r="M2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Jornada])+O26</f>
        <v>0</v>
      </c>
      <c r="P27" s="14">
        <f t="shared" si="0"/>
        <v>0</v>
      </c>
      <c r="Q27" s="14" t="str">
        <f>IF(tblHorasDez[Horas Trabalhadas Além Jornada]&lt;0,IF(OR(tblHorasDez[Evento 
(1º Período)]="",tblHorasDez[Evento 
(2º Período)]=""),tblHorasDez[Horas Trabalhadas Além Jornada],""),"")</f>
        <v/>
      </c>
      <c r="R27" s="14" t="str">
        <f>IF(tblHorasDez[Jornada Diária]&lt;&gt;"",IF((N(tblHorasDez[Jornada Diária])-ABS(N(tblHorasDez[Horas Trabalhadas Além Jornada])))=0,1,""),"")</f>
        <v/>
      </c>
      <c r="S2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TEXT(tblHorasDez[Data],"ddd")</f>
        <v/>
      </c>
      <c r="D28" s="25"/>
      <c r="E28" s="1"/>
      <c r="F28" s="1"/>
      <c r="G28" s="1"/>
      <c r="H28" s="1"/>
      <c r="I28" s="53"/>
      <c r="J2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8" s="4">
        <f>tblHorasDez[Horas Trabalhadas (1º Período)]+tblHorasDez[Horas Trabalhadas (2º Período)]</f>
        <v>0</v>
      </c>
      <c r="M2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Jornada])+O27</f>
        <v>0</v>
      </c>
      <c r="P28" s="14">
        <f t="shared" si="0"/>
        <v>0</v>
      </c>
      <c r="Q28" s="14" t="str">
        <f>IF(tblHorasDez[Horas Trabalhadas Além Jornada]&lt;0,IF(OR(tblHorasDez[Evento 
(1º Período)]="",tblHorasDez[Evento 
(2º Período)]=""),tblHorasDez[Horas Trabalhadas Além Jornada],""),"")</f>
        <v/>
      </c>
      <c r="R28" s="14" t="str">
        <f>IF(tblHorasDez[Jornada Diária]&lt;&gt;"",IF((N(tblHorasDez[Jornada Diária])-ABS(N(tblHorasDez[Horas Trabalhadas Além Jornada])))=0,1,""),"")</f>
        <v/>
      </c>
      <c r="S2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TEXT(tblHorasDez[Data],"ddd")</f>
        <v/>
      </c>
      <c r="D29" s="25"/>
      <c r="E29" s="1"/>
      <c r="F29" s="1"/>
      <c r="G29" s="1"/>
      <c r="H29" s="1"/>
      <c r="I29" s="53"/>
      <c r="J2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9" s="4">
        <f>tblHorasDez[Horas Trabalhadas (1º Período)]+tblHorasDez[Horas Trabalhadas (2º Período)]</f>
        <v>0</v>
      </c>
      <c r="M2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Jornada])+O28</f>
        <v>0</v>
      </c>
      <c r="P29" s="14">
        <f t="shared" si="0"/>
        <v>0</v>
      </c>
      <c r="Q29" s="14" t="str">
        <f>IF(tblHorasDez[Horas Trabalhadas Além Jornada]&lt;0,IF(OR(tblHorasDez[Evento 
(1º Período)]="",tblHorasDez[Evento 
(2º Período)]=""),tblHorasDez[Horas Trabalhadas Além Jornada],""),"")</f>
        <v/>
      </c>
      <c r="R29" s="14" t="str">
        <f>IF(tblHorasDez[Jornada Diária]&lt;&gt;"",IF((N(tblHorasDez[Jornada Diária])-ABS(N(tblHorasDez[Horas Trabalhadas Além Jornada])))=0,1,""),"")</f>
        <v/>
      </c>
      <c r="S2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TEXT(tblHorasDez[Data],"ddd")</f>
        <v/>
      </c>
      <c r="D30" s="25"/>
      <c r="E30" s="1"/>
      <c r="F30" s="1"/>
      <c r="G30" s="1"/>
      <c r="H30" s="1"/>
      <c r="I30" s="53"/>
      <c r="J3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0" s="4">
        <f>tblHorasDez[Horas Trabalhadas (1º Período)]+tblHorasDez[Horas Trabalhadas (2º Período)]</f>
        <v>0</v>
      </c>
      <c r="M3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Jornada])+O29</f>
        <v>0</v>
      </c>
      <c r="P30" s="14">
        <f t="shared" si="0"/>
        <v>0</v>
      </c>
      <c r="Q30" s="14" t="str">
        <f>IF(tblHorasDez[Horas Trabalhadas Além Jornada]&lt;0,IF(OR(tblHorasDez[Evento 
(1º Período)]="",tblHorasDez[Evento 
(2º Período)]=""),tblHorasDez[Horas Trabalhadas Além Jornada],""),"")</f>
        <v/>
      </c>
      <c r="R30" s="14" t="str">
        <f>IF(tblHorasDez[Jornada Diária]&lt;&gt;"",IF((N(tblHorasDez[Jornada Diária])-ABS(N(tblHorasDez[Horas Trabalhadas Além Jornada])))=0,1,""),"")</f>
        <v/>
      </c>
      <c r="S3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TEXT(tblHorasDez[Data],"ddd")</f>
        <v/>
      </c>
      <c r="D31" s="25"/>
      <c r="E31" s="1"/>
      <c r="F31" s="1"/>
      <c r="G31" s="1"/>
      <c r="H31" s="1"/>
      <c r="I31" s="53"/>
      <c r="J3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1" s="4">
        <f>tblHorasDez[Horas Trabalhadas (1º Período)]+tblHorasDez[Horas Trabalhadas (2º Período)]</f>
        <v>0</v>
      </c>
      <c r="M3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Jornada])+O30</f>
        <v>0</v>
      </c>
      <c r="P31" s="14">
        <f t="shared" si="0"/>
        <v>0</v>
      </c>
      <c r="Q31" s="14" t="str">
        <f>IF(tblHorasDez[Horas Trabalhadas Além Jornada]&lt;0,IF(OR(tblHorasDez[Evento 
(1º Período)]="",tblHorasDez[Evento 
(2º Período)]=""),tblHorasDez[Horas Trabalhadas Além Jornada],""),"")</f>
        <v/>
      </c>
      <c r="R31" s="14" t="str">
        <f>IF(tblHorasDez[Jornada Diária]&lt;&gt;"",IF((N(tblHorasDez[Jornada Diária])-ABS(N(tblHorasDez[Horas Trabalhadas Além Jornada])))=0,1,""),"")</f>
        <v/>
      </c>
      <c r="S3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TEXT(tblHorasDez[Data],"ddd")</f>
        <v/>
      </c>
      <c r="D32" s="25"/>
      <c r="E32" s="1"/>
      <c r="F32" s="1"/>
      <c r="G32" s="1"/>
      <c r="H32" s="1"/>
      <c r="I32" s="53"/>
      <c r="J3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2" s="4">
        <f>tblHorasDez[Horas Trabalhadas (1º Período)]+tblHorasDez[Horas Trabalhadas (2º Período)]</f>
        <v>0</v>
      </c>
      <c r="M3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Jornada])+O31</f>
        <v>0</v>
      </c>
      <c r="P32" s="14">
        <f t="shared" si="0"/>
        <v>0</v>
      </c>
      <c r="Q32" s="14" t="str">
        <f>IF(tblHorasDez[Horas Trabalhadas Além Jornada]&lt;0,IF(OR(tblHorasDez[Evento 
(1º Período)]="",tblHorasDez[Evento 
(2º Período)]=""),tblHorasDez[Horas Trabalhadas Além Jornada],""),"")</f>
        <v/>
      </c>
      <c r="R32" s="14" t="str">
        <f>IF(tblHorasDez[Jornada Diária]&lt;&gt;"",IF((N(tblHorasDez[Jornada Diária])-ABS(N(tblHorasDez[Horas Trabalhadas Além Jornada])))=0,1,""),"")</f>
        <v/>
      </c>
      <c r="S3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TEXT(tblHorasDez[Data],"ddd")</f>
        <v/>
      </c>
      <c r="D33" s="25"/>
      <c r="E33" s="1"/>
      <c r="F33" s="1"/>
      <c r="G33" s="1"/>
      <c r="H33" s="1"/>
      <c r="I33" s="53"/>
      <c r="J3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3" s="4">
        <f>tblHorasDez[Horas Trabalhadas (1º Período)]+tblHorasDez[Horas Trabalhadas (2º Período)]</f>
        <v>0</v>
      </c>
      <c r="M3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Jornada])+O32</f>
        <v>0</v>
      </c>
      <c r="P33" s="14">
        <f t="shared" si="0"/>
        <v>0</v>
      </c>
      <c r="Q33" s="14" t="str">
        <f>IF(tblHorasDez[Horas Trabalhadas Além Jornada]&lt;0,IF(OR(tblHorasDez[Evento 
(1º Período)]="",tblHorasDez[Evento 
(2º Período)]=""),tblHorasDez[Horas Trabalhadas Além Jornada],""),"")</f>
        <v/>
      </c>
      <c r="R33" s="14" t="str">
        <f>IF(tblHorasDez[Jornada Diária]&lt;&gt;"",IF((N(tblHorasDez[Jornada Diária])-ABS(N(tblHorasDez[Horas Trabalhadas Além Jornada])))=0,1,""),"")</f>
        <v/>
      </c>
      <c r="S3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TEXT(tblHorasDez[Data],"ddd")</f>
        <v/>
      </c>
      <c r="D34" s="25"/>
      <c r="E34" s="1"/>
      <c r="F34" s="1"/>
      <c r="G34" s="1"/>
      <c r="H34" s="1"/>
      <c r="I34" s="53"/>
      <c r="J3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4" s="4">
        <f>tblHorasDez[Horas Trabalhadas (1º Período)]+tblHorasDez[Horas Trabalhadas (2º Período)]</f>
        <v>0</v>
      </c>
      <c r="M3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Jornada])+O33</f>
        <v>0</v>
      </c>
      <c r="P34" s="14">
        <f t="shared" si="0"/>
        <v>0</v>
      </c>
      <c r="Q34" s="14" t="str">
        <f>IF(tblHorasDez[Horas Trabalhadas Além Jornada]&lt;0,IF(OR(tblHorasDez[Evento 
(1º Período)]="",tblHorasDez[Evento 
(2º Período)]=""),tblHorasDez[Horas Trabalhadas Além Jornada],""),"")</f>
        <v/>
      </c>
      <c r="R34" s="14" t="str">
        <f>IF(tblHorasDez[Jornada Diária]&lt;&gt;"",IF((N(tblHorasDez[Jornada Diária])-ABS(N(tblHorasDez[Horas Trabalhadas Além Jornada])))=0,1,""),"")</f>
        <v/>
      </c>
      <c r="S3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TEXT(tblHorasDez[Data],"ddd")</f>
        <v/>
      </c>
      <c r="D35" s="25"/>
      <c r="E35" s="1"/>
      <c r="F35" s="1"/>
      <c r="G35" s="1"/>
      <c r="H35" s="1"/>
      <c r="I35" s="53"/>
      <c r="J3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5" s="4">
        <f>tblHorasDez[Horas Trabalhadas (1º Período)]+tblHorasDez[Horas Trabalhadas (2º Período)]</f>
        <v>0</v>
      </c>
      <c r="M3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Jornada])+O34</f>
        <v>0</v>
      </c>
      <c r="P35" s="14">
        <f t="shared" si="0"/>
        <v>0</v>
      </c>
      <c r="Q35" s="14" t="str">
        <f>IF(tblHorasDez[Horas Trabalhadas Além Jornada]&lt;0,IF(OR(tblHorasDez[Evento 
(1º Período)]="",tblHorasDez[Evento 
(2º Período)]=""),tblHorasDez[Horas Trabalhadas Além Jornada],""),"")</f>
        <v/>
      </c>
      <c r="R35" s="14" t="str">
        <f>IF(tblHorasDez[Jornada Diária]&lt;&gt;"",IF((N(tblHorasDez[Jornada Diária])-ABS(N(tblHorasDez[Horas Trabalhadas Além Jornada])))=0,1,""),"")</f>
        <v/>
      </c>
      <c r="S3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TEXT(tblHorasDez[Data],"ddd")</f>
        <v/>
      </c>
      <c r="D36" s="25"/>
      <c r="E36" s="1"/>
      <c r="F36" s="1"/>
      <c r="G36" s="1"/>
      <c r="H36" s="1"/>
      <c r="I36" s="53"/>
      <c r="J3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6" s="4">
        <f>tblHorasDez[Horas Trabalhadas (1º Período)]+tblHorasDez[Horas Trabalhadas (2º Período)]</f>
        <v>0</v>
      </c>
      <c r="M3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Jornada])+O35</f>
        <v>0</v>
      </c>
      <c r="P36" s="14">
        <f t="shared" si="0"/>
        <v>0</v>
      </c>
      <c r="Q36" s="14" t="str">
        <f>IF(tblHorasDez[Horas Trabalhadas Além Jornada]&lt;0,IF(OR(tblHorasDez[Evento 
(1º Período)]="",tblHorasDez[Evento 
(2º Período)]=""),tblHorasDez[Horas Trabalhadas Além Jornada],""),"")</f>
        <v/>
      </c>
      <c r="R36" s="14" t="str">
        <f>IF(tblHorasDez[Jornada Diária]&lt;&gt;"",IF((N(tblHorasDez[Jornada Diária])-ABS(N(tblHorasDez[Horas Trabalhadas Além Jornada])))=0,1,""),"")</f>
        <v/>
      </c>
      <c r="S3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TEXT(tblHorasDez[Data],"ddd")</f>
        <v/>
      </c>
      <c r="D37" s="25"/>
      <c r="E37" s="1"/>
      <c r="F37" s="1"/>
      <c r="G37" s="1"/>
      <c r="H37" s="1"/>
      <c r="I37" s="53"/>
      <c r="J3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7" s="4">
        <f>tblHorasDez[Horas Trabalhadas (1º Período)]+tblHorasDez[Horas Trabalhadas (2º Período)]</f>
        <v>0</v>
      </c>
      <c r="M3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Jornada])+O36</f>
        <v>0</v>
      </c>
      <c r="P37" s="14">
        <f t="shared" si="0"/>
        <v>0</v>
      </c>
      <c r="Q37" s="14" t="str">
        <f>IF(tblHorasDez[Horas Trabalhadas Além Jornada]&lt;0,IF(OR(tblHorasDez[Evento 
(1º Período)]="",tblHorasDez[Evento 
(2º Período)]=""),tblHorasDez[Horas Trabalhadas Além Jornada],""),"")</f>
        <v/>
      </c>
      <c r="R37" s="14" t="str">
        <f>IF(tblHorasDez[Jornada Diária]&lt;&gt;"",IF((N(tblHorasDez[Jornada Diária])-ABS(N(tblHorasDez[Horas Trabalhadas Além Jornada])))=0,1,""),"")</f>
        <v/>
      </c>
      <c r="S3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TEXT(tblHorasDez[Data],"ddd")</f>
        <v/>
      </c>
      <c r="D38" s="25"/>
      <c r="E38" s="1"/>
      <c r="F38" s="1"/>
      <c r="G38" s="1"/>
      <c r="H38" s="1"/>
      <c r="I38" s="53"/>
      <c r="J3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8" s="4">
        <f>tblHorasDez[Horas Trabalhadas (1º Período)]+tblHorasDez[Horas Trabalhadas (2º Período)]</f>
        <v>0</v>
      </c>
      <c r="M3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Jornada])+O37</f>
        <v>0</v>
      </c>
      <c r="P38" s="14">
        <f t="shared" si="0"/>
        <v>0</v>
      </c>
      <c r="Q38" s="14" t="str">
        <f>IF(tblHorasDez[Horas Trabalhadas Além Jornada]&lt;0,IF(OR(tblHorasDez[Evento 
(1º Período)]="",tblHorasDez[Evento 
(2º Período)]=""),tblHorasDez[Horas Trabalhadas Além Jornada],""),"")</f>
        <v/>
      </c>
      <c r="R38" s="14" t="str">
        <f>IF(tblHorasDez[Jornada Diária]&lt;&gt;"",IF((N(tblHorasDez[Jornada Diária])-ABS(N(tblHorasDez[Horas Trabalhadas Além Jornada])))=0,1,""),"")</f>
        <v/>
      </c>
      <c r="S3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TEXT(tblHorasDez[Data],"ddd")</f>
        <v/>
      </c>
      <c r="D39" s="25"/>
      <c r="E39" s="1"/>
      <c r="F39" s="1"/>
      <c r="G39" s="1"/>
      <c r="H39" s="1"/>
      <c r="I39" s="53"/>
      <c r="J3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9" s="4">
        <f>tblHorasDez[Horas Trabalhadas (1º Período)]+tblHorasDez[Horas Trabalhadas (2º Período)]</f>
        <v>0</v>
      </c>
      <c r="M3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Jornada])+O38</f>
        <v>0</v>
      </c>
      <c r="P39" s="14">
        <f t="shared" si="0"/>
        <v>0</v>
      </c>
      <c r="Q39" s="14" t="str">
        <f>IF(tblHorasDez[Horas Trabalhadas Além Jornada]&lt;0,IF(OR(tblHorasDez[Evento 
(1º Período)]="",tblHorasDez[Evento 
(2º Período)]=""),tblHorasDez[Horas Trabalhadas Além Jornada],""),"")</f>
        <v/>
      </c>
      <c r="R39" s="14" t="str">
        <f>IF(tblHorasDez[Jornada Diária]&lt;&gt;"",IF((N(tblHorasDez[Jornada Diária])-ABS(N(tblHorasDez[Horas Trabalhadas Além Jornada])))=0,1,""),"")</f>
        <v/>
      </c>
      <c r="S3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Z1lWCtC4aSZoB/a4iLaxEEvdjQocVmzWUpCYhRD4/4kU+88r/0HM3W9py66TQeT2Jc32s+9pu3wYOEwrjQrsw==" saltValue="ZWCSQAJ3DzaclvmbvVbh6A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C583E8FA-2E18-42C8-9736-D89F22D7468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0BC4DBD3-7B8F-4D36-847F-03F916CA05C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9FC9EFCE-8212-4636-B152-0CFDC36E7CB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84621A92-973E-475D-A6D1-20781C2F00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897277D6-D335-4A80-896B-6003EE8BF88E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610C9782-E16B-4218-AA43-2B22F77337C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obre">
    <tabColor theme="9" tint="0.59999389629810485"/>
  </sheetPr>
  <dimension ref="B4:G7"/>
  <sheetViews>
    <sheetView showGridLines="0" showRowColHeaders="0" workbookViewId="0">
      <selection activeCell="I1" sqref="I1"/>
    </sheetView>
  </sheetViews>
  <sheetFormatPr defaultRowHeight="15" x14ac:dyDescent="0.25"/>
  <cols>
    <col min="1" max="9" width="9.140625" style="40"/>
    <col min="10" max="14" width="9.140625" style="40" customWidth="1"/>
    <col min="15" max="16384" width="9.140625" style="40"/>
  </cols>
  <sheetData>
    <row r="4" spans="2:7" ht="18.75" x14ac:dyDescent="0.3">
      <c r="B4" s="41"/>
      <c r="C4" s="41"/>
      <c r="D4" s="41"/>
      <c r="E4" s="41"/>
      <c r="F4" s="41"/>
      <c r="G4" s="41"/>
    </row>
    <row r="5" spans="2:7" ht="18.75" x14ac:dyDescent="0.3">
      <c r="B5" s="41"/>
      <c r="C5" s="41" t="s">
        <v>98</v>
      </c>
      <c r="D5" s="41"/>
      <c r="E5" s="41"/>
      <c r="F5" s="41"/>
      <c r="G5" s="41"/>
    </row>
    <row r="6" spans="2:7" ht="21" x14ac:dyDescent="0.35">
      <c r="B6" s="41"/>
      <c r="C6" s="47" t="s">
        <v>87</v>
      </c>
      <c r="D6" s="42"/>
      <c r="E6" s="42"/>
      <c r="F6" s="42"/>
      <c r="G6" s="41"/>
    </row>
    <row r="7" spans="2:7" ht="18.75" x14ac:dyDescent="0.3">
      <c r="B7" s="41"/>
      <c r="C7" s="41"/>
      <c r="D7" s="41"/>
      <c r="E7" s="41"/>
      <c r="F7" s="41"/>
      <c r="G7" s="41"/>
    </row>
  </sheetData>
  <sheetProtection formatCells="0" formatColumns="0" formatRows="0" autoFilter="0" pivotTables="0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JORNADA</vt:lpstr>
      <vt:lpstr>JORNADA_PERIODO_1</vt:lpstr>
      <vt:lpstr>JORNADA_PERIODO_2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</cp:lastModifiedBy>
  <cp:lastPrinted>2015-01-23T11:41:12Z</cp:lastPrinted>
  <dcterms:created xsi:type="dcterms:W3CDTF">2013-11-22T16:17:37Z</dcterms:created>
  <dcterms:modified xsi:type="dcterms:W3CDTF">2017-01-02T19:16:58Z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